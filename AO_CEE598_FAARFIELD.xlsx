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anat\OneDrive\Masaüstü\ASU\Lectures\[02-01] CEE 494-598\Term Project\FAA_Project_Data_4_Grad_Students\02_Pavement_Design_with_Traffic\"/>
    </mc:Choice>
  </mc:AlternateContent>
  <xr:revisionPtr revIDLastSave="0" documentId="13_ncr:1_{3339DE3D-DAA5-4468-9145-234FB0555301}" xr6:coauthVersionLast="47" xr6:coauthVersionMax="47" xr10:uidLastSave="{00000000-0000-0000-0000-000000000000}"/>
  <bookViews>
    <workbookView xWindow="-108" yWindow="-13068" windowWidth="23256" windowHeight="12456" activeTab="1" xr2:uid="{00000000-000D-0000-FFFF-FFFF00000000}"/>
  </bookViews>
  <sheets>
    <sheet name="Useful Stuff" sheetId="10" r:id="rId1"/>
    <sheet name="Growth Rate" sheetId="8" r:id="rId2"/>
    <sheet name="Soil" sheetId="12" r:id="rId3"/>
    <sheet name="Pavement" sheetId="9" r:id="rId4"/>
    <sheet name="Traffic346" sheetId="2" r:id="rId5"/>
    <sheet name="Traffic364" sheetId="3" r:id="rId6"/>
    <sheet name="Traffic364_Count" sheetId="11" r:id="rId7"/>
    <sheet name="Traffic378" sheetId="4" r:id="rId8"/>
    <sheet name="Traffic1017" sheetId="5" r:id="rId9"/>
    <sheet name="Traffic1356" sheetId="6" r:id="rId10"/>
    <sheet name="Traffic1863" sheetId="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8" i="8" l="1"/>
  <c r="S225" i="8"/>
  <c r="S224" i="8"/>
  <c r="S223" i="8"/>
  <c r="S222" i="8"/>
  <c r="S221" i="8"/>
  <c r="S220" i="8"/>
  <c r="S219" i="8"/>
  <c r="S218" i="8"/>
  <c r="S217" i="8"/>
  <c r="S216" i="8"/>
  <c r="S215" i="8"/>
  <c r="S201" i="8"/>
  <c r="S200" i="8"/>
  <c r="S199" i="8"/>
  <c r="S198" i="8"/>
  <c r="S197" i="8"/>
  <c r="S196" i="8"/>
  <c r="S195" i="8"/>
  <c r="S194" i="8"/>
  <c r="S193" i="8"/>
  <c r="S192" i="8"/>
  <c r="S191" i="8"/>
  <c r="S177" i="8"/>
  <c r="S176" i="8"/>
  <c r="S175" i="8"/>
  <c r="S174" i="8"/>
  <c r="S173" i="8"/>
  <c r="S172" i="8"/>
  <c r="S171" i="8"/>
  <c r="S170" i="8"/>
  <c r="S169" i="8"/>
  <c r="S168" i="8"/>
  <c r="S167" i="8"/>
  <c r="S153" i="8"/>
  <c r="S152" i="8"/>
  <c r="S151" i="8"/>
  <c r="S150" i="8"/>
  <c r="S149" i="8"/>
  <c r="S148" i="8"/>
  <c r="S147" i="8"/>
  <c r="S146" i="8"/>
  <c r="S145" i="8"/>
  <c r="S144" i="8"/>
  <c r="S143" i="8"/>
  <c r="S119" i="8"/>
  <c r="S120" i="8"/>
  <c r="S121" i="8"/>
  <c r="S122" i="8"/>
  <c r="S123" i="8"/>
  <c r="S124" i="8"/>
  <c r="S125" i="8"/>
  <c r="S126" i="8"/>
  <c r="S127" i="8"/>
  <c r="S128" i="8"/>
  <c r="S129" i="8"/>
  <c r="T119" i="8"/>
  <c r="T120" i="8"/>
  <c r="T121" i="8"/>
  <c r="T122" i="8"/>
  <c r="T123" i="8"/>
  <c r="T124" i="8"/>
  <c r="T125" i="8"/>
  <c r="T126" i="8"/>
  <c r="T127" i="8"/>
  <c r="T128" i="8"/>
  <c r="T129" i="8"/>
  <c r="T143" i="8"/>
  <c r="T144" i="8"/>
  <c r="T145" i="8"/>
  <c r="T146" i="8"/>
  <c r="T147" i="8"/>
  <c r="T148" i="8"/>
  <c r="T149" i="8"/>
  <c r="T150" i="8"/>
  <c r="T151" i="8"/>
  <c r="T152" i="8"/>
  <c r="T153" i="8"/>
  <c r="T167" i="8"/>
  <c r="T168" i="8"/>
  <c r="T169" i="8"/>
  <c r="T170" i="8"/>
  <c r="T171" i="8"/>
  <c r="T172" i="8"/>
  <c r="T173" i="8"/>
  <c r="T174" i="8"/>
  <c r="T175" i="8"/>
  <c r="T176" i="8"/>
  <c r="T177" i="8"/>
  <c r="S95" i="8"/>
  <c r="S96" i="8"/>
  <c r="S97" i="8"/>
  <c r="S98" i="8"/>
  <c r="S99" i="8"/>
  <c r="S100" i="8"/>
  <c r="S101" i="8"/>
  <c r="S102" i="8"/>
  <c r="S103" i="8"/>
  <c r="S104" i="8"/>
  <c r="S105" i="8"/>
  <c r="T225" i="8"/>
  <c r="T215" i="8"/>
  <c r="T216" i="8"/>
  <c r="T217" i="8"/>
  <c r="T218" i="8"/>
  <c r="T219" i="8"/>
  <c r="T220" i="8"/>
  <c r="T221" i="8"/>
  <c r="T222" i="8"/>
  <c r="T223" i="8"/>
  <c r="T224" i="8"/>
  <c r="T191" i="8"/>
  <c r="T192" i="8"/>
  <c r="T193" i="8"/>
  <c r="T194" i="8"/>
  <c r="T195" i="8"/>
  <c r="T196" i="8"/>
  <c r="T197" i="8"/>
  <c r="T198" i="8"/>
  <c r="T199" i="8"/>
  <c r="T200" i="8"/>
  <c r="T201" i="8"/>
  <c r="T95" i="8"/>
  <c r="T96" i="8"/>
  <c r="T97" i="8"/>
  <c r="T99" i="8"/>
  <c r="T100" i="8"/>
  <c r="T101" i="8"/>
  <c r="T102" i="8"/>
  <c r="T103" i="8"/>
  <c r="T104" i="8"/>
  <c r="T105" i="8"/>
  <c r="N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<sst xmlns="http://schemas.openxmlformats.org/spreadsheetml/2006/main" count="36799" uniqueCount="352">
  <si>
    <t>Pueblo Memorial Airport, Pueblo</t>
  </si>
  <si>
    <t>La Junta Municipal Airport, La Junta</t>
  </si>
  <si>
    <t>GRANT COUNTY INTERNATIONAL AIRPORT</t>
  </si>
  <si>
    <t>OTTUMWA REGIONAL AIRPORT</t>
  </si>
  <si>
    <t>Chippewa County International Airport, Sault Ste Marie</t>
  </si>
  <si>
    <t>Indianapolis Regional Airport</t>
  </si>
  <si>
    <t>Name</t>
  </si>
  <si>
    <t>NetworkID</t>
  </si>
  <si>
    <t>RW1634CI</t>
  </si>
  <si>
    <t>RUNWAY</t>
  </si>
  <si>
    <t>TWA2IR</t>
  </si>
  <si>
    <t>TAXIWAY</t>
  </si>
  <si>
    <t>TWA1IR</t>
  </si>
  <si>
    <t>TWA3IR</t>
  </si>
  <si>
    <t>TWA4IR</t>
  </si>
  <si>
    <t>BranchID</t>
  </si>
  <si>
    <t>TALJ</t>
  </si>
  <si>
    <t>TDPU</t>
  </si>
  <si>
    <t>R14LGC</t>
  </si>
  <si>
    <t>TBOT</t>
  </si>
  <si>
    <t>R04OT</t>
  </si>
  <si>
    <t>Length</t>
  </si>
  <si>
    <t>Width</t>
  </si>
  <si>
    <t>Flexible</t>
  </si>
  <si>
    <t>SectionID</t>
  </si>
  <si>
    <t>Work</t>
  </si>
  <si>
    <t>Comment</t>
  </si>
  <si>
    <t>PCC</t>
  </si>
  <si>
    <t>P-501</t>
  </si>
  <si>
    <t>New Construction - PCC</t>
  </si>
  <si>
    <t>AC</t>
  </si>
  <si>
    <t>Overlay - AC</t>
  </si>
  <si>
    <t>Subbase</t>
  </si>
  <si>
    <t>P-154</t>
  </si>
  <si>
    <t>Subbase - Aggregate</t>
  </si>
  <si>
    <t>6" P154 SUBBASE</t>
  </si>
  <si>
    <t>7" PCC</t>
  </si>
  <si>
    <t>2.5" p401 overlay</t>
  </si>
  <si>
    <t>Base</t>
  </si>
  <si>
    <t>Stablized</t>
  </si>
  <si>
    <t>Base Course - Stabilized (non-Bi.)</t>
  </si>
  <si>
    <t>6" ECONOCRETE</t>
  </si>
  <si>
    <t>8" P501 PCC</t>
  </si>
  <si>
    <t>3.5" p401 ac overlay</t>
  </si>
  <si>
    <t>Subbase - Stabilized</t>
  </si>
  <si>
    <t>24" P501 PCC</t>
  </si>
  <si>
    <t>Overlay - AC Structural</t>
  </si>
  <si>
    <t>2.5" p411 ac, 20aaax</t>
  </si>
  <si>
    <t>8" PCC</t>
  </si>
  <si>
    <t>2.5"-3" mill/2.5"-3" overlay</t>
  </si>
  <si>
    <t>9" PCC</t>
  </si>
  <si>
    <t>3" ac</t>
  </si>
  <si>
    <t>Aggregate</t>
  </si>
  <si>
    <t>Base Course - Aggregate</t>
  </si>
  <si>
    <t>Aircraft Type</t>
  </si>
  <si>
    <t>Year</t>
  </si>
  <si>
    <t>Airport Name</t>
  </si>
  <si>
    <t>Runway Name</t>
  </si>
  <si>
    <t>Traffic Type</t>
  </si>
  <si>
    <t>MTOW</t>
  </si>
  <si>
    <t>Main Gear Config</t>
  </si>
  <si>
    <t>Yearly Count of Aircraft in Runway</t>
  </si>
  <si>
    <t>A10</t>
  </si>
  <si>
    <t>La Junta Municipal</t>
  </si>
  <si>
    <t>12-30</t>
  </si>
  <si>
    <t>Departure</t>
  </si>
  <si>
    <t>S</t>
  </si>
  <si>
    <t>AA5</t>
  </si>
  <si>
    <t>AC11</t>
  </si>
  <si>
    <t>AC90</t>
  </si>
  <si>
    <t>AEST</t>
  </si>
  <si>
    <t>BE20</t>
  </si>
  <si>
    <t>D</t>
  </si>
  <si>
    <t>BE33</t>
  </si>
  <si>
    <t>BE35</t>
  </si>
  <si>
    <t>BE36</t>
  </si>
  <si>
    <t>BE55</t>
  </si>
  <si>
    <t>BE58</t>
  </si>
  <si>
    <t>BE60</t>
  </si>
  <si>
    <t>BE90</t>
  </si>
  <si>
    <t>BE9L</t>
  </si>
  <si>
    <t>BL17</t>
  </si>
  <si>
    <t>C130</t>
  </si>
  <si>
    <t>2D</t>
  </si>
  <si>
    <t>C150</t>
  </si>
  <si>
    <t>C152</t>
  </si>
  <si>
    <t>C172</t>
  </si>
  <si>
    <t>C177</t>
  </si>
  <si>
    <t>C182</t>
  </si>
  <si>
    <t>C185</t>
  </si>
  <si>
    <t>C206</t>
  </si>
  <si>
    <t>C208</t>
  </si>
  <si>
    <t>C210</t>
  </si>
  <si>
    <t>C25A</t>
  </si>
  <si>
    <t>C25B</t>
  </si>
  <si>
    <t>C25M</t>
  </si>
  <si>
    <t>C310</t>
  </si>
  <si>
    <t>C340</t>
  </si>
  <si>
    <t>C402</t>
  </si>
  <si>
    <t>C404</t>
  </si>
  <si>
    <t>C414</t>
  </si>
  <si>
    <t>C421</t>
  </si>
  <si>
    <t>C441</t>
  </si>
  <si>
    <t>C525</t>
  </si>
  <si>
    <t>C550</t>
  </si>
  <si>
    <t>C560</t>
  </si>
  <si>
    <t>C56X</t>
  </si>
  <si>
    <t>C650</t>
  </si>
  <si>
    <t>CL30</t>
  </si>
  <si>
    <t>COL4</t>
  </si>
  <si>
    <t>CRJ9</t>
  </si>
  <si>
    <t>DA20</t>
  </si>
  <si>
    <t>DA40</t>
  </si>
  <si>
    <t>DA42</t>
  </si>
  <si>
    <t>DHC6</t>
  </si>
  <si>
    <t>DV20</t>
  </si>
  <si>
    <t>E50P</t>
  </si>
  <si>
    <t>EA50</t>
  </si>
  <si>
    <t>F16</t>
  </si>
  <si>
    <t>F2TH</t>
  </si>
  <si>
    <t>H25B</t>
  </si>
  <si>
    <t>LJ45</t>
  </si>
  <si>
    <t>LNC4</t>
  </si>
  <si>
    <t>M20P</t>
  </si>
  <si>
    <t>M20T</t>
  </si>
  <si>
    <t>P180</t>
  </si>
  <si>
    <t>P28A</t>
  </si>
  <si>
    <t>P28B</t>
  </si>
  <si>
    <t>P28R</t>
  </si>
  <si>
    <t>P32R</t>
  </si>
  <si>
    <t>P46T</t>
  </si>
  <si>
    <t>PA22</t>
  </si>
  <si>
    <t>PA24</t>
  </si>
  <si>
    <t>PA28</t>
  </si>
  <si>
    <t>PA30</t>
  </si>
  <si>
    <t>PA32</t>
  </si>
  <si>
    <t>PA34</t>
  </si>
  <si>
    <t>PA46</t>
  </si>
  <si>
    <t>PAY2</t>
  </si>
  <si>
    <t>PC12</t>
  </si>
  <si>
    <t>RV6</t>
  </si>
  <si>
    <t>RV7</t>
  </si>
  <si>
    <t>SR20</t>
  </si>
  <si>
    <t>SW4</t>
  </si>
  <si>
    <t>T6</t>
  </si>
  <si>
    <t>TBM7</t>
  </si>
  <si>
    <t>TBM8</t>
  </si>
  <si>
    <t>Pueblo Memorial</t>
  </si>
  <si>
    <t>8R-26L</t>
  </si>
  <si>
    <t>A319</t>
  </si>
  <si>
    <t>A320</t>
  </si>
  <si>
    <t>A321</t>
  </si>
  <si>
    <t>AC50</t>
  </si>
  <si>
    <t>AC68</t>
  </si>
  <si>
    <t>AC80</t>
  </si>
  <si>
    <t>AC95</t>
  </si>
  <si>
    <t>ASTR</t>
  </si>
  <si>
    <t>AT5T</t>
  </si>
  <si>
    <t>AT8T</t>
  </si>
  <si>
    <t>B190</t>
  </si>
  <si>
    <t>B350</t>
  </si>
  <si>
    <t>B38M</t>
  </si>
  <si>
    <t>B462</t>
  </si>
  <si>
    <t>B722</t>
  </si>
  <si>
    <t>B733</t>
  </si>
  <si>
    <t>B734</t>
  </si>
  <si>
    <t>B735</t>
  </si>
  <si>
    <t>B737</t>
  </si>
  <si>
    <t>B738</t>
  </si>
  <si>
    <t>B739</t>
  </si>
  <si>
    <t>B752</t>
  </si>
  <si>
    <t>B762</t>
  </si>
  <si>
    <t>BCS1</t>
  </si>
  <si>
    <t>BCS3</t>
  </si>
  <si>
    <t>BE10</t>
  </si>
  <si>
    <t>BE19</t>
  </si>
  <si>
    <t>BE23</t>
  </si>
  <si>
    <t>BE24</t>
  </si>
  <si>
    <t>BE30</t>
  </si>
  <si>
    <t>BE40</t>
  </si>
  <si>
    <t>BE56</t>
  </si>
  <si>
    <t>BE65</t>
  </si>
  <si>
    <t>BE99</t>
  </si>
  <si>
    <t>BE9T</t>
  </si>
  <si>
    <t>C140</t>
  </si>
  <si>
    <t>C162</t>
  </si>
  <si>
    <t>C17</t>
  </si>
  <si>
    <t>C195</t>
  </si>
  <si>
    <t>C240</t>
  </si>
  <si>
    <t>C25C</t>
  </si>
  <si>
    <t>C30J</t>
  </si>
  <si>
    <t>C335</t>
  </si>
  <si>
    <t>C337</t>
  </si>
  <si>
    <t>C425</t>
  </si>
  <si>
    <t>C500</t>
  </si>
  <si>
    <t>C501</t>
  </si>
  <si>
    <t>C510</t>
  </si>
  <si>
    <t>C55B</t>
  </si>
  <si>
    <t>C680</t>
  </si>
  <si>
    <t>C68A</t>
  </si>
  <si>
    <t>C750</t>
  </si>
  <si>
    <t>CH7A</t>
  </si>
  <si>
    <t>CL35</t>
  </si>
  <si>
    <t>CL60</t>
  </si>
  <si>
    <t>CRJ2</t>
  </si>
  <si>
    <t>CRJ7</t>
  </si>
  <si>
    <t>D328</t>
  </si>
  <si>
    <t>DC10</t>
  </si>
  <si>
    <t>DC91</t>
  </si>
  <si>
    <t>DC93</t>
  </si>
  <si>
    <t>DH8A</t>
  </si>
  <si>
    <t>DH8D</t>
  </si>
  <si>
    <t>E120</t>
  </si>
  <si>
    <t>E135</t>
  </si>
  <si>
    <t>E145</t>
  </si>
  <si>
    <t>E170</t>
  </si>
  <si>
    <t>E190</t>
  </si>
  <si>
    <t>E45X</t>
  </si>
  <si>
    <t>E55P</t>
  </si>
  <si>
    <t>E75L</t>
  </si>
  <si>
    <t>E75S</t>
  </si>
  <si>
    <t>EPIC</t>
  </si>
  <si>
    <t>F18</t>
  </si>
  <si>
    <t>F18S</t>
  </si>
  <si>
    <t>F900</t>
  </si>
  <si>
    <t>FA20</t>
  </si>
  <si>
    <t>FA50</t>
  </si>
  <si>
    <t>FA7X</t>
  </si>
  <si>
    <t>G150</t>
  </si>
  <si>
    <t>G280</t>
  </si>
  <si>
    <t>GALX</t>
  </si>
  <si>
    <t>GLEX</t>
  </si>
  <si>
    <t>GLF4</t>
  </si>
  <si>
    <t>GLF5</t>
  </si>
  <si>
    <t>GLF6</t>
  </si>
  <si>
    <t>HA4T</t>
  </si>
  <si>
    <t>HDJT</t>
  </si>
  <si>
    <t>J328</t>
  </si>
  <si>
    <t>K35R</t>
  </si>
  <si>
    <t>LEG2</t>
  </si>
  <si>
    <t>LGEZ</t>
  </si>
  <si>
    <t>LJ31</t>
  </si>
  <si>
    <t>LJ35</t>
  </si>
  <si>
    <t>LJ60</t>
  </si>
  <si>
    <t>M600</t>
  </si>
  <si>
    <t>MD82</t>
  </si>
  <si>
    <t>MD83</t>
  </si>
  <si>
    <t>MD90</t>
  </si>
  <si>
    <t>MO20</t>
  </si>
  <si>
    <t>MU2</t>
  </si>
  <si>
    <t>P3</t>
  </si>
  <si>
    <t>PA27</t>
  </si>
  <si>
    <t>PA31</t>
  </si>
  <si>
    <t>PA44</t>
  </si>
  <si>
    <t>PAY1</t>
  </si>
  <si>
    <t>PC24</t>
  </si>
  <si>
    <t>PRM1</t>
  </si>
  <si>
    <t>R135</t>
  </si>
  <si>
    <t>RJ85</t>
  </si>
  <si>
    <t>RV10</t>
  </si>
  <si>
    <t>RV12</t>
  </si>
  <si>
    <t>S22T</t>
  </si>
  <si>
    <t>SF34</t>
  </si>
  <si>
    <t>SF50</t>
  </si>
  <si>
    <t>SH36</t>
  </si>
  <si>
    <t>SW3</t>
  </si>
  <si>
    <t>T34P</t>
  </si>
  <si>
    <t>T38</t>
  </si>
  <si>
    <t>TBM9</t>
  </si>
  <si>
    <t>TEX2</t>
  </si>
  <si>
    <t>Unknown</t>
  </si>
  <si>
    <t>Grant County International</t>
  </si>
  <si>
    <t>14L-32R</t>
  </si>
  <si>
    <t>A124</t>
  </si>
  <si>
    <t>5D</t>
  </si>
  <si>
    <t>A4</t>
  </si>
  <si>
    <t>3D</t>
  </si>
  <si>
    <t>AT43</t>
  </si>
  <si>
    <t>B39M</t>
  </si>
  <si>
    <t>B703</t>
  </si>
  <si>
    <t>B732</t>
  </si>
  <si>
    <t>B736</t>
  </si>
  <si>
    <t>B744</t>
  </si>
  <si>
    <t>2D/2D2</t>
  </si>
  <si>
    <t>B748</t>
  </si>
  <si>
    <t>B763</t>
  </si>
  <si>
    <t>B772</t>
  </si>
  <si>
    <t>B773</t>
  </si>
  <si>
    <t>B779</t>
  </si>
  <si>
    <t>B77L</t>
  </si>
  <si>
    <t>B77W</t>
  </si>
  <si>
    <t>B788</t>
  </si>
  <si>
    <t>B789</t>
  </si>
  <si>
    <t>B78X</t>
  </si>
  <si>
    <t>CVLT</t>
  </si>
  <si>
    <t>DG15</t>
  </si>
  <si>
    <t>F15</t>
  </si>
  <si>
    <t>MRJ9</t>
  </si>
  <si>
    <t>14R-32L</t>
  </si>
  <si>
    <t>18-36</t>
  </si>
  <si>
    <t>4-22</t>
  </si>
  <si>
    <t>AT3P</t>
  </si>
  <si>
    <t>B06</t>
  </si>
  <si>
    <t>B461</t>
  </si>
  <si>
    <t>Ottumwa Regional</t>
  </si>
  <si>
    <t>04-22</t>
  </si>
  <si>
    <t>ERCO</t>
  </si>
  <si>
    <t>Indianapolis Regional</t>
  </si>
  <si>
    <t>07-25</t>
  </si>
  <si>
    <t>AC6L</t>
  </si>
  <si>
    <t>Chippewa County International</t>
  </si>
  <si>
    <t>16-34</t>
  </si>
  <si>
    <t>A332</t>
  </si>
  <si>
    <t>Layer
Type</t>
  </si>
  <si>
    <t>Layer
Order</t>
  </si>
  <si>
    <t>Surface
Category</t>
  </si>
  <si>
    <t>Area
(m2)</t>
  </si>
  <si>
    <t>Layer
Thickness
(mm)</t>
  </si>
  <si>
    <t>Layer
Thickness
(in)</t>
  </si>
  <si>
    <t>Branch
Use</t>
  </si>
  <si>
    <t>Material
Type</t>
  </si>
  <si>
    <t>ICAO Code</t>
  </si>
  <si>
    <t>KLHX</t>
  </si>
  <si>
    <t>KPUB</t>
  </si>
  <si>
    <t>KMQJ</t>
  </si>
  <si>
    <t>Chippewa County International Airport, Sault St</t>
  </si>
  <si>
    <t>KCIU</t>
  </si>
  <si>
    <t>KOTM</t>
  </si>
  <si>
    <t>KMWH</t>
  </si>
  <si>
    <t>Code:</t>
  </si>
  <si>
    <t>Name:</t>
  </si>
  <si>
    <t>.</t>
  </si>
  <si>
    <t>CAGR</t>
  </si>
  <si>
    <t>Forecasts</t>
  </si>
  <si>
    <t>Fiscal</t>
  </si>
  <si>
    <t>Air</t>
  </si>
  <si>
    <t>Carrier</t>
  </si>
  <si>
    <t>Commuter</t>
  </si>
  <si>
    <t>Total</t>
  </si>
  <si>
    <t>Air Taxi &amp;</t>
  </si>
  <si>
    <t>GA</t>
  </si>
  <si>
    <t>Military</t>
  </si>
  <si>
    <t>Civil</t>
  </si>
  <si>
    <t>Ops</t>
  </si>
  <si>
    <t>Tracon</t>
  </si>
  <si>
    <t>Based</t>
  </si>
  <si>
    <t>Aircraft</t>
  </si>
  <si>
    <t>Check Bottom</t>
  </si>
  <si>
    <t>TERMINAL AREA FORECAST DETAIL REPORT (TAF) USED</t>
  </si>
  <si>
    <t>Pueblo Memorial Airport, Pueblo
(Scenario 2 was preferred according to Master Plan)</t>
  </si>
  <si>
    <t>Design</t>
  </si>
  <si>
    <t>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</si>
</sst>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73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E1CCF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6"/>
      <color theme="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87BE62"/>
        <bgColor indexed="64"/>
      </patternFill>
    </fill>
    <fill>
      <patternFill patternType="solid">
        <fgColor rgb="FF669D4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39BE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1CC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7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0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13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2" fillId="13" borderId="8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 wrapText="1"/>
    </xf>
    <xf numFmtId="0" fontId="2" fillId="13" borderId="10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0" fillId="14" borderId="15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1" borderId="14" xfId="0" applyFill="1" applyBorder="1"/>
    <xf numFmtId="0" fontId="0" fillId="11" borderId="15" xfId="0" applyFill="1" applyBorder="1" applyAlignment="1">
      <alignment horizontal="center"/>
    </xf>
    <xf numFmtId="0" fontId="0" fillId="4" borderId="11" xfId="0" applyFill="1" applyBorder="1"/>
    <xf numFmtId="0" fontId="0" fillId="4" borderId="12" xfId="0" applyFill="1" applyBorder="1" applyAlignment="1">
      <alignment horizontal="center"/>
    </xf>
    <xf numFmtId="0" fontId="0" fillId="4" borderId="13" xfId="0" applyFill="1" applyBorder="1"/>
    <xf numFmtId="0" fontId="0" fillId="12" borderId="13" xfId="0" applyFill="1" applyBorder="1"/>
    <xf numFmtId="0" fontId="0" fillId="12" borderId="14" xfId="0" applyFill="1" applyBorder="1"/>
    <xf numFmtId="0" fontId="0" fillId="12" borderId="15" xfId="0" applyFill="1" applyBorder="1" applyAlignment="1">
      <alignment horizontal="center"/>
    </xf>
    <xf numFmtId="0" fontId="0" fillId="2" borderId="16" xfId="0" applyFill="1" applyBorder="1"/>
    <xf numFmtId="0" fontId="0" fillId="2" borderId="17" xfId="0" applyFill="1" applyBorder="1"/>
    <xf numFmtId="0" fontId="0" fillId="3" borderId="17" xfId="0" applyFill="1" applyBorder="1"/>
    <xf numFmtId="0" fontId="0" fillId="3" borderId="18" xfId="0" applyFill="1" applyBorder="1"/>
    <xf numFmtId="0" fontId="0" fillId="14" borderId="16" xfId="0" applyFill="1" applyBorder="1"/>
    <xf numFmtId="0" fontId="0" fillId="14" borderId="17" xfId="0" applyFill="1" applyBorder="1"/>
    <xf numFmtId="0" fontId="0" fillId="14" borderId="18" xfId="0" applyFill="1" applyBorder="1"/>
    <xf numFmtId="0" fontId="0" fillId="6" borderId="16" xfId="0" applyFill="1" applyBorder="1"/>
    <xf numFmtId="0" fontId="0" fillId="6" borderId="17" xfId="0" applyFill="1" applyBorder="1"/>
    <xf numFmtId="0" fontId="0" fillId="5" borderId="17" xfId="0" applyFill="1" applyBorder="1"/>
    <xf numFmtId="0" fontId="0" fillId="7" borderId="17" xfId="0" applyFill="1" applyBorder="1"/>
    <xf numFmtId="0" fontId="0" fillId="8" borderId="17" xfId="0" applyFill="1" applyBorder="1"/>
    <xf numFmtId="0" fontId="0" fillId="8" borderId="18" xfId="0" applyFill="1" applyBorder="1"/>
    <xf numFmtId="0" fontId="0" fillId="9" borderId="16" xfId="0" applyFill="1" applyBorder="1"/>
    <xf numFmtId="0" fontId="0" fillId="9" borderId="18" xfId="0" applyFill="1" applyBorder="1"/>
    <xf numFmtId="0" fontId="0" fillId="10" borderId="16" xfId="0" applyFill="1" applyBorder="1"/>
    <xf numFmtId="0" fontId="0" fillId="11" borderId="18" xfId="0" applyFill="1" applyBorder="1"/>
    <xf numFmtId="0" fontId="0" fillId="4" borderId="16" xfId="0" applyFill="1" applyBorder="1"/>
    <xf numFmtId="0" fontId="0" fillId="4" borderId="17" xfId="0" applyFill="1" applyBorder="1"/>
    <xf numFmtId="0" fontId="0" fillId="12" borderId="17" xfId="0" applyFill="1" applyBorder="1"/>
    <xf numFmtId="0" fontId="0" fillId="12" borderId="18" xfId="0" applyFill="1" applyBorder="1"/>
    <xf numFmtId="164" fontId="0" fillId="2" borderId="12" xfId="0" applyNumberFormat="1" applyFill="1" applyBorder="1"/>
    <xf numFmtId="164" fontId="0" fillId="2" borderId="6" xfId="0" applyNumberFormat="1" applyFill="1" applyBorder="1"/>
    <xf numFmtId="164" fontId="0" fillId="3" borderId="6" xfId="0" applyNumberFormat="1" applyFill="1" applyBorder="1"/>
    <xf numFmtId="164" fontId="0" fillId="3" borderId="15" xfId="0" applyNumberFormat="1" applyFill="1" applyBorder="1"/>
    <xf numFmtId="164" fontId="0" fillId="14" borderId="12" xfId="0" applyNumberFormat="1" applyFill="1" applyBorder="1"/>
    <xf numFmtId="164" fontId="0" fillId="14" borderId="6" xfId="0" applyNumberFormat="1" applyFill="1" applyBorder="1"/>
    <xf numFmtId="164" fontId="0" fillId="14" borderId="15" xfId="0" applyNumberFormat="1" applyFill="1" applyBorder="1"/>
    <xf numFmtId="164" fontId="0" fillId="6" borderId="12" xfId="0" applyNumberFormat="1" applyFill="1" applyBorder="1"/>
    <xf numFmtId="164" fontId="0" fillId="6" borderId="6" xfId="0" applyNumberFormat="1" applyFill="1" applyBorder="1"/>
    <xf numFmtId="164" fontId="0" fillId="5" borderId="6" xfId="0" applyNumberFormat="1" applyFill="1" applyBorder="1"/>
    <xf numFmtId="164" fontId="0" fillId="7" borderId="6" xfId="0" applyNumberFormat="1" applyFill="1" applyBorder="1"/>
    <xf numFmtId="164" fontId="0" fillId="8" borderId="6" xfId="0" applyNumberFormat="1" applyFill="1" applyBorder="1"/>
    <xf numFmtId="164" fontId="0" fillId="8" borderId="15" xfId="0" applyNumberFormat="1" applyFill="1" applyBorder="1"/>
    <xf numFmtId="164" fontId="0" fillId="9" borderId="12" xfId="0" applyNumberFormat="1" applyFill="1" applyBorder="1"/>
    <xf numFmtId="164" fontId="0" fillId="9" borderId="15" xfId="0" applyNumberFormat="1" applyFill="1" applyBorder="1"/>
    <xf numFmtId="164" fontId="0" fillId="10" borderId="12" xfId="0" applyNumberFormat="1" applyFill="1" applyBorder="1"/>
    <xf numFmtId="164" fontId="0" fillId="11" borderId="15" xfId="0" applyNumberFormat="1" applyFill="1" applyBorder="1"/>
    <xf numFmtId="164" fontId="0" fillId="4" borderId="12" xfId="0" applyNumberFormat="1" applyFill="1" applyBorder="1"/>
    <xf numFmtId="164" fontId="0" fillId="4" borderId="6" xfId="0" applyNumberFormat="1" applyFill="1" applyBorder="1"/>
    <xf numFmtId="164" fontId="0" fillId="12" borderId="6" xfId="0" applyNumberFormat="1" applyFill="1" applyBorder="1"/>
    <xf numFmtId="164" fontId="0" fillId="12" borderId="15" xfId="0" applyNumberFormat="1" applyFill="1" applyBorder="1"/>
    <xf numFmtId="0" fontId="0" fillId="2" borderId="19" xfId="0" applyFill="1" applyBorder="1"/>
    <xf numFmtId="0" fontId="0" fillId="2" borderId="20" xfId="0" applyFill="1" applyBorder="1"/>
    <xf numFmtId="0" fontId="0" fillId="3" borderId="20" xfId="0" applyFill="1" applyBorder="1"/>
    <xf numFmtId="0" fontId="0" fillId="3" borderId="21" xfId="0" applyFill="1" applyBorder="1"/>
    <xf numFmtId="0" fontId="0" fillId="14" borderId="19" xfId="0" applyFill="1" applyBorder="1"/>
    <xf numFmtId="0" fontId="0" fillId="14" borderId="20" xfId="0" applyFill="1" applyBorder="1"/>
    <xf numFmtId="0" fontId="0" fillId="14" borderId="21" xfId="0" applyFill="1" applyBorder="1"/>
    <xf numFmtId="0" fontId="0" fillId="6" borderId="19" xfId="0" applyFill="1" applyBorder="1"/>
    <xf numFmtId="0" fontId="0" fillId="6" borderId="20" xfId="0" applyFill="1" applyBorder="1"/>
    <xf numFmtId="0" fontId="0" fillId="5" borderId="20" xfId="0" applyFill="1" applyBorder="1"/>
    <xf numFmtId="0" fontId="0" fillId="7" borderId="20" xfId="0" applyFill="1" applyBorder="1"/>
    <xf numFmtId="0" fontId="0" fillId="8" borderId="20" xfId="0" applyFill="1" applyBorder="1"/>
    <xf numFmtId="0" fontId="0" fillId="8" borderId="21" xfId="0" applyFill="1" applyBorder="1"/>
    <xf numFmtId="0" fontId="0" fillId="9" borderId="19" xfId="0" applyFill="1" applyBorder="1"/>
    <xf numFmtId="0" fontId="0" fillId="9" borderId="21" xfId="0" applyFill="1" applyBorder="1"/>
    <xf numFmtId="0" fontId="0" fillId="10" borderId="19" xfId="0" applyFill="1" applyBorder="1"/>
    <xf numFmtId="0" fontId="0" fillId="11" borderId="21" xfId="0" applyFill="1" applyBorder="1"/>
    <xf numFmtId="0" fontId="0" fillId="4" borderId="19" xfId="0" applyFill="1" applyBorder="1"/>
    <xf numFmtId="0" fontId="0" fillId="4" borderId="20" xfId="0" applyFill="1" applyBorder="1"/>
    <xf numFmtId="0" fontId="0" fillId="12" borderId="20" xfId="0" applyFill="1" applyBorder="1"/>
    <xf numFmtId="0" fontId="0" fillId="12" borderId="21" xfId="0" applyFill="1" applyBorder="1"/>
    <xf numFmtId="0" fontId="0" fillId="11" borderId="25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0" fillId="12" borderId="25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4" borderId="16" xfId="0" applyFill="1" applyBorder="1" applyAlignment="1">
      <alignment horizontal="center"/>
    </xf>
    <xf numFmtId="0" fontId="0" fillId="14" borderId="13" xfId="0" applyFill="1" applyBorder="1" applyAlignment="1">
      <alignment horizontal="center"/>
    </xf>
    <xf numFmtId="0" fontId="0" fillId="14" borderId="17" xfId="0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0" fontId="0" fillId="14" borderId="18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16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12" borderId="18" xfId="0" applyFill="1" applyBorder="1" applyAlignment="1">
      <alignment horizontal="center"/>
    </xf>
    <xf numFmtId="0" fontId="2" fillId="13" borderId="22" xfId="0" applyFont="1" applyFill="1" applyBorder="1" applyAlignment="1">
      <alignment horizontal="center" vertical="center" wrapText="1"/>
    </xf>
    <xf numFmtId="0" fontId="2" fillId="13" borderId="10" xfId="0" applyFont="1" applyFill="1" applyBorder="1" applyAlignment="1">
      <alignment horizontal="center" vertical="center" wrapText="1"/>
    </xf>
    <xf numFmtId="0" fontId="2" fillId="13" borderId="8" xfId="0" applyFont="1" applyFill="1" applyBorder="1" applyAlignment="1">
      <alignment horizontal="center" vertical="center" wrapText="1"/>
    </xf>
    <xf numFmtId="164" fontId="0" fillId="2" borderId="11" xfId="0" applyNumberFormat="1" applyFill="1" applyBorder="1"/>
    <xf numFmtId="164" fontId="0" fillId="2" borderId="16" xfId="0" applyNumberFormat="1" applyFill="1" applyBorder="1"/>
    <xf numFmtId="164" fontId="0" fillId="2" borderId="13" xfId="0" applyNumberFormat="1" applyFill="1" applyBorder="1"/>
    <xf numFmtId="164" fontId="0" fillId="2" borderId="17" xfId="0" applyNumberFormat="1" applyFill="1" applyBorder="1"/>
    <xf numFmtId="164" fontId="0" fillId="3" borderId="13" xfId="0" applyNumberFormat="1" applyFill="1" applyBorder="1"/>
    <xf numFmtId="164" fontId="0" fillId="3" borderId="17" xfId="0" applyNumberFormat="1" applyFill="1" applyBorder="1"/>
    <xf numFmtId="164" fontId="0" fillId="3" borderId="14" xfId="0" applyNumberFormat="1" applyFill="1" applyBorder="1"/>
    <xf numFmtId="164" fontId="0" fillId="3" borderId="18" xfId="0" applyNumberFormat="1" applyFill="1" applyBorder="1"/>
    <xf numFmtId="164" fontId="0" fillId="14" borderId="11" xfId="0" applyNumberFormat="1" applyFill="1" applyBorder="1"/>
    <xf numFmtId="164" fontId="0" fillId="14" borderId="16" xfId="0" applyNumberFormat="1" applyFill="1" applyBorder="1"/>
    <xf numFmtId="164" fontId="0" fillId="14" borderId="13" xfId="0" applyNumberFormat="1" applyFill="1" applyBorder="1"/>
    <xf numFmtId="164" fontId="0" fillId="14" borderId="17" xfId="0" applyNumberFormat="1" applyFill="1" applyBorder="1"/>
    <xf numFmtId="164" fontId="0" fillId="14" borderId="14" xfId="0" applyNumberFormat="1" applyFill="1" applyBorder="1"/>
    <xf numFmtId="164" fontId="0" fillId="14" borderId="18" xfId="0" applyNumberFormat="1" applyFill="1" applyBorder="1"/>
    <xf numFmtId="164" fontId="0" fillId="6" borderId="11" xfId="0" applyNumberFormat="1" applyFill="1" applyBorder="1"/>
    <xf numFmtId="164" fontId="0" fillId="6" borderId="16" xfId="0" applyNumberFormat="1" applyFill="1" applyBorder="1"/>
    <xf numFmtId="164" fontId="0" fillId="6" borderId="13" xfId="0" applyNumberFormat="1" applyFill="1" applyBorder="1"/>
    <xf numFmtId="164" fontId="0" fillId="6" borderId="17" xfId="0" applyNumberFormat="1" applyFill="1" applyBorder="1"/>
    <xf numFmtId="164" fontId="0" fillId="5" borderId="13" xfId="0" applyNumberFormat="1" applyFill="1" applyBorder="1"/>
    <xf numFmtId="164" fontId="0" fillId="5" borderId="17" xfId="0" applyNumberFormat="1" applyFill="1" applyBorder="1"/>
    <xf numFmtId="164" fontId="0" fillId="7" borderId="13" xfId="0" applyNumberFormat="1" applyFill="1" applyBorder="1"/>
    <xf numFmtId="164" fontId="0" fillId="7" borderId="17" xfId="0" applyNumberFormat="1" applyFill="1" applyBorder="1"/>
    <xf numFmtId="164" fontId="0" fillId="8" borderId="13" xfId="0" applyNumberFormat="1" applyFill="1" applyBorder="1"/>
    <xf numFmtId="164" fontId="0" fillId="8" borderId="17" xfId="0" applyNumberFormat="1" applyFill="1" applyBorder="1"/>
    <xf numFmtId="164" fontId="0" fillId="8" borderId="14" xfId="0" applyNumberFormat="1" applyFill="1" applyBorder="1"/>
    <xf numFmtId="164" fontId="0" fillId="8" borderId="18" xfId="0" applyNumberFormat="1" applyFill="1" applyBorder="1"/>
    <xf numFmtId="164" fontId="0" fillId="9" borderId="11" xfId="0" applyNumberFormat="1" applyFill="1" applyBorder="1"/>
    <xf numFmtId="164" fontId="0" fillId="9" borderId="16" xfId="0" applyNumberFormat="1" applyFill="1" applyBorder="1"/>
    <xf numFmtId="164" fontId="0" fillId="9" borderId="14" xfId="0" applyNumberFormat="1" applyFill="1" applyBorder="1"/>
    <xf numFmtId="164" fontId="0" fillId="9" borderId="18" xfId="0" applyNumberFormat="1" applyFill="1" applyBorder="1"/>
    <xf numFmtId="164" fontId="0" fillId="10" borderId="11" xfId="0" applyNumberFormat="1" applyFill="1" applyBorder="1"/>
    <xf numFmtId="164" fontId="0" fillId="10" borderId="16" xfId="0" applyNumberFormat="1" applyFill="1" applyBorder="1"/>
    <xf numFmtId="164" fontId="0" fillId="11" borderId="14" xfId="0" applyNumberFormat="1" applyFill="1" applyBorder="1"/>
    <xf numFmtId="164" fontId="0" fillId="11" borderId="18" xfId="0" applyNumberFormat="1" applyFill="1" applyBorder="1"/>
    <xf numFmtId="164" fontId="0" fillId="4" borderId="11" xfId="0" applyNumberFormat="1" applyFill="1" applyBorder="1"/>
    <xf numFmtId="164" fontId="0" fillId="4" borderId="16" xfId="0" applyNumberFormat="1" applyFill="1" applyBorder="1"/>
    <xf numFmtId="164" fontId="0" fillId="4" borderId="13" xfId="0" applyNumberFormat="1" applyFill="1" applyBorder="1"/>
    <xf numFmtId="164" fontId="0" fillId="4" borderId="17" xfId="0" applyNumberFormat="1" applyFill="1" applyBorder="1"/>
    <xf numFmtId="164" fontId="0" fillId="12" borderId="13" xfId="0" applyNumberFormat="1" applyFill="1" applyBorder="1"/>
    <xf numFmtId="164" fontId="0" fillId="12" borderId="17" xfId="0" applyNumberFormat="1" applyFill="1" applyBorder="1"/>
    <xf numFmtId="164" fontId="0" fillId="12" borderId="14" xfId="0" applyNumberFormat="1" applyFill="1" applyBorder="1"/>
    <xf numFmtId="164" fontId="0" fillId="12" borderId="18" xfId="0" applyNumberFormat="1" applyFill="1" applyBorder="1"/>
    <xf numFmtId="0" fontId="0" fillId="2" borderId="23" xfId="0" applyFill="1" applyBorder="1"/>
    <xf numFmtId="0" fontId="0" fillId="2" borderId="24" xfId="0" applyFill="1" applyBorder="1"/>
    <xf numFmtId="0" fontId="0" fillId="3" borderId="24" xfId="0" applyFill="1" applyBorder="1"/>
    <xf numFmtId="0" fontId="0" fillId="3" borderId="25" xfId="0" applyFill="1" applyBorder="1"/>
    <xf numFmtId="0" fontId="0" fillId="14" borderId="23" xfId="0" applyFill="1" applyBorder="1"/>
    <xf numFmtId="0" fontId="0" fillId="14" borderId="24" xfId="0" applyFill="1" applyBorder="1"/>
    <xf numFmtId="0" fontId="0" fillId="14" borderId="25" xfId="0" applyFill="1" applyBorder="1"/>
    <xf numFmtId="0" fontId="0" fillId="6" borderId="23" xfId="0" applyFill="1" applyBorder="1"/>
    <xf numFmtId="0" fontId="0" fillId="6" borderId="24" xfId="0" applyFill="1" applyBorder="1"/>
    <xf numFmtId="0" fontId="0" fillId="5" borderId="24" xfId="0" applyFill="1" applyBorder="1"/>
    <xf numFmtId="0" fontId="0" fillId="7" borderId="24" xfId="0" applyFill="1" applyBorder="1"/>
    <xf numFmtId="0" fontId="0" fillId="8" borderId="24" xfId="0" applyFill="1" applyBorder="1"/>
    <xf numFmtId="0" fontId="0" fillId="8" borderId="25" xfId="0" applyFill="1" applyBorder="1"/>
    <xf numFmtId="0" fontId="0" fillId="9" borderId="23" xfId="0" applyFill="1" applyBorder="1"/>
    <xf numFmtId="0" fontId="0" fillId="9" borderId="25" xfId="0" applyFill="1" applyBorder="1"/>
    <xf numFmtId="0" fontId="0" fillId="10" borderId="23" xfId="0" applyFill="1" applyBorder="1"/>
    <xf numFmtId="0" fontId="2" fillId="13" borderId="26" xfId="0" applyFont="1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14" borderId="27" xfId="0" applyFill="1" applyBorder="1" applyAlignment="1">
      <alignment horizontal="center"/>
    </xf>
    <xf numFmtId="0" fontId="0" fillId="14" borderId="28" xfId="0" applyFill="1" applyBorder="1" applyAlignment="1">
      <alignment horizontal="center"/>
    </xf>
    <xf numFmtId="0" fontId="0" fillId="14" borderId="29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6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10" borderId="27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12" borderId="28" xfId="0" applyFill="1" applyBorder="1" applyAlignment="1">
      <alignment horizontal="center"/>
    </xf>
    <xf numFmtId="0" fontId="0" fillId="12" borderId="29" xfId="0" applyFill="1" applyBorder="1" applyAlignment="1">
      <alignment horizontal="center"/>
    </xf>
    <xf numFmtId="0" fontId="4" fillId="0" borderId="30" xfId="0" applyFont="1" applyBorder="1" applyAlignment="1">
      <alignment horizontal="left" vertical="center" wrapText="1" indent="1" readingOrder="1"/>
    </xf>
    <xf numFmtId="0" fontId="4" fillId="0" borderId="30" xfId="0" applyFont="1" applyBorder="1" applyAlignment="1">
      <alignment vertical="center" wrapText="1" readingOrder="1"/>
    </xf>
    <xf numFmtId="0" fontId="3" fillId="0" borderId="30" xfId="0" applyFont="1" applyBorder="1" applyAlignment="1">
      <alignment horizontal="left" vertical="center" wrapText="1" indent="1" readingOrder="1"/>
    </xf>
    <xf numFmtId="0" fontId="3" fillId="0" borderId="30" xfId="0" applyFont="1" applyBorder="1" applyAlignment="1">
      <alignment vertical="center" wrapText="1" readingOrder="1"/>
    </xf>
    <xf numFmtId="0" fontId="0" fillId="15" borderId="21" xfId="0" applyFill="1" applyBorder="1"/>
    <xf numFmtId="0" fontId="0" fillId="15" borderId="14" xfId="0" applyFill="1" applyBorder="1" applyAlignment="1">
      <alignment horizontal="center"/>
    </xf>
    <xf numFmtId="0" fontId="0" fillId="15" borderId="15" xfId="0" applyFill="1" applyBorder="1" applyAlignment="1">
      <alignment horizontal="center"/>
    </xf>
    <xf numFmtId="0" fontId="0" fillId="15" borderId="18" xfId="0" applyFill="1" applyBorder="1" applyAlignment="1">
      <alignment horizontal="center"/>
    </xf>
    <xf numFmtId="164" fontId="0" fillId="15" borderId="14" xfId="0" applyNumberFormat="1" applyFill="1" applyBorder="1"/>
    <xf numFmtId="164" fontId="0" fillId="15" borderId="15" xfId="0" applyNumberFormat="1" applyFill="1" applyBorder="1"/>
    <xf numFmtId="164" fontId="0" fillId="15" borderId="18" xfId="0" applyNumberFormat="1" applyFill="1" applyBorder="1"/>
    <xf numFmtId="0" fontId="0" fillId="15" borderId="18" xfId="0" applyFill="1" applyBorder="1"/>
    <xf numFmtId="0" fontId="0" fillId="15" borderId="29" xfId="0" applyFill="1" applyBorder="1" applyAlignment="1">
      <alignment horizontal="center"/>
    </xf>
    <xf numFmtId="0" fontId="0" fillId="15" borderId="19" xfId="0" applyFill="1" applyBorder="1"/>
    <xf numFmtId="0" fontId="0" fillId="15" borderId="11" xfId="0" applyFill="1" applyBorder="1" applyAlignment="1">
      <alignment horizontal="center"/>
    </xf>
    <xf numFmtId="0" fontId="0" fillId="15" borderId="12" xfId="0" applyFill="1" applyBorder="1" applyAlignment="1">
      <alignment horizontal="center"/>
    </xf>
    <xf numFmtId="0" fontId="0" fillId="15" borderId="16" xfId="0" applyFill="1" applyBorder="1" applyAlignment="1">
      <alignment horizontal="center"/>
    </xf>
    <xf numFmtId="164" fontId="0" fillId="15" borderId="11" xfId="0" applyNumberFormat="1" applyFill="1" applyBorder="1"/>
    <xf numFmtId="164" fontId="0" fillId="15" borderId="12" xfId="0" applyNumberFormat="1" applyFill="1" applyBorder="1"/>
    <xf numFmtId="164" fontId="0" fillId="15" borderId="16" xfId="0" applyNumberFormat="1" applyFill="1" applyBorder="1"/>
    <xf numFmtId="0" fontId="0" fillId="15" borderId="16" xfId="0" applyFill="1" applyBorder="1"/>
    <xf numFmtId="0" fontId="0" fillId="15" borderId="27" xfId="0" applyFill="1" applyBorder="1" applyAlignment="1">
      <alignment horizontal="center"/>
    </xf>
    <xf numFmtId="0" fontId="0" fillId="10" borderId="31" xfId="0" applyFill="1" applyBorder="1"/>
    <xf numFmtId="0" fontId="0" fillId="10" borderId="32" xfId="0" applyFill="1" applyBorder="1" applyAlignment="1">
      <alignment horizontal="center"/>
    </xf>
    <xf numFmtId="0" fontId="0" fillId="10" borderId="33" xfId="0" applyFill="1" applyBorder="1" applyAlignment="1">
      <alignment horizontal="center"/>
    </xf>
    <xf numFmtId="0" fontId="0" fillId="10" borderId="34" xfId="0" applyFill="1" applyBorder="1" applyAlignment="1">
      <alignment horizontal="center"/>
    </xf>
    <xf numFmtId="164" fontId="0" fillId="10" borderId="32" xfId="0" applyNumberFormat="1" applyFill="1" applyBorder="1"/>
    <xf numFmtId="164" fontId="0" fillId="10" borderId="33" xfId="0" applyNumberFormat="1" applyFill="1" applyBorder="1"/>
    <xf numFmtId="164" fontId="0" fillId="10" borderId="34" xfId="0" applyNumberFormat="1" applyFill="1" applyBorder="1"/>
    <xf numFmtId="0" fontId="0" fillId="10" borderId="34" xfId="0" applyFill="1" applyBorder="1"/>
    <xf numFmtId="0" fontId="0" fillId="10" borderId="35" xfId="0" applyFill="1" applyBorder="1"/>
    <xf numFmtId="0" fontId="0" fillId="10" borderId="36" xfId="0" applyFill="1" applyBorder="1" applyAlignment="1">
      <alignment horizontal="center"/>
    </xf>
    <xf numFmtId="0" fontId="0" fillId="11" borderId="37" xfId="0" applyFill="1" applyBorder="1"/>
    <xf numFmtId="0" fontId="0" fillId="11" borderId="38" xfId="0" applyFill="1" applyBorder="1" applyAlignment="1">
      <alignment horizontal="center"/>
    </xf>
    <xf numFmtId="0" fontId="0" fillId="11" borderId="39" xfId="0" applyFill="1" applyBorder="1" applyAlignment="1">
      <alignment horizontal="center"/>
    </xf>
    <xf numFmtId="164" fontId="0" fillId="11" borderId="38" xfId="0" applyNumberFormat="1" applyFill="1" applyBorder="1"/>
    <xf numFmtId="164" fontId="0" fillId="11" borderId="7" xfId="0" applyNumberFormat="1" applyFill="1" applyBorder="1"/>
    <xf numFmtId="164" fontId="0" fillId="11" borderId="39" xfId="0" applyNumberFormat="1" applyFill="1" applyBorder="1"/>
    <xf numFmtId="0" fontId="0" fillId="11" borderId="39" xfId="0" applyFill="1" applyBorder="1"/>
    <xf numFmtId="0" fontId="0" fillId="11" borderId="41" xfId="0" applyFill="1" applyBorder="1" applyAlignment="1">
      <alignment horizontal="center"/>
    </xf>
    <xf numFmtId="0" fontId="0" fillId="15" borderId="11" xfId="0" applyFill="1" applyBorder="1"/>
    <xf numFmtId="0" fontId="0" fillId="15" borderId="14" xfId="0" applyFill="1" applyBorder="1"/>
    <xf numFmtId="0" fontId="0" fillId="15" borderId="23" xfId="0" applyFill="1" applyBorder="1" applyAlignment="1">
      <alignment horizontal="center"/>
    </xf>
    <xf numFmtId="0" fontId="0" fillId="15" borderId="25" xfId="0" applyFill="1" applyBorder="1" applyAlignment="1">
      <alignment horizontal="center"/>
    </xf>
    <xf numFmtId="0" fontId="0" fillId="11" borderId="40" xfId="0" applyFill="1" applyBorder="1" applyAlignment="1">
      <alignment horizontal="center"/>
    </xf>
    <xf numFmtId="0" fontId="0" fillId="15" borderId="27" xfId="0" applyFill="1" applyBorder="1"/>
    <xf numFmtId="0" fontId="0" fillId="15" borderId="29" xfId="0" applyFill="1" applyBorder="1"/>
    <xf numFmtId="0" fontId="0" fillId="11" borderId="41" xfId="0" applyFill="1" applyBorder="1"/>
    <xf numFmtId="0" fontId="0" fillId="11" borderId="29" xfId="0" applyFill="1" applyBorder="1"/>
    <xf numFmtId="0" fontId="0" fillId="4" borderId="27" xfId="0" applyFill="1" applyBorder="1"/>
    <xf numFmtId="0" fontId="0" fillId="4" borderId="28" xfId="0" applyFill="1" applyBorder="1"/>
    <xf numFmtId="0" fontId="0" fillId="12" borderId="28" xfId="0" applyFill="1" applyBorder="1"/>
    <xf numFmtId="0" fontId="0" fillId="12" borderId="29" xfId="0" applyFill="1" applyBorder="1"/>
    <xf numFmtId="0" fontId="0" fillId="15" borderId="42" xfId="0" applyFill="1" applyBorder="1"/>
    <xf numFmtId="0" fontId="0" fillId="15" borderId="43" xfId="0" applyFill="1" applyBorder="1"/>
    <xf numFmtId="0" fontId="0" fillId="11" borderId="44" xfId="0" applyFill="1" applyBorder="1"/>
    <xf numFmtId="0" fontId="0" fillId="11" borderId="43" xfId="0" applyFill="1" applyBorder="1"/>
    <xf numFmtId="0" fontId="0" fillId="4" borderId="42" xfId="0" applyFill="1" applyBorder="1"/>
    <xf numFmtId="0" fontId="0" fillId="4" borderId="45" xfId="0" applyFill="1" applyBorder="1"/>
    <xf numFmtId="0" fontId="0" fillId="12" borderId="45" xfId="0" applyFill="1" applyBorder="1"/>
    <xf numFmtId="0" fontId="0" fillId="12" borderId="43" xfId="0" applyFill="1" applyBorder="1"/>
    <xf numFmtId="0" fontId="0" fillId="11" borderId="38" xfId="0" applyFill="1" applyBorder="1"/>
    <xf numFmtId="0" fontId="0" fillId="18" borderId="0" xfId="0" applyFill="1"/>
    <xf numFmtId="0" fontId="0" fillId="20" borderId="0" xfId="0" applyFill="1"/>
    <xf numFmtId="0" fontId="0" fillId="0" borderId="72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10" borderId="65" xfId="0" applyFont="1" applyFill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65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0" borderId="64" xfId="0" applyFont="1" applyBorder="1" applyAlignment="1">
      <alignment horizontal="left"/>
    </xf>
    <xf numFmtId="0" fontId="1" fillId="0" borderId="62" xfId="0" applyFont="1" applyBorder="1" applyAlignment="1">
      <alignment horizontal="left"/>
    </xf>
    <xf numFmtId="0" fontId="1" fillId="0" borderId="69" xfId="0" applyFont="1" applyBorder="1" applyAlignment="1">
      <alignment horizontal="left"/>
    </xf>
    <xf numFmtId="0" fontId="1" fillId="10" borderId="2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0" borderId="63" xfId="0" applyFont="1" applyBorder="1" applyAlignment="1">
      <alignment horizontal="left"/>
    </xf>
    <xf numFmtId="0" fontId="1" fillId="4" borderId="68" xfId="0" applyFont="1" applyFill="1" applyBorder="1" applyAlignment="1">
      <alignment horizontal="center"/>
    </xf>
    <xf numFmtId="0" fontId="1" fillId="4" borderId="63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65" xfId="0" applyFont="1" applyFill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65" xfId="0" applyFont="1" applyFill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68" xfId="0" applyFont="1" applyBorder="1" applyAlignment="1">
      <alignment horizontal="left"/>
    </xf>
    <xf numFmtId="0" fontId="1" fillId="6" borderId="4" xfId="0" applyFont="1" applyFill="1" applyBorder="1" applyAlignment="1">
      <alignment horizontal="center"/>
    </xf>
    <xf numFmtId="0" fontId="1" fillId="6" borderId="65" xfId="0" applyFont="1" applyFill="1" applyBorder="1" applyAlignment="1">
      <alignment horizontal="center"/>
    </xf>
    <xf numFmtId="0" fontId="1" fillId="14" borderId="4" xfId="0" applyFont="1" applyFill="1" applyBorder="1" applyAlignment="1">
      <alignment horizontal="center"/>
    </xf>
    <xf numFmtId="0" fontId="1" fillId="14" borderId="65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0" fontId="1" fillId="14" borderId="5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0" fillId="23" borderId="0" xfId="0" applyFill="1"/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4" borderId="0" xfId="0" applyFill="1"/>
    <xf numFmtId="0" fontId="0" fillId="24" borderId="0" xfId="0" applyFill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3" fontId="6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3" fontId="6" fillId="25" borderId="1" xfId="0" applyNumberFormat="1" applyFont="1" applyFill="1" applyBorder="1" applyAlignment="1">
      <alignment horizontal="right" vertical="center" wrapText="1"/>
    </xf>
    <xf numFmtId="0" fontId="0" fillId="23" borderId="1" xfId="0" applyFill="1" applyBorder="1"/>
    <xf numFmtId="0" fontId="0" fillId="23" borderId="0" xfId="0" applyFill="1" applyAlignment="1">
      <alignment horizontal="center" vertical="center"/>
    </xf>
    <xf numFmtId="173" fontId="0" fillId="0" borderId="0" xfId="1" applyNumberFormat="1" applyFont="1" applyAlignment="1">
      <alignment horizontal="center" vertical="center"/>
    </xf>
    <xf numFmtId="0" fontId="1" fillId="23" borderId="51" xfId="0" applyFont="1" applyFill="1" applyBorder="1" applyAlignment="1">
      <alignment horizontal="center" vertical="top"/>
    </xf>
    <xf numFmtId="0" fontId="1" fillId="0" borderId="53" xfId="0" applyFont="1" applyBorder="1" applyAlignment="1">
      <alignment horizontal="center" vertical="top"/>
    </xf>
    <xf numFmtId="0" fontId="1" fillId="0" borderId="76" xfId="0" applyFont="1" applyBorder="1" applyAlignment="1">
      <alignment horizontal="center" vertical="top"/>
    </xf>
    <xf numFmtId="0" fontId="1" fillId="0" borderId="77" xfId="0" applyFont="1" applyBorder="1" applyAlignment="1">
      <alignment horizontal="center" vertical="top"/>
    </xf>
    <xf numFmtId="0" fontId="1" fillId="0" borderId="78" xfId="0" applyFont="1" applyBorder="1" applyAlignment="1">
      <alignment horizontal="center" vertical="top"/>
    </xf>
    <xf numFmtId="0" fontId="0" fillId="16" borderId="74" xfId="0" applyFill="1" applyBorder="1"/>
    <xf numFmtId="0" fontId="0" fillId="16" borderId="0" xfId="0" applyFill="1" applyBorder="1"/>
    <xf numFmtId="0" fontId="0" fillId="16" borderId="75" xfId="0" applyFill="1" applyBorder="1"/>
    <xf numFmtId="0" fontId="0" fillId="0" borderId="74" xfId="0" applyBorder="1"/>
    <xf numFmtId="0" fontId="0" fillId="0" borderId="75" xfId="0" applyBorder="1"/>
    <xf numFmtId="0" fontId="0" fillId="17" borderId="74" xfId="0" applyFill="1" applyBorder="1"/>
    <xf numFmtId="0" fontId="0" fillId="17" borderId="0" xfId="0" applyFill="1" applyBorder="1"/>
    <xf numFmtId="0" fontId="0" fillId="17" borderId="75" xfId="0" applyFill="1" applyBorder="1"/>
    <xf numFmtId="0" fontId="1" fillId="0" borderId="51" xfId="0" applyFont="1" applyBorder="1" applyAlignment="1">
      <alignment horizontal="center" vertical="top"/>
    </xf>
    <xf numFmtId="0" fontId="0" fillId="19" borderId="74" xfId="0" applyFill="1" applyBorder="1"/>
    <xf numFmtId="0" fontId="0" fillId="19" borderId="0" xfId="0" applyFill="1" applyBorder="1"/>
    <xf numFmtId="0" fontId="0" fillId="19" borderId="75" xfId="0" applyFill="1" applyBorder="1"/>
    <xf numFmtId="0" fontId="0" fillId="21" borderId="74" xfId="0" applyFill="1" applyBorder="1"/>
    <xf numFmtId="0" fontId="0" fillId="21" borderId="0" xfId="0" applyFill="1" applyBorder="1"/>
    <xf numFmtId="0" fontId="0" fillId="21" borderId="75" xfId="0" applyFill="1" applyBorder="1"/>
    <xf numFmtId="0" fontId="0" fillId="20" borderId="74" xfId="0" applyFill="1" applyBorder="1"/>
    <xf numFmtId="0" fontId="0" fillId="20" borderId="0" xfId="0" applyFill="1" applyBorder="1"/>
    <xf numFmtId="0" fontId="0" fillId="20" borderId="75" xfId="0" applyFill="1" applyBorder="1"/>
    <xf numFmtId="0" fontId="0" fillId="22" borderId="74" xfId="0" applyFill="1" applyBorder="1"/>
    <xf numFmtId="0" fontId="0" fillId="22" borderId="0" xfId="0" applyFill="1" applyBorder="1"/>
    <xf numFmtId="0" fontId="0" fillId="22" borderId="75" xfId="0" applyFill="1" applyBorder="1"/>
  </cellXfs>
  <cellStyles count="2">
    <cellStyle name="Normal" xfId="0" builtinId="0"/>
    <cellStyle name="Percent" xfId="1" builtinId="5"/>
  </cellStyles>
  <dxfs count="2"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E1CCF0"/>
      <color rgb="FFC39BE1"/>
      <color rgb="FF669D41"/>
      <color rgb="FF87BE62"/>
      <color rgb="FF9CC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121920</xdr:colOff>
      <xdr:row>0</xdr:row>
      <xdr:rowOff>243840</xdr:rowOff>
    </xdr:from>
    <xdr:to>
      <xdr:col>13</xdr:col>
      <xdr:colOff>130083</xdr:colOff>
      <xdr:row>4</xdr:row>
      <xdr:rowOff>729339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58A1AF-A6B3-967B-A484-037AFC0C2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0" y="243840"/>
          <a:ext cx="4884963" cy="419643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2918-43A5-4D49-8286-E3480187D94C}">
  <dimension ref="A1:E14"/>
  <sheetViews>
    <sheetView workbookViewId="0">
      <selection activeCell="O2" sqref="O2"/>
    </sheetView>
  </sheetViews>
  <sheetFormatPr defaultRowHeight="14.4" x14ac:dyDescent="0.3"/>
  <cols>
    <col min="1" max="1" width="9.33203125" bestFit="1" customWidth="1"/>
  </cols>
  <sheetData>
    <row r="1" spans="1:5" ht="28.2" thickBot="1" x14ac:dyDescent="0.35">
      <c r="A1" s="227" t="s">
        <v>6</v>
      </c>
      <c r="B1" s="227" t="s">
        <v>321</v>
      </c>
      <c r="C1" s="227" t="s">
        <v>7</v>
      </c>
      <c r="D1" s="227" t="s">
        <v>15</v>
      </c>
      <c r="E1" s="228" t="s">
        <v>24</v>
      </c>
    </row>
    <row r="2" spans="1:5" ht="97.2" thickBot="1" x14ac:dyDescent="0.35">
      <c r="A2" s="229" t="s">
        <v>1</v>
      </c>
      <c r="B2" s="229" t="s">
        <v>322</v>
      </c>
      <c r="C2" s="229">
        <v>346</v>
      </c>
      <c r="D2" s="229">
        <v>2795</v>
      </c>
      <c r="E2" s="230">
        <v>6627</v>
      </c>
    </row>
    <row r="3" spans="1:5" ht="97.2" thickBot="1" x14ac:dyDescent="0.35">
      <c r="A3" s="229" t="s">
        <v>1</v>
      </c>
      <c r="B3" s="229" t="s">
        <v>322</v>
      </c>
      <c r="C3" s="229">
        <v>346</v>
      </c>
      <c r="D3" s="229">
        <v>2795</v>
      </c>
      <c r="E3" s="230">
        <v>7347</v>
      </c>
    </row>
    <row r="4" spans="1:5" ht="69.599999999999994" thickBot="1" x14ac:dyDescent="0.35">
      <c r="A4" s="229" t="s">
        <v>0</v>
      </c>
      <c r="B4" s="229" t="s">
        <v>323</v>
      </c>
      <c r="C4" s="229">
        <v>364</v>
      </c>
      <c r="D4" s="229">
        <v>2707</v>
      </c>
      <c r="E4" s="230">
        <v>6948</v>
      </c>
    </row>
    <row r="5" spans="1:5" ht="69.599999999999994" thickBot="1" x14ac:dyDescent="0.35">
      <c r="A5" s="229" t="s">
        <v>5</v>
      </c>
      <c r="B5" s="229" t="s">
        <v>324</v>
      </c>
      <c r="C5" s="229">
        <v>378</v>
      </c>
      <c r="D5" s="229">
        <v>3261</v>
      </c>
      <c r="E5" s="230">
        <v>8662</v>
      </c>
    </row>
    <row r="6" spans="1:5" ht="69.599999999999994" thickBot="1" x14ac:dyDescent="0.35">
      <c r="A6" s="229" t="s">
        <v>5</v>
      </c>
      <c r="B6" s="229" t="s">
        <v>324</v>
      </c>
      <c r="C6" s="229">
        <v>378</v>
      </c>
      <c r="D6" s="229">
        <v>3335</v>
      </c>
      <c r="E6" s="230">
        <v>8881</v>
      </c>
    </row>
    <row r="7" spans="1:5" ht="69.599999999999994" thickBot="1" x14ac:dyDescent="0.35">
      <c r="A7" s="229" t="s">
        <v>5</v>
      </c>
      <c r="B7" s="229" t="s">
        <v>324</v>
      </c>
      <c r="C7" s="229">
        <v>378</v>
      </c>
      <c r="D7" s="229">
        <v>3371</v>
      </c>
      <c r="E7" s="230">
        <v>8640</v>
      </c>
    </row>
    <row r="8" spans="1:5" ht="69.599999999999994" thickBot="1" x14ac:dyDescent="0.35">
      <c r="A8" s="229" t="s">
        <v>5</v>
      </c>
      <c r="B8" s="229" t="s">
        <v>324</v>
      </c>
      <c r="C8" s="229">
        <v>378</v>
      </c>
      <c r="D8" s="229">
        <v>3460</v>
      </c>
      <c r="E8" s="230">
        <v>8780</v>
      </c>
    </row>
    <row r="9" spans="1:5" ht="97.2" thickBot="1" x14ac:dyDescent="0.35">
      <c r="A9" s="229" t="s">
        <v>325</v>
      </c>
      <c r="B9" s="229" t="s">
        <v>326</v>
      </c>
      <c r="C9" s="229">
        <v>1017</v>
      </c>
      <c r="D9" s="229">
        <v>9167</v>
      </c>
      <c r="E9" s="230">
        <v>21222</v>
      </c>
    </row>
    <row r="10" spans="1:5" ht="83.4" thickBot="1" x14ac:dyDescent="0.35">
      <c r="A10" s="229" t="s">
        <v>3</v>
      </c>
      <c r="B10" s="229" t="s">
        <v>327</v>
      </c>
      <c r="C10" s="229">
        <v>1356</v>
      </c>
      <c r="D10" s="229">
        <v>12098</v>
      </c>
      <c r="E10" s="230">
        <v>28171</v>
      </c>
    </row>
    <row r="11" spans="1:5" ht="83.4" thickBot="1" x14ac:dyDescent="0.35">
      <c r="A11" s="229" t="s">
        <v>3</v>
      </c>
      <c r="B11" s="229" t="s">
        <v>327</v>
      </c>
      <c r="C11" s="229">
        <v>1356</v>
      </c>
      <c r="D11" s="229">
        <v>12327</v>
      </c>
      <c r="E11" s="230">
        <v>27450</v>
      </c>
    </row>
    <row r="12" spans="1:5" ht="83.4" thickBot="1" x14ac:dyDescent="0.35">
      <c r="A12" s="229" t="s">
        <v>3</v>
      </c>
      <c r="B12" s="229" t="s">
        <v>327</v>
      </c>
      <c r="C12" s="229">
        <v>1356</v>
      </c>
      <c r="D12" s="229">
        <v>12327</v>
      </c>
      <c r="E12" s="230">
        <v>27641</v>
      </c>
    </row>
    <row r="13" spans="1:5" ht="111" thickBot="1" x14ac:dyDescent="0.35">
      <c r="A13" s="229" t="s">
        <v>2</v>
      </c>
      <c r="B13" s="229" t="s">
        <v>328</v>
      </c>
      <c r="C13" s="229">
        <v>1863</v>
      </c>
      <c r="D13" s="229">
        <v>17511</v>
      </c>
      <c r="E13" s="230">
        <v>37325</v>
      </c>
    </row>
    <row r="14" spans="1:5" ht="111" thickBot="1" x14ac:dyDescent="0.35">
      <c r="A14" s="229" t="s">
        <v>2</v>
      </c>
      <c r="B14" s="229" t="s">
        <v>328</v>
      </c>
      <c r="C14" s="229">
        <v>1863</v>
      </c>
      <c r="D14" s="229">
        <v>17511</v>
      </c>
      <c r="E14" s="230">
        <v>37508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90EB9-EDBF-4F02-A497-54EF613FF07C}">
  <dimension ref="A1:U226"/>
  <sheetViews>
    <sheetView tabSelected="1" topLeftCell="A6" workbookViewId="0">
      <selection activeCell="B83" sqref="B83:B105"/>
    </sheetView>
  </sheetViews>
  <sheetFormatPr defaultRowHeight="14.4" x14ac:dyDescent="0.3"/>
  <cols>
    <col min="1" max="1" width="3.109375" customWidth="1"/>
    <col min="2" max="2" width="46.44140625" bestFit="1" customWidth="1"/>
    <col min="18" max="18" width="2.77734375" customWidth="1"/>
    <col min="21" max="21" width="3.21875" customWidth="1"/>
  </cols>
  <sheetData>
    <row r="1" spans="1:18" x14ac:dyDescent="0.3">
      <c r="A1" s="351"/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</row>
    <row r="2" spans="1:18" ht="14.4" customHeight="1" x14ac:dyDescent="0.3">
      <c r="A2" s="351"/>
      <c r="B2" s="371" t="s">
        <v>333</v>
      </c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51"/>
    </row>
    <row r="3" spans="1:18" ht="21" customHeight="1" x14ac:dyDescent="0.3">
      <c r="A3" s="351"/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51"/>
    </row>
    <row r="4" spans="1:18" x14ac:dyDescent="0.3">
      <c r="A4" s="351"/>
      <c r="B4" s="358" t="s">
        <v>1</v>
      </c>
      <c r="C4" s="369" t="s">
        <v>348</v>
      </c>
      <c r="D4" s="369"/>
      <c r="E4" s="369"/>
      <c r="F4" s="369"/>
      <c r="G4" s="369"/>
      <c r="H4" s="369"/>
      <c r="I4" s="369"/>
      <c r="J4" s="369" t="s">
        <v>347</v>
      </c>
      <c r="K4" s="369"/>
      <c r="L4" s="369"/>
      <c r="M4" s="369"/>
      <c r="N4" s="369"/>
      <c r="O4" s="369"/>
      <c r="P4" s="369"/>
      <c r="Q4" s="369"/>
      <c r="R4" s="351"/>
    </row>
    <row r="5" spans="1:18" x14ac:dyDescent="0.3">
      <c r="A5" s="351"/>
      <c r="B5" s="358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 s="369"/>
      <c r="R5" s="351"/>
    </row>
    <row r="6" spans="1:18" x14ac:dyDescent="0.3">
      <c r="A6" s="351"/>
      <c r="B6" s="358"/>
      <c r="C6" s="369"/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9"/>
      <c r="P6" s="369"/>
      <c r="Q6" s="369"/>
      <c r="R6" s="351"/>
    </row>
    <row r="7" spans="1:18" x14ac:dyDescent="0.3">
      <c r="A7" s="351"/>
      <c r="B7" s="358"/>
      <c r="C7" s="369"/>
      <c r="D7" s="369"/>
      <c r="E7" s="369"/>
      <c r="F7" s="369"/>
      <c r="G7" s="369"/>
      <c r="H7" s="369"/>
      <c r="I7" s="369"/>
      <c r="J7" s="369"/>
      <c r="K7" s="369"/>
      <c r="L7" s="369"/>
      <c r="M7" s="369"/>
      <c r="N7" s="369"/>
      <c r="O7" s="369"/>
      <c r="P7" s="369"/>
      <c r="Q7" s="369"/>
      <c r="R7" s="351"/>
    </row>
    <row r="8" spans="1:18" x14ac:dyDescent="0.3">
      <c r="A8" s="351"/>
      <c r="B8" s="358"/>
      <c r="C8" s="369"/>
      <c r="D8" s="369"/>
      <c r="E8" s="369"/>
      <c r="F8" s="369"/>
      <c r="G8" s="369"/>
      <c r="H8" s="369"/>
      <c r="I8" s="369"/>
      <c r="J8" s="369"/>
      <c r="K8" s="369"/>
      <c r="L8" s="369"/>
      <c r="M8" s="369"/>
      <c r="N8" s="369"/>
      <c r="O8" s="369"/>
      <c r="P8" s="369"/>
      <c r="Q8" s="369"/>
      <c r="R8" s="351"/>
    </row>
    <row r="9" spans="1:18" x14ac:dyDescent="0.3">
      <c r="A9" s="351"/>
      <c r="B9" s="358"/>
      <c r="C9" s="369"/>
      <c r="D9" s="369"/>
      <c r="E9" s="369"/>
      <c r="F9" s="369"/>
      <c r="G9" s="369"/>
      <c r="H9" s="369"/>
      <c r="I9" s="369"/>
      <c r="J9" s="369"/>
      <c r="K9" s="369"/>
      <c r="L9" s="369"/>
      <c r="M9" s="369"/>
      <c r="N9" s="369"/>
      <c r="O9" s="369"/>
      <c r="P9" s="369"/>
      <c r="Q9" s="369"/>
      <c r="R9" s="351"/>
    </row>
    <row r="10" spans="1:18" x14ac:dyDescent="0.3">
      <c r="A10" s="351"/>
      <c r="B10" s="358"/>
      <c r="C10" s="369"/>
      <c r="D10" s="369"/>
      <c r="E10" s="369"/>
      <c r="F10" s="369"/>
      <c r="G10" s="369"/>
      <c r="H10" s="369"/>
      <c r="I10" s="369"/>
      <c r="J10" s="369"/>
      <c r="K10" s="369"/>
      <c r="L10" s="369"/>
      <c r="M10" s="369"/>
      <c r="N10" s="369"/>
      <c r="O10" s="369"/>
      <c r="P10" s="369"/>
      <c r="Q10" s="369"/>
      <c r="R10" s="351"/>
    </row>
    <row r="11" spans="1:18" x14ac:dyDescent="0.3">
      <c r="A11" s="351"/>
      <c r="B11" s="358"/>
      <c r="C11" s="369"/>
      <c r="D11" s="369"/>
      <c r="E11" s="369"/>
      <c r="F11" s="369"/>
      <c r="G11" s="369"/>
      <c r="H11" s="369"/>
      <c r="I11" s="369"/>
      <c r="J11" s="369"/>
      <c r="K11" s="369"/>
      <c r="L11" s="369"/>
      <c r="M11" s="369"/>
      <c r="N11" s="369"/>
      <c r="O11" s="369"/>
      <c r="P11" s="369"/>
      <c r="Q11" s="369"/>
      <c r="R11" s="351"/>
    </row>
    <row r="12" spans="1:18" x14ac:dyDescent="0.3">
      <c r="A12" s="351"/>
      <c r="B12" s="358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 s="369"/>
      <c r="R12" s="351"/>
    </row>
    <row r="13" spans="1:18" x14ac:dyDescent="0.3">
      <c r="A13" s="351"/>
      <c r="B13" s="358"/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369"/>
      <c r="R13" s="351"/>
    </row>
    <row r="14" spans="1:18" x14ac:dyDescent="0.3">
      <c r="A14" s="351"/>
      <c r="B14" s="358"/>
      <c r="C14" s="369"/>
      <c r="D14" s="369"/>
      <c r="E14" s="369"/>
      <c r="F14" s="369"/>
      <c r="G14" s="369"/>
      <c r="H14" s="369"/>
      <c r="I14" s="369"/>
      <c r="J14" s="369"/>
      <c r="K14" s="369"/>
      <c r="L14" s="369"/>
      <c r="M14" s="369"/>
      <c r="N14" s="369"/>
      <c r="O14" s="369"/>
      <c r="P14" s="369"/>
      <c r="Q14" s="369"/>
      <c r="R14" s="351"/>
    </row>
    <row r="15" spans="1:18" x14ac:dyDescent="0.3">
      <c r="A15" s="351"/>
      <c r="B15" s="358"/>
      <c r="C15" s="369"/>
      <c r="D15" s="369"/>
      <c r="E15" s="369"/>
      <c r="F15" s="369"/>
      <c r="G15" s="369"/>
      <c r="H15" s="369"/>
      <c r="I15" s="369"/>
      <c r="J15" s="369"/>
      <c r="K15" s="369"/>
      <c r="L15" s="369"/>
      <c r="M15" s="369"/>
      <c r="N15" s="369"/>
      <c r="O15" s="369"/>
      <c r="P15" s="369"/>
      <c r="Q15" s="369"/>
      <c r="R15" s="351"/>
    </row>
    <row r="16" spans="1:18" x14ac:dyDescent="0.3">
      <c r="A16" s="351"/>
      <c r="B16" s="358"/>
      <c r="C16" s="369"/>
      <c r="D16" s="369"/>
      <c r="E16" s="369"/>
      <c r="F16" s="369"/>
      <c r="G16" s="369"/>
      <c r="H16" s="369"/>
      <c r="I16" s="369"/>
      <c r="J16" s="369"/>
      <c r="K16" s="369"/>
      <c r="L16" s="369"/>
      <c r="M16" s="369"/>
      <c r="N16" s="369"/>
      <c r="O16" s="369"/>
      <c r="P16" s="369"/>
      <c r="Q16" s="369"/>
      <c r="R16" s="351"/>
    </row>
    <row r="17" spans="1:18" x14ac:dyDescent="0.3">
      <c r="A17" s="351"/>
      <c r="B17" s="370" t="s">
        <v>349</v>
      </c>
      <c r="C17" s="304" t="e" vm="1">
        <v>#VALUE!</v>
      </c>
      <c r="D17" s="304"/>
      <c r="E17" s="304"/>
      <c r="F17" s="304"/>
      <c r="G17" s="304"/>
      <c r="H17" s="304"/>
      <c r="I17" s="304"/>
      <c r="J17" s="304" t="e" vm="2">
        <v>#VALUE!</v>
      </c>
      <c r="K17" s="304"/>
      <c r="L17" s="304"/>
      <c r="M17" s="304"/>
      <c r="N17" s="304"/>
      <c r="O17" s="304"/>
      <c r="P17" s="304"/>
      <c r="Q17" s="304"/>
      <c r="R17" s="351"/>
    </row>
    <row r="18" spans="1:18" x14ac:dyDescent="0.3">
      <c r="A18" s="351"/>
      <c r="B18" s="359"/>
      <c r="C18" s="304"/>
      <c r="D18" s="304"/>
      <c r="E18" s="304"/>
      <c r="F18" s="304"/>
      <c r="G18" s="304"/>
      <c r="H18" s="304"/>
      <c r="I18" s="304"/>
      <c r="J18" s="304"/>
      <c r="K18" s="304"/>
      <c r="L18" s="304"/>
      <c r="M18" s="304"/>
      <c r="N18" s="304"/>
      <c r="O18" s="304"/>
      <c r="P18" s="304"/>
      <c r="Q18" s="304"/>
      <c r="R18" s="351"/>
    </row>
    <row r="19" spans="1:18" x14ac:dyDescent="0.3">
      <c r="A19" s="351"/>
      <c r="B19" s="359"/>
      <c r="C19" s="304"/>
      <c r="D19" s="304"/>
      <c r="E19" s="304"/>
      <c r="F19" s="304"/>
      <c r="G19" s="304"/>
      <c r="H19" s="304"/>
      <c r="I19" s="304"/>
      <c r="J19" s="304"/>
      <c r="K19" s="304"/>
      <c r="L19" s="304"/>
      <c r="M19" s="304"/>
      <c r="N19" s="304"/>
      <c r="O19" s="304"/>
      <c r="P19" s="304"/>
      <c r="Q19" s="304"/>
      <c r="R19" s="351"/>
    </row>
    <row r="20" spans="1:18" x14ac:dyDescent="0.3">
      <c r="A20" s="351"/>
      <c r="B20" s="359"/>
      <c r="C20" s="304"/>
      <c r="D20" s="304"/>
      <c r="E20" s="304"/>
      <c r="F20" s="304"/>
      <c r="G20" s="304"/>
      <c r="H20" s="304"/>
      <c r="I20" s="304"/>
      <c r="J20" s="304"/>
      <c r="K20" s="304"/>
      <c r="L20" s="304"/>
      <c r="M20" s="304"/>
      <c r="N20" s="304"/>
      <c r="O20" s="304"/>
      <c r="P20" s="304"/>
      <c r="Q20" s="304"/>
      <c r="R20" s="351"/>
    </row>
    <row r="21" spans="1:18" x14ac:dyDescent="0.3">
      <c r="A21" s="351"/>
      <c r="B21" s="359"/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  <c r="N21" s="304"/>
      <c r="O21" s="304"/>
      <c r="P21" s="304"/>
      <c r="Q21" s="304"/>
      <c r="R21" s="351"/>
    </row>
    <row r="22" spans="1:18" x14ac:dyDescent="0.3">
      <c r="A22" s="351"/>
      <c r="B22" s="359"/>
      <c r="C22" s="304"/>
      <c r="D22" s="304"/>
      <c r="E22" s="304"/>
      <c r="F22" s="304"/>
      <c r="G22" s="304"/>
      <c r="H22" s="304"/>
      <c r="I22" s="304"/>
      <c r="J22" s="304"/>
      <c r="K22" s="304"/>
      <c r="L22" s="304"/>
      <c r="M22" s="304"/>
      <c r="N22" s="304"/>
      <c r="O22" s="304"/>
      <c r="P22" s="304"/>
      <c r="Q22" s="304"/>
      <c r="R22" s="351"/>
    </row>
    <row r="23" spans="1:18" x14ac:dyDescent="0.3">
      <c r="A23" s="351"/>
      <c r="B23" s="359"/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  <c r="N23" s="304"/>
      <c r="O23" s="304"/>
      <c r="P23" s="304"/>
      <c r="Q23" s="304"/>
      <c r="R23" s="351"/>
    </row>
    <row r="24" spans="1:18" x14ac:dyDescent="0.3">
      <c r="A24" s="351"/>
      <c r="B24" s="359"/>
      <c r="C24" s="304"/>
      <c r="D24" s="304"/>
      <c r="E24" s="304"/>
      <c r="F24" s="304"/>
      <c r="G24" s="304"/>
      <c r="H24" s="304"/>
      <c r="I24" s="304"/>
      <c r="J24" s="304"/>
      <c r="K24" s="304"/>
      <c r="L24" s="304"/>
      <c r="M24" s="304"/>
      <c r="N24" s="304"/>
      <c r="O24" s="304"/>
      <c r="P24" s="304"/>
      <c r="Q24" s="304"/>
      <c r="R24" s="351"/>
    </row>
    <row r="25" spans="1:18" x14ac:dyDescent="0.3">
      <c r="A25" s="351"/>
      <c r="B25" s="359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  <c r="N25" s="304"/>
      <c r="O25" s="304"/>
      <c r="P25" s="304"/>
      <c r="Q25" s="304"/>
      <c r="R25" s="351"/>
    </row>
    <row r="26" spans="1:18" x14ac:dyDescent="0.3">
      <c r="A26" s="351"/>
      <c r="B26" s="359"/>
      <c r="C26" s="304"/>
      <c r="D26" s="304"/>
      <c r="E26" s="304"/>
      <c r="F26" s="304"/>
      <c r="G26" s="304"/>
      <c r="H26" s="304"/>
      <c r="I26" s="304"/>
      <c r="J26" s="304"/>
      <c r="K26" s="304"/>
      <c r="L26" s="304"/>
      <c r="M26" s="304"/>
      <c r="N26" s="304"/>
      <c r="O26" s="304"/>
      <c r="P26" s="304"/>
      <c r="Q26" s="304"/>
      <c r="R26" s="351"/>
    </row>
    <row r="27" spans="1:18" x14ac:dyDescent="0.3">
      <c r="A27" s="351"/>
      <c r="B27" s="359"/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  <c r="N27" s="304"/>
      <c r="O27" s="304"/>
      <c r="P27" s="304"/>
      <c r="Q27" s="304"/>
      <c r="R27" s="351"/>
    </row>
    <row r="28" spans="1:18" x14ac:dyDescent="0.3">
      <c r="A28" s="351"/>
      <c r="B28" s="359"/>
      <c r="C28" s="304"/>
      <c r="D28" s="304"/>
      <c r="E28" s="304"/>
      <c r="F28" s="304"/>
      <c r="G28" s="304"/>
      <c r="H28" s="304"/>
      <c r="I28" s="304"/>
      <c r="J28" s="304"/>
      <c r="K28" s="304"/>
      <c r="L28" s="304"/>
      <c r="M28" s="304"/>
      <c r="N28" s="304"/>
      <c r="O28" s="304"/>
      <c r="P28" s="304"/>
      <c r="Q28" s="304"/>
      <c r="R28" s="351"/>
    </row>
    <row r="29" spans="1:18" x14ac:dyDescent="0.3">
      <c r="A29" s="351"/>
      <c r="B29" s="359"/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304"/>
      <c r="N29" s="304"/>
      <c r="O29" s="304"/>
      <c r="P29" s="304"/>
      <c r="Q29" s="304"/>
      <c r="R29" s="351"/>
    </row>
    <row r="30" spans="1:18" x14ac:dyDescent="0.3">
      <c r="A30" s="351"/>
      <c r="B30" s="360" t="s">
        <v>5</v>
      </c>
      <c r="C30" s="369" t="s">
        <v>348</v>
      </c>
      <c r="D30" s="369"/>
      <c r="E30" s="369"/>
      <c r="F30" s="369"/>
      <c r="G30" s="369"/>
      <c r="H30" s="369"/>
      <c r="I30" s="369"/>
      <c r="J30" s="369" t="s">
        <v>347</v>
      </c>
      <c r="K30" s="369"/>
      <c r="L30" s="369"/>
      <c r="M30" s="369"/>
      <c r="N30" s="369"/>
      <c r="O30" s="369"/>
      <c r="P30" s="369"/>
      <c r="Q30" s="369"/>
      <c r="R30" s="351"/>
    </row>
    <row r="31" spans="1:18" x14ac:dyDescent="0.3">
      <c r="A31" s="351"/>
      <c r="B31" s="360"/>
      <c r="C31" s="369"/>
      <c r="D31" s="369"/>
      <c r="E31" s="369"/>
      <c r="F31" s="369"/>
      <c r="G31" s="369"/>
      <c r="H31" s="369"/>
      <c r="I31" s="369"/>
      <c r="J31" s="369"/>
      <c r="K31" s="369"/>
      <c r="L31" s="369"/>
      <c r="M31" s="369"/>
      <c r="N31" s="369"/>
      <c r="O31" s="369"/>
      <c r="P31" s="369"/>
      <c r="Q31" s="369"/>
      <c r="R31" s="351"/>
    </row>
    <row r="32" spans="1:18" x14ac:dyDescent="0.3">
      <c r="A32" s="351"/>
      <c r="B32" s="360"/>
      <c r="C32" s="369"/>
      <c r="D32" s="369"/>
      <c r="E32" s="369"/>
      <c r="F32" s="369"/>
      <c r="G32" s="369"/>
      <c r="H32" s="369"/>
      <c r="I32" s="369"/>
      <c r="J32" s="369"/>
      <c r="K32" s="369"/>
      <c r="L32" s="369"/>
      <c r="M32" s="369"/>
      <c r="N32" s="369"/>
      <c r="O32" s="369"/>
      <c r="P32" s="369"/>
      <c r="Q32" s="369"/>
      <c r="R32" s="351"/>
    </row>
    <row r="33" spans="1:18" x14ac:dyDescent="0.3">
      <c r="A33" s="351"/>
      <c r="B33" s="360"/>
      <c r="C33" s="369"/>
      <c r="D33" s="369"/>
      <c r="E33" s="369"/>
      <c r="F33" s="369"/>
      <c r="G33" s="369"/>
      <c r="H33" s="369"/>
      <c r="I33" s="369"/>
      <c r="J33" s="369"/>
      <c r="K33" s="369"/>
      <c r="L33" s="369"/>
      <c r="M33" s="369"/>
      <c r="N33" s="369"/>
      <c r="O33" s="369"/>
      <c r="P33" s="369"/>
      <c r="Q33" s="369"/>
      <c r="R33" s="351"/>
    </row>
    <row r="34" spans="1:18" x14ac:dyDescent="0.3">
      <c r="A34" s="351"/>
      <c r="B34" s="360"/>
      <c r="C34" s="369"/>
      <c r="D34" s="369"/>
      <c r="E34" s="369"/>
      <c r="F34" s="369"/>
      <c r="G34" s="369"/>
      <c r="H34" s="369"/>
      <c r="I34" s="369"/>
      <c r="J34" s="369"/>
      <c r="K34" s="369"/>
      <c r="L34" s="369"/>
      <c r="M34" s="369"/>
      <c r="N34" s="369"/>
      <c r="O34" s="369"/>
      <c r="P34" s="369"/>
      <c r="Q34" s="369"/>
      <c r="R34" s="351"/>
    </row>
    <row r="35" spans="1:18" x14ac:dyDescent="0.3">
      <c r="A35" s="351"/>
      <c r="B35" s="360"/>
      <c r="C35" s="369"/>
      <c r="D35" s="369"/>
      <c r="E35" s="369"/>
      <c r="F35" s="369"/>
      <c r="G35" s="369"/>
      <c r="H35" s="369"/>
      <c r="I35" s="369"/>
      <c r="J35" s="369"/>
      <c r="K35" s="369"/>
      <c r="L35" s="369"/>
      <c r="M35" s="369"/>
      <c r="N35" s="369"/>
      <c r="O35" s="369"/>
      <c r="P35" s="369"/>
      <c r="Q35" s="369"/>
      <c r="R35" s="351"/>
    </row>
    <row r="36" spans="1:18" x14ac:dyDescent="0.3">
      <c r="A36" s="351"/>
      <c r="B36" s="360"/>
      <c r="C36" s="369"/>
      <c r="D36" s="369"/>
      <c r="E36" s="369"/>
      <c r="F36" s="369"/>
      <c r="G36" s="369"/>
      <c r="H36" s="369"/>
      <c r="I36" s="369"/>
      <c r="J36" s="369"/>
      <c r="K36" s="369"/>
      <c r="L36" s="369"/>
      <c r="M36" s="369"/>
      <c r="N36" s="369"/>
      <c r="O36" s="369"/>
      <c r="P36" s="369"/>
      <c r="Q36" s="369"/>
      <c r="R36" s="351"/>
    </row>
    <row r="37" spans="1:18" x14ac:dyDescent="0.3">
      <c r="A37" s="351"/>
      <c r="B37" s="360"/>
      <c r="C37" s="369"/>
      <c r="D37" s="369"/>
      <c r="E37" s="369"/>
      <c r="F37" s="369"/>
      <c r="G37" s="369"/>
      <c r="H37" s="369"/>
      <c r="I37" s="369"/>
      <c r="J37" s="369"/>
      <c r="K37" s="369"/>
      <c r="L37" s="369"/>
      <c r="M37" s="369"/>
      <c r="N37" s="369"/>
      <c r="O37" s="369"/>
      <c r="P37" s="369"/>
      <c r="Q37" s="369"/>
      <c r="R37" s="351"/>
    </row>
    <row r="38" spans="1:18" x14ac:dyDescent="0.3">
      <c r="A38" s="351"/>
      <c r="B38" s="360"/>
      <c r="C38" s="369"/>
      <c r="D38" s="369"/>
      <c r="E38" s="369"/>
      <c r="F38" s="369"/>
      <c r="G38" s="369"/>
      <c r="H38" s="369"/>
      <c r="I38" s="369"/>
      <c r="J38" s="369"/>
      <c r="K38" s="369"/>
      <c r="L38" s="369"/>
      <c r="M38" s="369"/>
      <c r="N38" s="369"/>
      <c r="O38" s="369"/>
      <c r="P38" s="369"/>
      <c r="Q38" s="369"/>
      <c r="R38" s="351"/>
    </row>
    <row r="39" spans="1:18" x14ac:dyDescent="0.3">
      <c r="A39" s="351"/>
      <c r="B39" s="360"/>
      <c r="C39" s="369"/>
      <c r="D39" s="369"/>
      <c r="E39" s="369"/>
      <c r="F39" s="369"/>
      <c r="G39" s="369"/>
      <c r="H39" s="369"/>
      <c r="I39" s="369"/>
      <c r="J39" s="369"/>
      <c r="K39" s="369"/>
      <c r="L39" s="369"/>
      <c r="M39" s="369"/>
      <c r="N39" s="369"/>
      <c r="O39" s="369"/>
      <c r="P39" s="369"/>
      <c r="Q39" s="369"/>
      <c r="R39" s="351"/>
    </row>
    <row r="40" spans="1:18" x14ac:dyDescent="0.3">
      <c r="A40" s="351"/>
      <c r="B40" s="360"/>
      <c r="C40" s="369"/>
      <c r="D40" s="369"/>
      <c r="E40" s="369"/>
      <c r="F40" s="369"/>
      <c r="G40" s="369"/>
      <c r="H40" s="369"/>
      <c r="I40" s="369"/>
      <c r="J40" s="369"/>
      <c r="K40" s="369"/>
      <c r="L40" s="369"/>
      <c r="M40" s="369"/>
      <c r="N40" s="369"/>
      <c r="O40" s="369"/>
      <c r="P40" s="369"/>
      <c r="Q40" s="369"/>
      <c r="R40" s="351"/>
    </row>
    <row r="41" spans="1:18" x14ac:dyDescent="0.3">
      <c r="A41" s="351"/>
      <c r="B41" s="360"/>
      <c r="C41" s="369"/>
      <c r="D41" s="369"/>
      <c r="E41" s="369"/>
      <c r="F41" s="369"/>
      <c r="G41" s="369"/>
      <c r="H41" s="369"/>
      <c r="I41" s="369"/>
      <c r="J41" s="369"/>
      <c r="K41" s="369"/>
      <c r="L41" s="369"/>
      <c r="M41" s="369"/>
      <c r="N41" s="369"/>
      <c r="O41" s="369"/>
      <c r="P41" s="369"/>
      <c r="Q41" s="369"/>
      <c r="R41" s="351"/>
    </row>
    <row r="42" spans="1:18" x14ac:dyDescent="0.3">
      <c r="A42" s="351"/>
      <c r="B42" s="360"/>
      <c r="C42" s="369"/>
      <c r="D42" s="369"/>
      <c r="E42" s="369"/>
      <c r="F42" s="369"/>
      <c r="G42" s="369"/>
      <c r="H42" s="369"/>
      <c r="I42" s="369"/>
      <c r="J42" s="369"/>
      <c r="K42" s="369"/>
      <c r="L42" s="369"/>
      <c r="M42" s="369"/>
      <c r="N42" s="369"/>
      <c r="O42" s="369"/>
      <c r="P42" s="369"/>
      <c r="Q42" s="369"/>
      <c r="R42" s="351"/>
    </row>
    <row r="43" spans="1:18" x14ac:dyDescent="0.3">
      <c r="A43" s="351"/>
      <c r="B43" s="361" t="s">
        <v>4</v>
      </c>
      <c r="C43" s="369" t="s">
        <v>348</v>
      </c>
      <c r="D43" s="369"/>
      <c r="E43" s="369"/>
      <c r="F43" s="369"/>
      <c r="G43" s="369"/>
      <c r="H43" s="369"/>
      <c r="I43" s="369"/>
      <c r="J43" s="369" t="s">
        <v>347</v>
      </c>
      <c r="K43" s="369"/>
      <c r="L43" s="369"/>
      <c r="M43" s="369"/>
      <c r="N43" s="369"/>
      <c r="O43" s="369"/>
      <c r="P43" s="369"/>
      <c r="Q43" s="369"/>
      <c r="R43" s="351"/>
    </row>
    <row r="44" spans="1:18" x14ac:dyDescent="0.3">
      <c r="A44" s="351"/>
      <c r="B44" s="361"/>
      <c r="C44" s="369"/>
      <c r="D44" s="369"/>
      <c r="E44" s="369"/>
      <c r="F44" s="369"/>
      <c r="G44" s="369"/>
      <c r="H44" s="369"/>
      <c r="I44" s="369"/>
      <c r="J44" s="369"/>
      <c r="K44" s="369"/>
      <c r="L44" s="369"/>
      <c r="M44" s="369"/>
      <c r="N44" s="369"/>
      <c r="O44" s="369"/>
      <c r="P44" s="369"/>
      <c r="Q44" s="369"/>
      <c r="R44" s="351"/>
    </row>
    <row r="45" spans="1:18" x14ac:dyDescent="0.3">
      <c r="A45" s="351"/>
      <c r="B45" s="361"/>
      <c r="C45" s="369"/>
      <c r="D45" s="369"/>
      <c r="E45" s="369"/>
      <c r="F45" s="369"/>
      <c r="G45" s="369"/>
      <c r="H45" s="369"/>
      <c r="I45" s="369"/>
      <c r="J45" s="369"/>
      <c r="K45" s="369"/>
      <c r="L45" s="369"/>
      <c r="M45" s="369"/>
      <c r="N45" s="369"/>
      <c r="O45" s="369"/>
      <c r="P45" s="369"/>
      <c r="Q45" s="369"/>
      <c r="R45" s="351"/>
    </row>
    <row r="46" spans="1:18" x14ac:dyDescent="0.3">
      <c r="A46" s="351"/>
      <c r="B46" s="361"/>
      <c r="C46" s="369"/>
      <c r="D46" s="369"/>
      <c r="E46" s="369"/>
      <c r="F46" s="369"/>
      <c r="G46" s="369"/>
      <c r="H46" s="369"/>
      <c r="I46" s="369"/>
      <c r="J46" s="369"/>
      <c r="K46" s="369"/>
      <c r="L46" s="369"/>
      <c r="M46" s="369"/>
      <c r="N46" s="369"/>
      <c r="O46" s="369"/>
      <c r="P46" s="369"/>
      <c r="Q46" s="369"/>
      <c r="R46" s="351"/>
    </row>
    <row r="47" spans="1:18" x14ac:dyDescent="0.3">
      <c r="A47" s="351"/>
      <c r="B47" s="361"/>
      <c r="C47" s="369"/>
      <c r="D47" s="369"/>
      <c r="E47" s="369"/>
      <c r="F47" s="369"/>
      <c r="G47" s="369"/>
      <c r="H47" s="369"/>
      <c r="I47" s="369"/>
      <c r="J47" s="369"/>
      <c r="K47" s="369"/>
      <c r="L47" s="369"/>
      <c r="M47" s="369"/>
      <c r="N47" s="369"/>
      <c r="O47" s="369"/>
      <c r="P47" s="369"/>
      <c r="Q47" s="369"/>
      <c r="R47" s="351"/>
    </row>
    <row r="48" spans="1:18" x14ac:dyDescent="0.3">
      <c r="A48" s="351"/>
      <c r="B48" s="361"/>
      <c r="C48" s="369"/>
      <c r="D48" s="369"/>
      <c r="E48" s="369"/>
      <c r="F48" s="369"/>
      <c r="G48" s="369"/>
      <c r="H48" s="369"/>
      <c r="I48" s="369"/>
      <c r="J48" s="369"/>
      <c r="K48" s="369"/>
      <c r="L48" s="369"/>
      <c r="M48" s="369"/>
      <c r="N48" s="369"/>
      <c r="O48" s="369"/>
      <c r="P48" s="369"/>
      <c r="Q48" s="369"/>
      <c r="R48" s="351"/>
    </row>
    <row r="49" spans="1:18" x14ac:dyDescent="0.3">
      <c r="A49" s="351"/>
      <c r="B49" s="361"/>
      <c r="C49" s="369"/>
      <c r="D49" s="369"/>
      <c r="E49" s="369"/>
      <c r="F49" s="369"/>
      <c r="G49" s="369"/>
      <c r="H49" s="369"/>
      <c r="I49" s="369"/>
      <c r="J49" s="369"/>
      <c r="K49" s="369"/>
      <c r="L49" s="369"/>
      <c r="M49" s="369"/>
      <c r="N49" s="369"/>
      <c r="O49" s="369"/>
      <c r="P49" s="369"/>
      <c r="Q49" s="369"/>
      <c r="R49" s="351"/>
    </row>
    <row r="50" spans="1:18" x14ac:dyDescent="0.3">
      <c r="A50" s="351"/>
      <c r="B50" s="361"/>
      <c r="C50" s="369"/>
      <c r="D50" s="369"/>
      <c r="E50" s="369"/>
      <c r="F50" s="369"/>
      <c r="G50" s="369"/>
      <c r="H50" s="369"/>
      <c r="I50" s="369"/>
      <c r="J50" s="369"/>
      <c r="K50" s="369"/>
      <c r="L50" s="369"/>
      <c r="M50" s="369"/>
      <c r="N50" s="369"/>
      <c r="O50" s="369"/>
      <c r="P50" s="369"/>
      <c r="Q50" s="369"/>
      <c r="R50" s="351"/>
    </row>
    <row r="51" spans="1:18" x14ac:dyDescent="0.3">
      <c r="A51" s="351"/>
      <c r="B51" s="361"/>
      <c r="C51" s="369"/>
      <c r="D51" s="369"/>
      <c r="E51" s="369"/>
      <c r="F51" s="369"/>
      <c r="G51" s="369"/>
      <c r="H51" s="369"/>
      <c r="I51" s="369"/>
      <c r="J51" s="369"/>
      <c r="K51" s="369"/>
      <c r="L51" s="369"/>
      <c r="M51" s="369"/>
      <c r="N51" s="369"/>
      <c r="O51" s="369"/>
      <c r="P51" s="369"/>
      <c r="Q51" s="369"/>
      <c r="R51" s="351"/>
    </row>
    <row r="52" spans="1:18" x14ac:dyDescent="0.3">
      <c r="A52" s="351"/>
      <c r="B52" s="361"/>
      <c r="C52" s="369"/>
      <c r="D52" s="369"/>
      <c r="E52" s="369"/>
      <c r="F52" s="369"/>
      <c r="G52" s="369"/>
      <c r="H52" s="369"/>
      <c r="I52" s="369"/>
      <c r="J52" s="369"/>
      <c r="K52" s="369"/>
      <c r="L52" s="369"/>
      <c r="M52" s="369"/>
      <c r="N52" s="369"/>
      <c r="O52" s="369"/>
      <c r="P52" s="369"/>
      <c r="Q52" s="369"/>
      <c r="R52" s="351"/>
    </row>
    <row r="53" spans="1:18" x14ac:dyDescent="0.3">
      <c r="A53" s="351"/>
      <c r="B53" s="361"/>
      <c r="C53" s="369"/>
      <c r="D53" s="369"/>
      <c r="E53" s="369"/>
      <c r="F53" s="369"/>
      <c r="G53" s="369"/>
      <c r="H53" s="369"/>
      <c r="I53" s="369"/>
      <c r="J53" s="369"/>
      <c r="K53" s="369"/>
      <c r="L53" s="369"/>
      <c r="M53" s="369"/>
      <c r="N53" s="369"/>
      <c r="O53" s="369"/>
      <c r="P53" s="369"/>
      <c r="Q53" s="369"/>
      <c r="R53" s="351"/>
    </row>
    <row r="54" spans="1:18" x14ac:dyDescent="0.3">
      <c r="A54" s="351"/>
      <c r="B54" s="361"/>
      <c r="C54" s="369"/>
      <c r="D54" s="369"/>
      <c r="E54" s="369"/>
      <c r="F54" s="369"/>
      <c r="G54" s="369"/>
      <c r="H54" s="369"/>
      <c r="I54" s="369"/>
      <c r="J54" s="369"/>
      <c r="K54" s="369"/>
      <c r="L54" s="369"/>
      <c r="M54" s="369"/>
      <c r="N54" s="369"/>
      <c r="O54" s="369"/>
      <c r="P54" s="369"/>
      <c r="Q54" s="369"/>
      <c r="R54" s="351"/>
    </row>
    <row r="55" spans="1:18" x14ac:dyDescent="0.3">
      <c r="A55" s="351"/>
      <c r="B55" s="361"/>
      <c r="C55" s="369"/>
      <c r="D55" s="369"/>
      <c r="E55" s="369"/>
      <c r="F55" s="369"/>
      <c r="G55" s="369"/>
      <c r="H55" s="369"/>
      <c r="I55" s="369"/>
      <c r="J55" s="369"/>
      <c r="K55" s="369"/>
      <c r="L55" s="369"/>
      <c r="M55" s="369"/>
      <c r="N55" s="369"/>
      <c r="O55" s="369"/>
      <c r="P55" s="369"/>
      <c r="Q55" s="369"/>
      <c r="R55" s="351"/>
    </row>
    <row r="56" spans="1:18" x14ac:dyDescent="0.3">
      <c r="A56" s="351"/>
      <c r="B56" s="362" t="s">
        <v>3</v>
      </c>
      <c r="C56" s="369" t="s">
        <v>348</v>
      </c>
      <c r="D56" s="369"/>
      <c r="E56" s="369"/>
      <c r="F56" s="369"/>
      <c r="G56" s="369"/>
      <c r="H56" s="369"/>
      <c r="I56" s="369"/>
      <c r="J56" s="369" t="s">
        <v>347</v>
      </c>
      <c r="K56" s="369"/>
      <c r="L56" s="369"/>
      <c r="M56" s="369"/>
      <c r="N56" s="369"/>
      <c r="O56" s="369"/>
      <c r="P56" s="369"/>
      <c r="Q56" s="369"/>
      <c r="R56" s="351"/>
    </row>
    <row r="57" spans="1:18" x14ac:dyDescent="0.3">
      <c r="A57" s="351"/>
      <c r="B57" s="362"/>
      <c r="C57" s="369"/>
      <c r="D57" s="369"/>
      <c r="E57" s="369"/>
      <c r="F57" s="369"/>
      <c r="G57" s="369"/>
      <c r="H57" s="369"/>
      <c r="I57" s="369"/>
      <c r="J57" s="369"/>
      <c r="K57" s="369"/>
      <c r="L57" s="369"/>
      <c r="M57" s="369"/>
      <c r="N57" s="369"/>
      <c r="O57" s="369"/>
      <c r="P57" s="369"/>
      <c r="Q57" s="369"/>
      <c r="R57" s="351"/>
    </row>
    <row r="58" spans="1:18" x14ac:dyDescent="0.3">
      <c r="A58" s="351"/>
      <c r="B58" s="362"/>
      <c r="C58" s="369"/>
      <c r="D58" s="369"/>
      <c r="E58" s="369"/>
      <c r="F58" s="369"/>
      <c r="G58" s="369"/>
      <c r="H58" s="369"/>
      <c r="I58" s="369"/>
      <c r="J58" s="369"/>
      <c r="K58" s="369"/>
      <c r="L58" s="369"/>
      <c r="M58" s="369"/>
      <c r="N58" s="369"/>
      <c r="O58" s="369"/>
      <c r="P58" s="369"/>
      <c r="Q58" s="369"/>
      <c r="R58" s="351"/>
    </row>
    <row r="59" spans="1:18" x14ac:dyDescent="0.3">
      <c r="A59" s="351"/>
      <c r="B59" s="362"/>
      <c r="C59" s="369"/>
      <c r="D59" s="369"/>
      <c r="E59" s="369"/>
      <c r="F59" s="369"/>
      <c r="G59" s="369"/>
      <c r="H59" s="369"/>
      <c r="I59" s="369"/>
      <c r="J59" s="369"/>
      <c r="K59" s="369"/>
      <c r="L59" s="369"/>
      <c r="M59" s="369"/>
      <c r="N59" s="369"/>
      <c r="O59" s="369"/>
      <c r="P59" s="369"/>
      <c r="Q59" s="369"/>
      <c r="R59" s="351"/>
    </row>
    <row r="60" spans="1:18" x14ac:dyDescent="0.3">
      <c r="A60" s="351"/>
      <c r="B60" s="362"/>
      <c r="C60" s="369"/>
      <c r="D60" s="369"/>
      <c r="E60" s="369"/>
      <c r="F60" s="369"/>
      <c r="G60" s="369"/>
      <c r="H60" s="369"/>
      <c r="I60" s="369"/>
      <c r="J60" s="369"/>
      <c r="K60" s="369"/>
      <c r="L60" s="369"/>
      <c r="M60" s="369"/>
      <c r="N60" s="369"/>
      <c r="O60" s="369"/>
      <c r="P60" s="369"/>
      <c r="Q60" s="369"/>
      <c r="R60" s="351"/>
    </row>
    <row r="61" spans="1:18" x14ac:dyDescent="0.3">
      <c r="A61" s="351"/>
      <c r="B61" s="362"/>
      <c r="C61" s="369"/>
      <c r="D61" s="369"/>
      <c r="E61" s="369"/>
      <c r="F61" s="369"/>
      <c r="G61" s="369"/>
      <c r="H61" s="369"/>
      <c r="I61" s="369"/>
      <c r="J61" s="369"/>
      <c r="K61" s="369"/>
      <c r="L61" s="369"/>
      <c r="M61" s="369"/>
      <c r="N61" s="369"/>
      <c r="O61" s="369"/>
      <c r="P61" s="369"/>
      <c r="Q61" s="369"/>
      <c r="R61" s="351"/>
    </row>
    <row r="62" spans="1:18" x14ac:dyDescent="0.3">
      <c r="A62" s="351"/>
      <c r="B62" s="362"/>
      <c r="C62" s="369"/>
      <c r="D62" s="369"/>
      <c r="E62" s="369"/>
      <c r="F62" s="369"/>
      <c r="G62" s="369"/>
      <c r="H62" s="369"/>
      <c r="I62" s="369"/>
      <c r="J62" s="369"/>
      <c r="K62" s="369"/>
      <c r="L62" s="369"/>
      <c r="M62" s="369"/>
      <c r="N62" s="369"/>
      <c r="O62" s="369"/>
      <c r="P62" s="369"/>
      <c r="Q62" s="369"/>
      <c r="R62" s="351"/>
    </row>
    <row r="63" spans="1:18" x14ac:dyDescent="0.3">
      <c r="A63" s="351"/>
      <c r="B63" s="362"/>
      <c r="C63" s="369"/>
      <c r="D63" s="369"/>
      <c r="E63" s="369"/>
      <c r="F63" s="369"/>
      <c r="G63" s="369"/>
      <c r="H63" s="369"/>
      <c r="I63" s="369"/>
      <c r="J63" s="369"/>
      <c r="K63" s="369"/>
      <c r="L63" s="369"/>
      <c r="M63" s="369"/>
      <c r="N63" s="369"/>
      <c r="O63" s="369"/>
      <c r="P63" s="369"/>
      <c r="Q63" s="369"/>
      <c r="R63" s="351"/>
    </row>
    <row r="64" spans="1:18" x14ac:dyDescent="0.3">
      <c r="A64" s="351"/>
      <c r="B64" s="362"/>
      <c r="C64" s="369"/>
      <c r="D64" s="369"/>
      <c r="E64" s="369"/>
      <c r="F64" s="369"/>
      <c r="G64" s="369"/>
      <c r="H64" s="369"/>
      <c r="I64" s="369"/>
      <c r="J64" s="369"/>
      <c r="K64" s="369"/>
      <c r="L64" s="369"/>
      <c r="M64" s="369"/>
      <c r="N64" s="369"/>
      <c r="O64" s="369"/>
      <c r="P64" s="369"/>
      <c r="Q64" s="369"/>
      <c r="R64" s="351"/>
    </row>
    <row r="65" spans="1:18" x14ac:dyDescent="0.3">
      <c r="A65" s="351"/>
      <c r="B65" s="362"/>
      <c r="C65" s="369"/>
      <c r="D65" s="369"/>
      <c r="E65" s="369"/>
      <c r="F65" s="369"/>
      <c r="G65" s="369"/>
      <c r="H65" s="369"/>
      <c r="I65" s="369"/>
      <c r="J65" s="369"/>
      <c r="K65" s="369"/>
      <c r="L65" s="369"/>
      <c r="M65" s="369"/>
      <c r="N65" s="369"/>
      <c r="O65" s="369"/>
      <c r="P65" s="369"/>
      <c r="Q65" s="369"/>
      <c r="R65" s="351"/>
    </row>
    <row r="66" spans="1:18" x14ac:dyDescent="0.3">
      <c r="A66" s="351"/>
      <c r="B66" s="362"/>
      <c r="C66" s="369"/>
      <c r="D66" s="369"/>
      <c r="E66" s="369"/>
      <c r="F66" s="369"/>
      <c r="G66" s="369"/>
      <c r="H66" s="369"/>
      <c r="I66" s="369"/>
      <c r="J66" s="369"/>
      <c r="K66" s="369"/>
      <c r="L66" s="369"/>
      <c r="M66" s="369"/>
      <c r="N66" s="369"/>
      <c r="O66" s="369"/>
      <c r="P66" s="369"/>
      <c r="Q66" s="369"/>
      <c r="R66" s="351"/>
    </row>
    <row r="67" spans="1:18" x14ac:dyDescent="0.3">
      <c r="A67" s="351"/>
      <c r="B67" s="362"/>
      <c r="C67" s="369"/>
      <c r="D67" s="369"/>
      <c r="E67" s="369"/>
      <c r="F67" s="369"/>
      <c r="G67" s="369"/>
      <c r="H67" s="369"/>
      <c r="I67" s="369"/>
      <c r="J67" s="369"/>
      <c r="K67" s="369"/>
      <c r="L67" s="369"/>
      <c r="M67" s="369"/>
      <c r="N67" s="369"/>
      <c r="O67" s="369"/>
      <c r="P67" s="369"/>
      <c r="Q67" s="369"/>
      <c r="R67" s="351"/>
    </row>
    <row r="68" spans="1:18" x14ac:dyDescent="0.3">
      <c r="A68" s="351"/>
      <c r="B68" s="362"/>
      <c r="C68" s="369"/>
      <c r="D68" s="369"/>
      <c r="E68" s="369"/>
      <c r="F68" s="369"/>
      <c r="G68" s="369"/>
      <c r="H68" s="369"/>
      <c r="I68" s="369"/>
      <c r="J68" s="369"/>
      <c r="K68" s="369"/>
      <c r="L68" s="369"/>
      <c r="M68" s="369"/>
      <c r="N68" s="369"/>
      <c r="O68" s="369"/>
      <c r="P68" s="369"/>
      <c r="Q68" s="369"/>
      <c r="R68" s="351"/>
    </row>
    <row r="69" spans="1:18" x14ac:dyDescent="0.3">
      <c r="A69" s="351"/>
      <c r="B69" s="363" t="s">
        <v>2</v>
      </c>
      <c r="C69" s="369" t="s">
        <v>348</v>
      </c>
      <c r="D69" s="369"/>
      <c r="E69" s="369"/>
      <c r="F69" s="369"/>
      <c r="G69" s="369"/>
      <c r="H69" s="369"/>
      <c r="I69" s="369"/>
      <c r="J69" s="369" t="s">
        <v>347</v>
      </c>
      <c r="K69" s="369"/>
      <c r="L69" s="369"/>
      <c r="M69" s="369"/>
      <c r="N69" s="369"/>
      <c r="O69" s="369"/>
      <c r="P69" s="369"/>
      <c r="Q69" s="369"/>
      <c r="R69" s="351"/>
    </row>
    <row r="70" spans="1:18" x14ac:dyDescent="0.3">
      <c r="A70" s="351"/>
      <c r="B70" s="363"/>
      <c r="C70" s="369"/>
      <c r="D70" s="369"/>
      <c r="E70" s="369"/>
      <c r="F70" s="369"/>
      <c r="G70" s="369"/>
      <c r="H70" s="369"/>
      <c r="I70" s="369"/>
      <c r="J70" s="369"/>
      <c r="K70" s="369"/>
      <c r="L70" s="369"/>
      <c r="M70" s="369"/>
      <c r="N70" s="369"/>
      <c r="O70" s="369"/>
      <c r="P70" s="369"/>
      <c r="Q70" s="369"/>
      <c r="R70" s="351"/>
    </row>
    <row r="71" spans="1:18" x14ac:dyDescent="0.3">
      <c r="A71" s="351"/>
      <c r="B71" s="363"/>
      <c r="C71" s="369"/>
      <c r="D71" s="369"/>
      <c r="E71" s="369"/>
      <c r="F71" s="369"/>
      <c r="G71" s="369"/>
      <c r="H71" s="369"/>
      <c r="I71" s="369"/>
      <c r="J71" s="369"/>
      <c r="K71" s="369"/>
      <c r="L71" s="369"/>
      <c r="M71" s="369"/>
      <c r="N71" s="369"/>
      <c r="O71" s="369"/>
      <c r="P71" s="369"/>
      <c r="Q71" s="369"/>
      <c r="R71" s="351"/>
    </row>
    <row r="72" spans="1:18" x14ac:dyDescent="0.3">
      <c r="A72" s="351"/>
      <c r="B72" s="363"/>
      <c r="C72" s="369"/>
      <c r="D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69"/>
      <c r="P72" s="369"/>
      <c r="Q72" s="369"/>
      <c r="R72" s="351"/>
    </row>
    <row r="73" spans="1:18" x14ac:dyDescent="0.3">
      <c r="A73" s="351"/>
      <c r="B73" s="363"/>
      <c r="C73" s="369"/>
      <c r="D73" s="369"/>
      <c r="E73" s="369"/>
      <c r="F73" s="369"/>
      <c r="G73" s="369"/>
      <c r="H73" s="369"/>
      <c r="I73" s="369"/>
      <c r="J73" s="369"/>
      <c r="K73" s="369"/>
      <c r="L73" s="369"/>
      <c r="M73" s="369"/>
      <c r="N73" s="369"/>
      <c r="O73" s="369"/>
      <c r="P73" s="369"/>
      <c r="Q73" s="369"/>
      <c r="R73" s="351"/>
    </row>
    <row r="74" spans="1:18" x14ac:dyDescent="0.3">
      <c r="A74" s="351"/>
      <c r="B74" s="363"/>
      <c r="C74" s="369"/>
      <c r="D74" s="369"/>
      <c r="E74" s="369"/>
      <c r="F74" s="369"/>
      <c r="G74" s="369"/>
      <c r="H74" s="369"/>
      <c r="I74" s="369"/>
      <c r="J74" s="369"/>
      <c r="K74" s="369"/>
      <c r="L74" s="369"/>
      <c r="M74" s="369"/>
      <c r="N74" s="369"/>
      <c r="O74" s="369"/>
      <c r="P74" s="369"/>
      <c r="Q74" s="369"/>
      <c r="R74" s="351"/>
    </row>
    <row r="75" spans="1:18" x14ac:dyDescent="0.3">
      <c r="A75" s="351"/>
      <c r="B75" s="363"/>
      <c r="C75" s="369"/>
      <c r="D75" s="369"/>
      <c r="E75" s="369"/>
      <c r="F75" s="369"/>
      <c r="G75" s="369"/>
      <c r="H75" s="369"/>
      <c r="I75" s="369"/>
      <c r="J75" s="369"/>
      <c r="K75" s="369"/>
      <c r="L75" s="369"/>
      <c r="M75" s="369"/>
      <c r="N75" s="369"/>
      <c r="O75" s="369"/>
      <c r="P75" s="369"/>
      <c r="Q75" s="369"/>
      <c r="R75" s="351"/>
    </row>
    <row r="76" spans="1:18" x14ac:dyDescent="0.3">
      <c r="A76" s="351"/>
      <c r="B76" s="363"/>
      <c r="C76" s="369"/>
      <c r="D76" s="369"/>
      <c r="E76" s="369"/>
      <c r="F76" s="369"/>
      <c r="G76" s="369"/>
      <c r="H76" s="369"/>
      <c r="I76" s="369"/>
      <c r="J76" s="369"/>
      <c r="K76" s="369"/>
      <c r="L76" s="369"/>
      <c r="M76" s="369"/>
      <c r="N76" s="369"/>
      <c r="O76" s="369"/>
      <c r="P76" s="369"/>
      <c r="Q76" s="369"/>
      <c r="R76" s="351"/>
    </row>
    <row r="77" spans="1:18" x14ac:dyDescent="0.3">
      <c r="A77" s="351"/>
      <c r="B77" s="363"/>
      <c r="C77" s="369"/>
      <c r="D77" s="369"/>
      <c r="E77" s="369"/>
      <c r="F77" s="369"/>
      <c r="G77" s="369"/>
      <c r="H77" s="369"/>
      <c r="I77" s="369"/>
      <c r="J77" s="369"/>
      <c r="K77" s="369"/>
      <c r="L77" s="369"/>
      <c r="M77" s="369"/>
      <c r="N77" s="369"/>
      <c r="O77" s="369"/>
      <c r="P77" s="369"/>
      <c r="Q77" s="369"/>
      <c r="R77" s="351"/>
    </row>
    <row r="78" spans="1:18" x14ac:dyDescent="0.3">
      <c r="A78" s="351"/>
      <c r="B78" s="363"/>
      <c r="C78" s="369"/>
      <c r="D78" s="369"/>
      <c r="E78" s="369"/>
      <c r="F78" s="369"/>
      <c r="G78" s="369"/>
      <c r="H78" s="369"/>
      <c r="I78" s="369"/>
      <c r="J78" s="369"/>
      <c r="K78" s="369"/>
      <c r="L78" s="369"/>
      <c r="M78" s="369"/>
      <c r="N78" s="369"/>
      <c r="O78" s="369"/>
      <c r="P78" s="369"/>
      <c r="Q78" s="369"/>
      <c r="R78" s="351"/>
    </row>
    <row r="79" spans="1:18" x14ac:dyDescent="0.3">
      <c r="A79" s="351"/>
      <c r="B79" s="363"/>
      <c r="C79" s="369"/>
      <c r="D79" s="369"/>
      <c r="E79" s="369"/>
      <c r="F79" s="369"/>
      <c r="G79" s="369"/>
      <c r="H79" s="369"/>
      <c r="I79" s="369"/>
      <c r="J79" s="369"/>
      <c r="K79" s="369"/>
      <c r="L79" s="369"/>
      <c r="M79" s="369"/>
      <c r="N79" s="369"/>
      <c r="O79" s="369"/>
      <c r="P79" s="369"/>
      <c r="Q79" s="369"/>
      <c r="R79" s="351"/>
    </row>
    <row r="80" spans="1:18" x14ac:dyDescent="0.3">
      <c r="A80" s="351"/>
      <c r="B80" s="363"/>
      <c r="C80" s="369"/>
      <c r="D80" s="369"/>
      <c r="E80" s="369"/>
      <c r="F80" s="369"/>
      <c r="G80" s="369"/>
      <c r="H80" s="369"/>
      <c r="I80" s="369"/>
      <c r="J80" s="369"/>
      <c r="K80" s="369"/>
      <c r="L80" s="369"/>
      <c r="M80" s="369"/>
      <c r="N80" s="369"/>
      <c r="O80" s="369"/>
      <c r="P80" s="369"/>
      <c r="Q80" s="369"/>
      <c r="R80" s="351"/>
    </row>
    <row r="81" spans="1:21" x14ac:dyDescent="0.3">
      <c r="A81" s="351"/>
      <c r="B81" s="363"/>
      <c r="C81" s="369"/>
      <c r="D81" s="369"/>
      <c r="E81" s="369"/>
      <c r="F81" s="369"/>
      <c r="G81" s="369"/>
      <c r="H81" s="369"/>
      <c r="I81" s="369"/>
      <c r="J81" s="369"/>
      <c r="K81" s="369"/>
      <c r="L81" s="369"/>
      <c r="M81" s="369"/>
      <c r="N81" s="369"/>
      <c r="O81" s="369"/>
      <c r="P81" s="369"/>
      <c r="Q81" s="369"/>
      <c r="R81" s="351"/>
    </row>
    <row r="82" spans="1:21" x14ac:dyDescent="0.3">
      <c r="A82" s="351"/>
      <c r="B82" s="351"/>
      <c r="C82" s="351"/>
      <c r="D82" s="351"/>
      <c r="E82" s="351"/>
      <c r="F82" s="351"/>
      <c r="G82" s="351"/>
      <c r="H82" s="351"/>
      <c r="I82" s="351"/>
      <c r="J82" s="351"/>
      <c r="K82" s="351"/>
      <c r="L82" s="351"/>
      <c r="M82" s="351"/>
      <c r="N82" s="351"/>
      <c r="O82" s="351"/>
      <c r="P82" s="351"/>
      <c r="Q82" s="351"/>
      <c r="R82" s="351"/>
      <c r="S82" s="351"/>
      <c r="T82" s="351"/>
      <c r="U82" s="351"/>
    </row>
    <row r="83" spans="1:21" x14ac:dyDescent="0.3">
      <c r="A83" s="351"/>
      <c r="B83" s="358" t="s">
        <v>1</v>
      </c>
      <c r="C83" s="367" t="s">
        <v>334</v>
      </c>
      <c r="D83" s="367" t="s">
        <v>335</v>
      </c>
      <c r="E83" s="368" t="s">
        <v>337</v>
      </c>
      <c r="F83" s="368" t="s">
        <v>338</v>
      </c>
      <c r="G83" s="367" t="s">
        <v>335</v>
      </c>
      <c r="H83" s="367" t="s">
        <v>339</v>
      </c>
      <c r="I83" s="368" t="s">
        <v>340</v>
      </c>
      <c r="J83" s="368" t="s">
        <v>341</v>
      </c>
      <c r="K83" s="372" t="s">
        <v>338</v>
      </c>
      <c r="L83" s="368" t="s">
        <v>342</v>
      </c>
      <c r="M83" s="368" t="s">
        <v>341</v>
      </c>
      <c r="N83" s="368" t="s">
        <v>338</v>
      </c>
      <c r="O83" s="367" t="s">
        <v>338</v>
      </c>
      <c r="P83" s="367" t="s">
        <v>338</v>
      </c>
      <c r="Q83" s="367" t="s">
        <v>345</v>
      </c>
      <c r="R83" s="351"/>
      <c r="S83" s="367" t="s">
        <v>350</v>
      </c>
      <c r="T83" s="357"/>
      <c r="U83" s="351"/>
    </row>
    <row r="84" spans="1:21" x14ac:dyDescent="0.3">
      <c r="A84" s="351"/>
      <c r="B84" s="358"/>
      <c r="C84" s="367" t="s">
        <v>55</v>
      </c>
      <c r="D84" s="367" t="s">
        <v>336</v>
      </c>
      <c r="E84" s="368"/>
      <c r="F84" s="368"/>
      <c r="G84" s="367" t="s">
        <v>336</v>
      </c>
      <c r="H84" s="367" t="s">
        <v>337</v>
      </c>
      <c r="I84" s="368"/>
      <c r="J84" s="368"/>
      <c r="K84" s="372"/>
      <c r="L84" s="368"/>
      <c r="M84" s="368"/>
      <c r="N84" s="368"/>
      <c r="O84" s="367" t="s">
        <v>343</v>
      </c>
      <c r="P84" s="367" t="s">
        <v>344</v>
      </c>
      <c r="Q84" s="367" t="s">
        <v>346</v>
      </c>
      <c r="R84" s="351"/>
      <c r="S84" s="367" t="s">
        <v>351</v>
      </c>
      <c r="T84" s="367" t="s">
        <v>332</v>
      </c>
      <c r="U84" s="351"/>
    </row>
    <row r="85" spans="1:21" x14ac:dyDescent="0.3">
      <c r="A85" s="351"/>
      <c r="B85" s="358"/>
      <c r="C85" s="364">
        <v>2014</v>
      </c>
      <c r="D85" s="365">
        <v>0</v>
      </c>
      <c r="E85" s="365">
        <v>0</v>
      </c>
      <c r="F85" s="365">
        <v>0</v>
      </c>
      <c r="G85" s="365">
        <v>0</v>
      </c>
      <c r="H85" s="365">
        <v>0</v>
      </c>
      <c r="I85" s="366">
        <v>4204</v>
      </c>
      <c r="J85" s="365">
        <v>318</v>
      </c>
      <c r="K85" s="373">
        <v>4522</v>
      </c>
      <c r="L85" s="366">
        <v>1752</v>
      </c>
      <c r="M85" s="365">
        <v>0</v>
      </c>
      <c r="N85" s="366">
        <v>1752</v>
      </c>
      <c r="O85" s="366">
        <v>6274</v>
      </c>
      <c r="P85" s="365">
        <v>0</v>
      </c>
      <c r="Q85" s="365">
        <v>15</v>
      </c>
      <c r="R85" s="351"/>
      <c r="S85" s="357"/>
      <c r="T85" s="376"/>
      <c r="U85" s="351"/>
    </row>
    <row r="86" spans="1:21" x14ac:dyDescent="0.3">
      <c r="A86" s="351"/>
      <c r="B86" s="358"/>
      <c r="C86" s="364">
        <v>2015</v>
      </c>
      <c r="D86" s="365">
        <v>0</v>
      </c>
      <c r="E86" s="365">
        <v>0</v>
      </c>
      <c r="F86" s="365">
        <v>0</v>
      </c>
      <c r="G86" s="365">
        <v>0</v>
      </c>
      <c r="H86" s="365">
        <v>0</v>
      </c>
      <c r="I86" s="366">
        <v>4204</v>
      </c>
      <c r="J86" s="365">
        <v>318</v>
      </c>
      <c r="K86" s="373">
        <v>4522</v>
      </c>
      <c r="L86" s="366">
        <v>1752</v>
      </c>
      <c r="M86" s="365">
        <v>0</v>
      </c>
      <c r="N86" s="366">
        <v>1752</v>
      </c>
      <c r="O86" s="366">
        <v>6274</v>
      </c>
      <c r="P86" s="365">
        <v>0</v>
      </c>
      <c r="Q86" s="365">
        <v>12</v>
      </c>
      <c r="R86" s="351"/>
      <c r="S86" s="357"/>
      <c r="T86" s="376"/>
      <c r="U86" s="351"/>
    </row>
    <row r="87" spans="1:21" x14ac:dyDescent="0.3">
      <c r="A87" s="351"/>
      <c r="B87" s="358"/>
      <c r="C87" s="364">
        <v>2016</v>
      </c>
      <c r="D87" s="365">
        <v>0</v>
      </c>
      <c r="E87" s="365">
        <v>0</v>
      </c>
      <c r="F87" s="365">
        <v>0</v>
      </c>
      <c r="G87" s="365">
        <v>0</v>
      </c>
      <c r="H87" s="365">
        <v>0</v>
      </c>
      <c r="I87" s="366">
        <v>4204</v>
      </c>
      <c r="J87" s="365">
        <v>318</v>
      </c>
      <c r="K87" s="373">
        <v>4522</v>
      </c>
      <c r="L87" s="366">
        <v>1752</v>
      </c>
      <c r="M87" s="365">
        <v>0</v>
      </c>
      <c r="N87" s="366">
        <v>1752</v>
      </c>
      <c r="O87" s="366">
        <v>6274</v>
      </c>
      <c r="P87" s="365">
        <v>0</v>
      </c>
      <c r="Q87" s="365">
        <v>12</v>
      </c>
      <c r="R87" s="351"/>
      <c r="S87" s="357"/>
      <c r="T87" s="376"/>
      <c r="U87" s="351"/>
    </row>
    <row r="88" spans="1:21" x14ac:dyDescent="0.3">
      <c r="A88" s="351"/>
      <c r="B88" s="358"/>
      <c r="C88" s="364">
        <v>2017</v>
      </c>
      <c r="D88" s="365">
        <v>0</v>
      </c>
      <c r="E88" s="365">
        <v>0</v>
      </c>
      <c r="F88" s="365">
        <v>0</v>
      </c>
      <c r="G88" s="365">
        <v>0</v>
      </c>
      <c r="H88" s="365">
        <v>0</v>
      </c>
      <c r="I88" s="366">
        <v>3305</v>
      </c>
      <c r="J88" s="365">
        <v>308</v>
      </c>
      <c r="K88" s="373">
        <v>3613</v>
      </c>
      <c r="L88" s="366">
        <v>5645</v>
      </c>
      <c r="M88" s="365">
        <v>0</v>
      </c>
      <c r="N88" s="366">
        <v>5645</v>
      </c>
      <c r="O88" s="366">
        <v>9258</v>
      </c>
      <c r="P88" s="365">
        <v>0</v>
      </c>
      <c r="Q88" s="365">
        <v>13</v>
      </c>
      <c r="R88" s="351"/>
      <c r="S88" s="357"/>
      <c r="T88" s="376"/>
      <c r="U88" s="351"/>
    </row>
    <row r="89" spans="1:21" x14ac:dyDescent="0.3">
      <c r="A89" s="351"/>
      <c r="B89" s="358"/>
      <c r="C89" s="364">
        <v>2018</v>
      </c>
      <c r="D89" s="365">
        <v>0</v>
      </c>
      <c r="E89" s="365">
        <v>0</v>
      </c>
      <c r="F89" s="365">
        <v>0</v>
      </c>
      <c r="G89" s="365">
        <v>0</v>
      </c>
      <c r="H89" s="365">
        <v>0</v>
      </c>
      <c r="I89" s="366">
        <v>3305</v>
      </c>
      <c r="J89" s="365">
        <v>308</v>
      </c>
      <c r="K89" s="373">
        <v>3613</v>
      </c>
      <c r="L89" s="366">
        <v>5645</v>
      </c>
      <c r="M89" s="365">
        <v>0</v>
      </c>
      <c r="N89" s="366">
        <v>5645</v>
      </c>
      <c r="O89" s="366">
        <v>9258</v>
      </c>
      <c r="P89" s="365">
        <v>0</v>
      </c>
      <c r="Q89" s="365">
        <v>13</v>
      </c>
      <c r="R89" s="351"/>
      <c r="S89" s="357"/>
      <c r="T89" s="376"/>
      <c r="U89" s="351"/>
    </row>
    <row r="90" spans="1:21" x14ac:dyDescent="0.3">
      <c r="A90" s="351"/>
      <c r="B90" s="358"/>
      <c r="C90" s="364">
        <v>2019</v>
      </c>
      <c r="D90" s="365">
        <v>0</v>
      </c>
      <c r="E90" s="365">
        <v>0</v>
      </c>
      <c r="F90" s="365">
        <v>0</v>
      </c>
      <c r="G90" s="365">
        <v>0</v>
      </c>
      <c r="H90" s="365">
        <v>0</v>
      </c>
      <c r="I90" s="366">
        <v>3305</v>
      </c>
      <c r="J90" s="365">
        <v>308</v>
      </c>
      <c r="K90" s="373">
        <v>3613</v>
      </c>
      <c r="L90" s="366">
        <v>5645</v>
      </c>
      <c r="M90" s="365">
        <v>0</v>
      </c>
      <c r="N90" s="366">
        <v>5645</v>
      </c>
      <c r="O90" s="366">
        <v>9258</v>
      </c>
      <c r="P90" s="365">
        <v>0</v>
      </c>
      <c r="Q90" s="365">
        <v>11</v>
      </c>
      <c r="R90" s="351"/>
      <c r="S90" s="357"/>
      <c r="T90" s="376"/>
      <c r="U90" s="351"/>
    </row>
    <row r="91" spans="1:21" x14ac:dyDescent="0.3">
      <c r="A91" s="351"/>
      <c r="B91" s="358"/>
      <c r="C91" s="364">
        <v>2020</v>
      </c>
      <c r="D91" s="365">
        <v>0</v>
      </c>
      <c r="E91" s="365">
        <v>0</v>
      </c>
      <c r="F91" s="365">
        <v>0</v>
      </c>
      <c r="G91" s="365">
        <v>0</v>
      </c>
      <c r="H91" s="365">
        <v>0</v>
      </c>
      <c r="I91" s="366">
        <v>8140</v>
      </c>
      <c r="J91" s="365">
        <v>376</v>
      </c>
      <c r="K91" s="373">
        <v>8516</v>
      </c>
      <c r="L91" s="365">
        <v>116</v>
      </c>
      <c r="M91" s="365">
        <v>0</v>
      </c>
      <c r="N91" s="365">
        <v>116</v>
      </c>
      <c r="O91" s="366">
        <v>8632</v>
      </c>
      <c r="P91" s="365">
        <v>0</v>
      </c>
      <c r="Q91" s="365">
        <v>15</v>
      </c>
      <c r="R91" s="351"/>
      <c r="S91" s="357"/>
      <c r="T91" s="376"/>
      <c r="U91" s="351"/>
    </row>
    <row r="92" spans="1:21" x14ac:dyDescent="0.3">
      <c r="A92" s="351"/>
      <c r="B92" s="358"/>
      <c r="C92" s="364">
        <v>2021</v>
      </c>
      <c r="D92" s="365">
        <v>0</v>
      </c>
      <c r="E92" s="365">
        <v>0</v>
      </c>
      <c r="F92" s="365">
        <v>0</v>
      </c>
      <c r="G92" s="365">
        <v>0</v>
      </c>
      <c r="H92" s="365">
        <v>0</v>
      </c>
      <c r="I92" s="366">
        <v>8140</v>
      </c>
      <c r="J92" s="365">
        <v>376</v>
      </c>
      <c r="K92" s="373">
        <v>8516</v>
      </c>
      <c r="L92" s="365">
        <v>116</v>
      </c>
      <c r="M92" s="365">
        <v>0</v>
      </c>
      <c r="N92" s="365">
        <v>116</v>
      </c>
      <c r="O92" s="366">
        <v>8632</v>
      </c>
      <c r="P92" s="365">
        <v>0</v>
      </c>
      <c r="Q92" s="365">
        <v>15</v>
      </c>
      <c r="R92" s="351"/>
      <c r="S92" s="357"/>
      <c r="T92" s="376"/>
      <c r="U92" s="351"/>
    </row>
    <row r="93" spans="1:21" x14ac:dyDescent="0.3">
      <c r="A93" s="351"/>
      <c r="B93" s="358"/>
      <c r="C93" s="364">
        <v>2022</v>
      </c>
      <c r="D93" s="365">
        <v>0</v>
      </c>
      <c r="E93" s="365">
        <v>0</v>
      </c>
      <c r="F93" s="365">
        <v>0</v>
      </c>
      <c r="G93" s="365">
        <v>0</v>
      </c>
      <c r="H93" s="365">
        <v>0</v>
      </c>
      <c r="I93" s="366">
        <v>8140</v>
      </c>
      <c r="J93" s="365">
        <v>376</v>
      </c>
      <c r="K93" s="373">
        <v>8516</v>
      </c>
      <c r="L93" s="365">
        <v>116</v>
      </c>
      <c r="M93" s="365">
        <v>0</v>
      </c>
      <c r="N93" s="365">
        <v>116</v>
      </c>
      <c r="O93" s="366">
        <v>8632</v>
      </c>
      <c r="P93" s="365">
        <v>0</v>
      </c>
      <c r="Q93" s="365">
        <v>15</v>
      </c>
      <c r="R93" s="351"/>
      <c r="S93" s="357"/>
      <c r="T93" s="376"/>
      <c r="U93" s="351"/>
    </row>
    <row r="94" spans="1:21" x14ac:dyDescent="0.3">
      <c r="A94" s="351"/>
      <c r="B94" s="358"/>
      <c r="C94" s="364">
        <v>2023</v>
      </c>
      <c r="D94" s="365">
        <v>0</v>
      </c>
      <c r="E94" s="365">
        <v>0</v>
      </c>
      <c r="F94" s="365">
        <v>0</v>
      </c>
      <c r="G94" s="365">
        <v>0</v>
      </c>
      <c r="H94" s="365">
        <v>0</v>
      </c>
      <c r="I94" s="366">
        <v>8140</v>
      </c>
      <c r="J94" s="365">
        <v>376</v>
      </c>
      <c r="K94" s="373">
        <v>8516</v>
      </c>
      <c r="L94" s="365">
        <v>116</v>
      </c>
      <c r="M94" s="365">
        <v>0</v>
      </c>
      <c r="N94" s="365">
        <v>116</v>
      </c>
      <c r="O94" s="366">
        <v>8632</v>
      </c>
      <c r="P94" s="365">
        <v>0</v>
      </c>
      <c r="Q94" s="365">
        <v>15</v>
      </c>
      <c r="R94" s="351"/>
      <c r="S94" s="357"/>
      <c r="T94" s="376"/>
      <c r="U94" s="351"/>
    </row>
    <row r="95" spans="1:21" x14ac:dyDescent="0.3">
      <c r="A95" s="351"/>
      <c r="B95" s="358"/>
      <c r="C95" s="364">
        <v>2024</v>
      </c>
      <c r="D95" s="365">
        <v>0</v>
      </c>
      <c r="E95" s="365">
        <v>0</v>
      </c>
      <c r="F95" s="365">
        <v>0</v>
      </c>
      <c r="G95" s="365">
        <v>0</v>
      </c>
      <c r="H95" s="365">
        <v>0</v>
      </c>
      <c r="I95" s="366">
        <v>8140</v>
      </c>
      <c r="J95" s="365">
        <v>376</v>
      </c>
      <c r="K95" s="373">
        <v>8516</v>
      </c>
      <c r="L95" s="365">
        <v>116</v>
      </c>
      <c r="M95" s="365">
        <v>0</v>
      </c>
      <c r="N95" s="365">
        <v>116</v>
      </c>
      <c r="O95" s="366">
        <v>8632</v>
      </c>
      <c r="P95" s="365">
        <v>0</v>
      </c>
      <c r="Q95" s="365">
        <v>17</v>
      </c>
      <c r="R95" s="351"/>
      <c r="S95" s="357">
        <f>C95-$C$85</f>
        <v>10</v>
      </c>
      <c r="T95" s="376">
        <f>((K95/$K$85)^(1/(C95-$C$85)))-1</f>
        <v>6.5345582693381754E-2</v>
      </c>
      <c r="U95" s="351"/>
    </row>
    <row r="96" spans="1:21" x14ac:dyDescent="0.3">
      <c r="A96" s="351"/>
      <c r="B96" s="358"/>
      <c r="C96" s="364">
        <v>2025</v>
      </c>
      <c r="D96" s="365">
        <v>0</v>
      </c>
      <c r="E96" s="365">
        <v>0</v>
      </c>
      <c r="F96" s="365">
        <v>0</v>
      </c>
      <c r="G96" s="365">
        <v>0</v>
      </c>
      <c r="H96" s="365">
        <v>0</v>
      </c>
      <c r="I96" s="366">
        <v>8140</v>
      </c>
      <c r="J96" s="365">
        <v>376</v>
      </c>
      <c r="K96" s="373">
        <v>8516</v>
      </c>
      <c r="L96" s="365">
        <v>116</v>
      </c>
      <c r="M96" s="365">
        <v>0</v>
      </c>
      <c r="N96" s="365">
        <v>116</v>
      </c>
      <c r="O96" s="366">
        <v>8632</v>
      </c>
      <c r="P96" s="365">
        <v>0</v>
      </c>
      <c r="Q96" s="365">
        <v>17</v>
      </c>
      <c r="R96" s="351"/>
      <c r="S96" s="357">
        <f>C96-$C$85</f>
        <v>11</v>
      </c>
      <c r="T96" s="376">
        <f>((K96/$K$85)^(1/(C96-$C$85)))-1</f>
        <v>5.9232682117194679E-2</v>
      </c>
      <c r="U96" s="351"/>
    </row>
    <row r="97" spans="1:21" x14ac:dyDescent="0.3">
      <c r="A97" s="351"/>
      <c r="B97" s="358"/>
      <c r="C97" s="364">
        <v>2026</v>
      </c>
      <c r="D97" s="365">
        <v>0</v>
      </c>
      <c r="E97" s="365">
        <v>0</v>
      </c>
      <c r="F97" s="365">
        <v>0</v>
      </c>
      <c r="G97" s="365">
        <v>0</v>
      </c>
      <c r="H97" s="365">
        <v>0</v>
      </c>
      <c r="I97" s="366">
        <v>8140</v>
      </c>
      <c r="J97" s="365">
        <v>376</v>
      </c>
      <c r="K97" s="373">
        <v>8516</v>
      </c>
      <c r="L97" s="365">
        <v>116</v>
      </c>
      <c r="M97" s="365">
        <v>0</v>
      </c>
      <c r="N97" s="365">
        <v>116</v>
      </c>
      <c r="O97" s="366">
        <v>8632</v>
      </c>
      <c r="P97" s="365">
        <v>0</v>
      </c>
      <c r="Q97" s="365">
        <v>17</v>
      </c>
      <c r="R97" s="351"/>
      <c r="S97" s="357">
        <f>C97-$C$85</f>
        <v>12</v>
      </c>
      <c r="T97" s="376">
        <f>((K97/$K$85)^(1/(C97-$C$85)))-1</f>
        <v>5.4165400661497776E-2</v>
      </c>
      <c r="U97" s="351"/>
    </row>
    <row r="98" spans="1:21" x14ac:dyDescent="0.3">
      <c r="A98" s="351"/>
      <c r="B98" s="358"/>
      <c r="C98" s="364">
        <v>2027</v>
      </c>
      <c r="D98" s="365">
        <v>0</v>
      </c>
      <c r="E98" s="365">
        <v>0</v>
      </c>
      <c r="F98" s="365">
        <v>0</v>
      </c>
      <c r="G98" s="365">
        <v>0</v>
      </c>
      <c r="H98" s="365">
        <v>0</v>
      </c>
      <c r="I98" s="366">
        <v>8140</v>
      </c>
      <c r="J98" s="365">
        <v>376</v>
      </c>
      <c r="K98" s="373">
        <v>8516</v>
      </c>
      <c r="L98" s="365">
        <v>116</v>
      </c>
      <c r="M98" s="365">
        <v>0</v>
      </c>
      <c r="N98" s="365">
        <v>116</v>
      </c>
      <c r="O98" s="366">
        <v>8632</v>
      </c>
      <c r="P98" s="365">
        <v>0</v>
      </c>
      <c r="Q98" s="365">
        <v>17</v>
      </c>
      <c r="R98" s="351"/>
      <c r="S98" s="357">
        <f>C98-$C$85</f>
        <v>13</v>
      </c>
      <c r="T98" s="376">
        <f>((K98/$K$85)^(1/(C98-$C$85)))-1</f>
        <v>4.9896639773904683E-2</v>
      </c>
      <c r="U98" s="351"/>
    </row>
    <row r="99" spans="1:21" x14ac:dyDescent="0.3">
      <c r="A99" s="351"/>
      <c r="B99" s="358"/>
      <c r="C99" s="364">
        <v>2028</v>
      </c>
      <c r="D99" s="365">
        <v>0</v>
      </c>
      <c r="E99" s="365">
        <v>0</v>
      </c>
      <c r="F99" s="365">
        <v>0</v>
      </c>
      <c r="G99" s="365">
        <v>0</v>
      </c>
      <c r="H99" s="365">
        <v>0</v>
      </c>
      <c r="I99" s="366">
        <v>8140</v>
      </c>
      <c r="J99" s="365">
        <v>376</v>
      </c>
      <c r="K99" s="373">
        <v>8516</v>
      </c>
      <c r="L99" s="365">
        <v>116</v>
      </c>
      <c r="M99" s="365">
        <v>0</v>
      </c>
      <c r="N99" s="365">
        <v>116</v>
      </c>
      <c r="O99" s="366">
        <v>8632</v>
      </c>
      <c r="P99" s="365">
        <v>0</v>
      </c>
      <c r="Q99" s="365">
        <v>17</v>
      </c>
      <c r="R99" s="351"/>
      <c r="S99" s="357">
        <f>C99-$C$85</f>
        <v>14</v>
      </c>
      <c r="T99" s="376">
        <f>((K99/$K$85)^(1/(C99-$C$85)))-1</f>
        <v>4.6251462783607922E-2</v>
      </c>
      <c r="U99" s="351"/>
    </row>
    <row r="100" spans="1:21" x14ac:dyDescent="0.3">
      <c r="A100" s="351"/>
      <c r="B100" s="358"/>
      <c r="C100" s="364">
        <v>2029</v>
      </c>
      <c r="D100" s="365">
        <v>0</v>
      </c>
      <c r="E100" s="365">
        <v>0</v>
      </c>
      <c r="F100" s="365">
        <v>0</v>
      </c>
      <c r="G100" s="365">
        <v>0</v>
      </c>
      <c r="H100" s="365">
        <v>0</v>
      </c>
      <c r="I100" s="366">
        <v>8140</v>
      </c>
      <c r="J100" s="365">
        <v>376</v>
      </c>
      <c r="K100" s="373">
        <v>8516</v>
      </c>
      <c r="L100" s="365">
        <v>116</v>
      </c>
      <c r="M100" s="365">
        <v>0</v>
      </c>
      <c r="N100" s="365">
        <v>116</v>
      </c>
      <c r="O100" s="366">
        <v>8632</v>
      </c>
      <c r="P100" s="365">
        <v>0</v>
      </c>
      <c r="Q100" s="365">
        <v>17</v>
      </c>
      <c r="R100" s="351"/>
      <c r="S100" s="357">
        <f>C100-$C$85</f>
        <v>15</v>
      </c>
      <c r="T100" s="376">
        <f>((K100/$K$85)^(1/(C100-$C$85)))-1</f>
        <v>4.3102548134984264E-2</v>
      </c>
      <c r="U100" s="351"/>
    </row>
    <row r="101" spans="1:21" x14ac:dyDescent="0.3">
      <c r="A101" s="351"/>
      <c r="B101" s="358"/>
      <c r="C101" s="364">
        <v>2030</v>
      </c>
      <c r="D101" s="365">
        <v>0</v>
      </c>
      <c r="E101" s="365">
        <v>0</v>
      </c>
      <c r="F101" s="365">
        <v>0</v>
      </c>
      <c r="G101" s="365">
        <v>0</v>
      </c>
      <c r="H101" s="365">
        <v>0</v>
      </c>
      <c r="I101" s="366">
        <v>8140</v>
      </c>
      <c r="J101" s="365">
        <v>376</v>
      </c>
      <c r="K101" s="373">
        <v>8516</v>
      </c>
      <c r="L101" s="365">
        <v>116</v>
      </c>
      <c r="M101" s="365">
        <v>0</v>
      </c>
      <c r="N101" s="365">
        <v>116</v>
      </c>
      <c r="O101" s="366">
        <v>8632</v>
      </c>
      <c r="P101" s="365">
        <v>0</v>
      </c>
      <c r="Q101" s="365">
        <v>17</v>
      </c>
      <c r="R101" s="351"/>
      <c r="S101" s="357">
        <f>C101-$C$85</f>
        <v>16</v>
      </c>
      <c r="T101" s="376">
        <f>((K101/$K$85)^(1/(C101-$C$85)))-1</f>
        <v>4.0355023160053127E-2</v>
      </c>
      <c r="U101" s="351"/>
    </row>
    <row r="102" spans="1:21" x14ac:dyDescent="0.3">
      <c r="A102" s="351"/>
      <c r="B102" s="358"/>
      <c r="C102" s="364">
        <v>2031</v>
      </c>
      <c r="D102" s="365">
        <v>0</v>
      </c>
      <c r="E102" s="365">
        <v>0</v>
      </c>
      <c r="F102" s="365">
        <v>0</v>
      </c>
      <c r="G102" s="365">
        <v>0</v>
      </c>
      <c r="H102" s="365">
        <v>0</v>
      </c>
      <c r="I102" s="366">
        <v>8140</v>
      </c>
      <c r="J102" s="365">
        <v>376</v>
      </c>
      <c r="K102" s="373">
        <v>8516</v>
      </c>
      <c r="L102" s="365">
        <v>116</v>
      </c>
      <c r="M102" s="365">
        <v>0</v>
      </c>
      <c r="N102" s="365">
        <v>116</v>
      </c>
      <c r="O102" s="366">
        <v>8632</v>
      </c>
      <c r="P102" s="365">
        <v>0</v>
      </c>
      <c r="Q102" s="365">
        <v>17</v>
      </c>
      <c r="R102" s="351"/>
      <c r="S102" s="357">
        <f>C102-$C$85</f>
        <v>17</v>
      </c>
      <c r="T102" s="376">
        <f>((K102/$K$85)^(1/(C102-$C$85)))-1</f>
        <v>3.7936746972542235E-2</v>
      </c>
      <c r="U102" s="351"/>
    </row>
    <row r="103" spans="1:21" x14ac:dyDescent="0.3">
      <c r="A103" s="351"/>
      <c r="B103" s="358"/>
      <c r="C103" s="364">
        <v>2032</v>
      </c>
      <c r="D103" s="365">
        <v>0</v>
      </c>
      <c r="E103" s="365">
        <v>0</v>
      </c>
      <c r="F103" s="365">
        <v>0</v>
      </c>
      <c r="G103" s="365">
        <v>0</v>
      </c>
      <c r="H103" s="365">
        <v>0</v>
      </c>
      <c r="I103" s="366">
        <v>8140</v>
      </c>
      <c r="J103" s="365">
        <v>376</v>
      </c>
      <c r="K103" s="373">
        <v>8516</v>
      </c>
      <c r="L103" s="365">
        <v>116</v>
      </c>
      <c r="M103" s="365">
        <v>0</v>
      </c>
      <c r="N103" s="365">
        <v>116</v>
      </c>
      <c r="O103" s="366">
        <v>8632</v>
      </c>
      <c r="P103" s="365">
        <v>0</v>
      </c>
      <c r="Q103" s="365">
        <v>17</v>
      </c>
      <c r="R103" s="351"/>
      <c r="S103" s="357">
        <f>C103-$C$85</f>
        <v>18</v>
      </c>
      <c r="T103" s="376">
        <f>((K103/$K$85)^(1/(C103-$C$85)))-1</f>
        <v>3.5791887590792326E-2</v>
      </c>
      <c r="U103" s="351"/>
    </row>
    <row r="104" spans="1:21" x14ac:dyDescent="0.3">
      <c r="A104" s="351"/>
      <c r="B104" s="358"/>
      <c r="C104" s="364">
        <v>2033</v>
      </c>
      <c r="D104" s="365">
        <v>0</v>
      </c>
      <c r="E104" s="365">
        <v>0</v>
      </c>
      <c r="F104" s="365">
        <v>0</v>
      </c>
      <c r="G104" s="365">
        <v>0</v>
      </c>
      <c r="H104" s="365">
        <v>0</v>
      </c>
      <c r="I104" s="366">
        <v>8140</v>
      </c>
      <c r="J104" s="365">
        <v>376</v>
      </c>
      <c r="K104" s="373">
        <v>8516</v>
      </c>
      <c r="L104" s="365">
        <v>116</v>
      </c>
      <c r="M104" s="365">
        <v>0</v>
      </c>
      <c r="N104" s="365">
        <v>116</v>
      </c>
      <c r="O104" s="366">
        <v>8632</v>
      </c>
      <c r="P104" s="365">
        <v>0</v>
      </c>
      <c r="Q104" s="365">
        <v>17</v>
      </c>
      <c r="R104" s="351"/>
      <c r="S104" s="357">
        <f>C104-$C$85</f>
        <v>19</v>
      </c>
      <c r="T104" s="376">
        <f>((K104/$K$85)^(1/(C104-$C$85)))-1</f>
        <v>3.3876560151566482E-2</v>
      </c>
      <c r="U104" s="351"/>
    </row>
    <row r="105" spans="1:21" x14ac:dyDescent="0.3">
      <c r="A105" s="351"/>
      <c r="B105" s="358"/>
      <c r="C105" s="364">
        <v>2034</v>
      </c>
      <c r="D105" s="365">
        <v>0</v>
      </c>
      <c r="E105" s="365">
        <v>0</v>
      </c>
      <c r="F105" s="365">
        <v>0</v>
      </c>
      <c r="G105" s="365">
        <v>0</v>
      </c>
      <c r="H105" s="365">
        <v>0</v>
      </c>
      <c r="I105" s="366">
        <v>8140</v>
      </c>
      <c r="J105" s="365">
        <v>376</v>
      </c>
      <c r="K105" s="373">
        <v>8516</v>
      </c>
      <c r="L105" s="365">
        <v>116</v>
      </c>
      <c r="M105" s="365">
        <v>0</v>
      </c>
      <c r="N105" s="365">
        <v>116</v>
      </c>
      <c r="O105" s="366">
        <v>8632</v>
      </c>
      <c r="P105" s="365">
        <v>0</v>
      </c>
      <c r="Q105" s="365">
        <v>17</v>
      </c>
      <c r="R105" s="351"/>
      <c r="S105" s="357">
        <f>C105-$C$85</f>
        <v>20</v>
      </c>
      <c r="T105" s="376">
        <f>((K105/$K$85)^(1/(C105-$C$85)))-1</f>
        <v>3.2155793808949173E-2</v>
      </c>
      <c r="U105" s="351"/>
    </row>
    <row r="106" spans="1:21" x14ac:dyDescent="0.3">
      <c r="A106" s="351"/>
      <c r="B106" s="351"/>
      <c r="C106" s="351"/>
      <c r="D106" s="351"/>
      <c r="E106" s="351"/>
      <c r="F106" s="351"/>
      <c r="G106" s="351"/>
      <c r="H106" s="351"/>
      <c r="I106" s="351"/>
      <c r="J106" s="351"/>
      <c r="K106" s="374"/>
      <c r="L106" s="351"/>
      <c r="M106" s="351"/>
      <c r="N106" s="351"/>
      <c r="O106" s="351"/>
      <c r="P106" s="351"/>
      <c r="Q106" s="351"/>
      <c r="R106" s="351"/>
      <c r="S106" s="375"/>
      <c r="T106" s="375"/>
      <c r="U106" s="351"/>
    </row>
    <row r="107" spans="1:21" x14ac:dyDescent="0.3">
      <c r="A107" s="351"/>
      <c r="B107" s="359" t="s">
        <v>0</v>
      </c>
      <c r="C107" s="367" t="s">
        <v>334</v>
      </c>
      <c r="D107" s="367" t="s">
        <v>335</v>
      </c>
      <c r="E107" s="368" t="s">
        <v>337</v>
      </c>
      <c r="F107" s="368" t="s">
        <v>338</v>
      </c>
      <c r="G107" s="367" t="s">
        <v>335</v>
      </c>
      <c r="H107" s="367" t="s">
        <v>339</v>
      </c>
      <c r="I107" s="368" t="s">
        <v>340</v>
      </c>
      <c r="J107" s="368" t="s">
        <v>341</v>
      </c>
      <c r="K107" s="372" t="s">
        <v>338</v>
      </c>
      <c r="L107" s="368" t="s">
        <v>342</v>
      </c>
      <c r="M107" s="368" t="s">
        <v>341</v>
      </c>
      <c r="N107" s="368" t="s">
        <v>338</v>
      </c>
      <c r="O107" s="367" t="s">
        <v>338</v>
      </c>
      <c r="P107" s="367" t="s">
        <v>338</v>
      </c>
      <c r="Q107" s="367" t="s">
        <v>345</v>
      </c>
      <c r="R107" s="351"/>
      <c r="S107" s="367" t="s">
        <v>350</v>
      </c>
      <c r="T107" s="357"/>
      <c r="U107" s="351"/>
    </row>
    <row r="108" spans="1:21" x14ac:dyDescent="0.3">
      <c r="A108" s="351"/>
      <c r="B108" s="359"/>
      <c r="C108" s="367" t="s">
        <v>55</v>
      </c>
      <c r="D108" s="367" t="s">
        <v>336</v>
      </c>
      <c r="E108" s="368"/>
      <c r="F108" s="368"/>
      <c r="G108" s="367" t="s">
        <v>336</v>
      </c>
      <c r="H108" s="367" t="s">
        <v>337</v>
      </c>
      <c r="I108" s="368"/>
      <c r="J108" s="368"/>
      <c r="K108" s="372"/>
      <c r="L108" s="368"/>
      <c r="M108" s="368"/>
      <c r="N108" s="368"/>
      <c r="O108" s="367" t="s">
        <v>343</v>
      </c>
      <c r="P108" s="367" t="s">
        <v>344</v>
      </c>
      <c r="Q108" s="367" t="s">
        <v>346</v>
      </c>
      <c r="R108" s="351"/>
      <c r="S108" s="367" t="s">
        <v>351</v>
      </c>
      <c r="T108" s="367" t="s">
        <v>332</v>
      </c>
      <c r="U108" s="351"/>
    </row>
    <row r="109" spans="1:21" x14ac:dyDescent="0.3">
      <c r="A109" s="351"/>
      <c r="B109" s="359"/>
      <c r="C109" s="364">
        <v>2014</v>
      </c>
      <c r="D109" s="366">
        <v>1094</v>
      </c>
      <c r="E109" s="366">
        <v>4851</v>
      </c>
      <c r="F109" s="366">
        <v>5945</v>
      </c>
      <c r="G109" s="365">
        <v>187</v>
      </c>
      <c r="H109" s="366">
        <v>3969</v>
      </c>
      <c r="I109" s="366">
        <v>59395</v>
      </c>
      <c r="J109" s="366">
        <v>3351</v>
      </c>
      <c r="K109" s="373">
        <v>66902</v>
      </c>
      <c r="L109" s="366">
        <v>71083</v>
      </c>
      <c r="M109" s="366">
        <v>2240</v>
      </c>
      <c r="N109" s="366">
        <v>73323</v>
      </c>
      <c r="O109" s="366">
        <v>140225</v>
      </c>
      <c r="P109" s="365">
        <v>0</v>
      </c>
      <c r="Q109" s="365">
        <v>123</v>
      </c>
      <c r="R109" s="351"/>
      <c r="S109" s="357"/>
      <c r="T109" s="376"/>
      <c r="U109" s="351"/>
    </row>
    <row r="110" spans="1:21" x14ac:dyDescent="0.3">
      <c r="A110" s="351"/>
      <c r="B110" s="359"/>
      <c r="C110" s="364">
        <v>2015</v>
      </c>
      <c r="D110" s="366">
        <v>2139</v>
      </c>
      <c r="E110" s="366">
        <v>3545</v>
      </c>
      <c r="F110" s="366">
        <v>5684</v>
      </c>
      <c r="G110" s="365">
        <v>176</v>
      </c>
      <c r="H110" s="366">
        <v>3617</v>
      </c>
      <c r="I110" s="366">
        <v>61329</v>
      </c>
      <c r="J110" s="366">
        <v>3633</v>
      </c>
      <c r="K110" s="373">
        <v>68755</v>
      </c>
      <c r="L110" s="366">
        <v>90244</v>
      </c>
      <c r="M110" s="366">
        <v>5771</v>
      </c>
      <c r="N110" s="366">
        <v>96015</v>
      </c>
      <c r="O110" s="366">
        <v>164770</v>
      </c>
      <c r="P110" s="365">
        <v>0</v>
      </c>
      <c r="Q110" s="365">
        <v>128</v>
      </c>
      <c r="R110" s="351"/>
      <c r="S110" s="357"/>
      <c r="T110" s="376"/>
      <c r="U110" s="351"/>
    </row>
    <row r="111" spans="1:21" x14ac:dyDescent="0.3">
      <c r="A111" s="351"/>
      <c r="B111" s="359"/>
      <c r="C111" s="364">
        <v>2016</v>
      </c>
      <c r="D111" s="365">
        <v>874</v>
      </c>
      <c r="E111" s="365">
        <v>971</v>
      </c>
      <c r="F111" s="366">
        <v>1845</v>
      </c>
      <c r="G111" s="365">
        <v>78</v>
      </c>
      <c r="H111" s="366">
        <v>3425</v>
      </c>
      <c r="I111" s="366">
        <v>60949</v>
      </c>
      <c r="J111" s="366">
        <v>11304</v>
      </c>
      <c r="K111" s="373">
        <v>75756</v>
      </c>
      <c r="L111" s="366">
        <v>72117</v>
      </c>
      <c r="M111" s="366">
        <v>18110</v>
      </c>
      <c r="N111" s="366">
        <v>90227</v>
      </c>
      <c r="O111" s="366">
        <v>165983</v>
      </c>
      <c r="P111" s="365">
        <v>0</v>
      </c>
      <c r="Q111" s="365">
        <v>128</v>
      </c>
      <c r="R111" s="351"/>
      <c r="S111" s="357"/>
      <c r="T111" s="376"/>
      <c r="U111" s="351"/>
    </row>
    <row r="112" spans="1:21" x14ac:dyDescent="0.3">
      <c r="A112" s="351"/>
      <c r="B112" s="359"/>
      <c r="C112" s="364">
        <v>2017</v>
      </c>
      <c r="D112" s="365">
        <v>990</v>
      </c>
      <c r="E112" s="366">
        <v>2574</v>
      </c>
      <c r="F112" s="366">
        <v>3564</v>
      </c>
      <c r="G112" s="365">
        <v>102</v>
      </c>
      <c r="H112" s="366">
        <v>4841</v>
      </c>
      <c r="I112" s="366">
        <v>15063</v>
      </c>
      <c r="J112" s="366">
        <v>60619</v>
      </c>
      <c r="K112" s="373">
        <v>80625</v>
      </c>
      <c r="L112" s="366">
        <v>5977</v>
      </c>
      <c r="M112" s="366">
        <v>89246</v>
      </c>
      <c r="N112" s="366">
        <v>95223</v>
      </c>
      <c r="O112" s="366">
        <v>175848</v>
      </c>
      <c r="P112" s="365">
        <v>0</v>
      </c>
      <c r="Q112" s="365">
        <v>132</v>
      </c>
      <c r="R112" s="351"/>
      <c r="S112" s="357"/>
      <c r="T112" s="376"/>
      <c r="U112" s="351"/>
    </row>
    <row r="113" spans="1:21" x14ac:dyDescent="0.3">
      <c r="A113" s="351"/>
      <c r="B113" s="359"/>
      <c r="C113" s="364">
        <v>2018</v>
      </c>
      <c r="D113" s="365">
        <v>946</v>
      </c>
      <c r="E113" s="366">
        <v>7332</v>
      </c>
      <c r="F113" s="366">
        <v>8278</v>
      </c>
      <c r="G113" s="365">
        <v>172</v>
      </c>
      <c r="H113" s="366">
        <v>4126</v>
      </c>
      <c r="I113" s="366">
        <v>16644</v>
      </c>
      <c r="J113" s="366">
        <v>70233</v>
      </c>
      <c r="K113" s="373">
        <v>91175</v>
      </c>
      <c r="L113" s="366">
        <v>6308</v>
      </c>
      <c r="M113" s="366">
        <v>98591</v>
      </c>
      <c r="N113" s="366">
        <v>104899</v>
      </c>
      <c r="O113" s="366">
        <v>196074</v>
      </c>
      <c r="P113" s="365">
        <v>0</v>
      </c>
      <c r="Q113" s="365">
        <v>125</v>
      </c>
      <c r="R113" s="351"/>
      <c r="S113" s="357"/>
      <c r="T113" s="376"/>
      <c r="U113" s="351"/>
    </row>
    <row r="114" spans="1:21" x14ac:dyDescent="0.3">
      <c r="A114" s="351"/>
      <c r="B114" s="359"/>
      <c r="C114" s="364">
        <v>2019</v>
      </c>
      <c r="D114" s="365">
        <v>992</v>
      </c>
      <c r="E114" s="366">
        <v>10392</v>
      </c>
      <c r="F114" s="366">
        <v>11384</v>
      </c>
      <c r="G114" s="365">
        <v>161</v>
      </c>
      <c r="H114" s="366">
        <v>3996</v>
      </c>
      <c r="I114" s="366">
        <v>15547</v>
      </c>
      <c r="J114" s="366">
        <v>75702</v>
      </c>
      <c r="K114" s="373">
        <v>95406</v>
      </c>
      <c r="L114" s="366">
        <v>5748</v>
      </c>
      <c r="M114" s="366">
        <v>116270</v>
      </c>
      <c r="N114" s="366">
        <v>122018</v>
      </c>
      <c r="O114" s="366">
        <v>217424</v>
      </c>
      <c r="P114" s="365">
        <v>0</v>
      </c>
      <c r="Q114" s="365">
        <v>125</v>
      </c>
      <c r="R114" s="351"/>
      <c r="S114" s="357"/>
      <c r="T114" s="376"/>
      <c r="U114" s="351"/>
    </row>
    <row r="115" spans="1:21" x14ac:dyDescent="0.3">
      <c r="A115" s="351"/>
      <c r="B115" s="359"/>
      <c r="C115" s="364">
        <v>2020</v>
      </c>
      <c r="D115" s="365">
        <v>876</v>
      </c>
      <c r="E115" s="366">
        <v>6981</v>
      </c>
      <c r="F115" s="366">
        <v>7857</v>
      </c>
      <c r="G115" s="365">
        <v>53</v>
      </c>
      <c r="H115" s="366">
        <v>4407</v>
      </c>
      <c r="I115" s="366">
        <v>14754</v>
      </c>
      <c r="J115" s="366">
        <v>48137</v>
      </c>
      <c r="K115" s="373">
        <v>67351</v>
      </c>
      <c r="L115" s="366">
        <v>6271</v>
      </c>
      <c r="M115" s="366">
        <v>92230</v>
      </c>
      <c r="N115" s="366">
        <v>98501</v>
      </c>
      <c r="O115" s="366">
        <v>165852</v>
      </c>
      <c r="P115" s="365">
        <v>0</v>
      </c>
      <c r="Q115" s="365">
        <v>121</v>
      </c>
      <c r="R115" s="351"/>
      <c r="S115" s="357"/>
      <c r="T115" s="376"/>
      <c r="U115" s="351"/>
    </row>
    <row r="116" spans="1:21" x14ac:dyDescent="0.3">
      <c r="A116" s="351"/>
      <c r="B116" s="359"/>
      <c r="C116" s="364">
        <v>2021</v>
      </c>
      <c r="D116" s="365">
        <v>646</v>
      </c>
      <c r="E116" s="366">
        <v>7468</v>
      </c>
      <c r="F116" s="366">
        <v>8114</v>
      </c>
      <c r="G116" s="365">
        <v>118</v>
      </c>
      <c r="H116" s="366">
        <v>3688</v>
      </c>
      <c r="I116" s="366">
        <v>16667</v>
      </c>
      <c r="J116" s="366">
        <v>52964</v>
      </c>
      <c r="K116" s="373">
        <v>73437</v>
      </c>
      <c r="L116" s="366">
        <v>9098</v>
      </c>
      <c r="M116" s="366">
        <v>94222</v>
      </c>
      <c r="N116" s="366">
        <v>103320</v>
      </c>
      <c r="O116" s="366">
        <v>176757</v>
      </c>
      <c r="P116" s="365">
        <v>0</v>
      </c>
      <c r="Q116" s="365">
        <v>121</v>
      </c>
      <c r="R116" s="351"/>
      <c r="S116" s="357"/>
      <c r="T116" s="376"/>
      <c r="U116" s="351"/>
    </row>
    <row r="117" spans="1:21" x14ac:dyDescent="0.3">
      <c r="A117" s="351"/>
      <c r="B117" s="359"/>
      <c r="C117" s="364">
        <v>2022</v>
      </c>
      <c r="D117" s="365">
        <v>412</v>
      </c>
      <c r="E117" s="366">
        <v>8773</v>
      </c>
      <c r="F117" s="366">
        <v>9185</v>
      </c>
      <c r="G117" s="365">
        <v>115</v>
      </c>
      <c r="H117" s="366">
        <v>4090</v>
      </c>
      <c r="I117" s="366">
        <v>18280</v>
      </c>
      <c r="J117" s="366">
        <v>48078</v>
      </c>
      <c r="K117" s="373">
        <v>70563</v>
      </c>
      <c r="L117" s="366">
        <v>9919</v>
      </c>
      <c r="M117" s="366">
        <v>79289</v>
      </c>
      <c r="N117" s="366">
        <v>89208</v>
      </c>
      <c r="O117" s="366">
        <v>159771</v>
      </c>
      <c r="P117" s="365">
        <v>0</v>
      </c>
      <c r="Q117" s="365">
        <v>121</v>
      </c>
      <c r="R117" s="351"/>
      <c r="S117" s="357"/>
      <c r="T117" s="376"/>
      <c r="U117" s="351"/>
    </row>
    <row r="118" spans="1:21" x14ac:dyDescent="0.3">
      <c r="A118" s="351"/>
      <c r="B118" s="359"/>
      <c r="C118" s="364">
        <v>2023</v>
      </c>
      <c r="D118" s="365">
        <v>188</v>
      </c>
      <c r="E118" s="366">
        <v>4285</v>
      </c>
      <c r="F118" s="366">
        <v>4473</v>
      </c>
      <c r="G118" s="365">
        <v>70</v>
      </c>
      <c r="H118" s="366">
        <v>6589</v>
      </c>
      <c r="I118" s="366">
        <v>17921</v>
      </c>
      <c r="J118" s="366">
        <v>46611</v>
      </c>
      <c r="K118" s="373">
        <v>71191</v>
      </c>
      <c r="L118" s="366">
        <v>13731</v>
      </c>
      <c r="M118" s="366">
        <v>79265</v>
      </c>
      <c r="N118" s="366">
        <v>92996</v>
      </c>
      <c r="O118" s="366">
        <v>164187</v>
      </c>
      <c r="P118" s="365">
        <v>0</v>
      </c>
      <c r="Q118" s="365">
        <v>126</v>
      </c>
      <c r="R118" s="351"/>
      <c r="S118" s="357"/>
      <c r="T118" s="376"/>
      <c r="U118" s="351"/>
    </row>
    <row r="119" spans="1:21" x14ac:dyDescent="0.3">
      <c r="A119" s="351"/>
      <c r="B119" s="359"/>
      <c r="C119" s="364">
        <v>2024</v>
      </c>
      <c r="D119" s="365">
        <v>210</v>
      </c>
      <c r="E119" s="366">
        <v>1510</v>
      </c>
      <c r="F119" s="366">
        <v>1720</v>
      </c>
      <c r="G119" s="365">
        <v>72</v>
      </c>
      <c r="H119" s="366">
        <v>7026</v>
      </c>
      <c r="I119" s="366">
        <v>15132</v>
      </c>
      <c r="J119" s="366">
        <v>48356</v>
      </c>
      <c r="K119" s="373">
        <v>70586</v>
      </c>
      <c r="L119" s="366">
        <v>11654</v>
      </c>
      <c r="M119" s="366">
        <v>59777</v>
      </c>
      <c r="N119" s="366">
        <v>71431</v>
      </c>
      <c r="O119" s="366">
        <v>142017</v>
      </c>
      <c r="P119" s="365">
        <v>0</v>
      </c>
      <c r="Q119" s="365">
        <v>121</v>
      </c>
      <c r="R119" s="351"/>
      <c r="S119" s="357">
        <f t="shared" ref="S119:S130" si="0">C119-$C$85</f>
        <v>10</v>
      </c>
      <c r="T119" s="376">
        <f>((K119/$K$109)^(1/(C119-$C$109)))-1</f>
        <v>5.3746883415703994E-3</v>
      </c>
      <c r="U119" s="351"/>
    </row>
    <row r="120" spans="1:21" x14ac:dyDescent="0.3">
      <c r="A120" s="351"/>
      <c r="B120" s="359"/>
      <c r="C120" s="364">
        <v>2025</v>
      </c>
      <c r="D120" s="365">
        <v>556</v>
      </c>
      <c r="E120" s="366">
        <v>1735</v>
      </c>
      <c r="F120" s="366">
        <v>2291</v>
      </c>
      <c r="G120" s="365">
        <v>80</v>
      </c>
      <c r="H120" s="366">
        <v>7015</v>
      </c>
      <c r="I120" s="366">
        <v>14405</v>
      </c>
      <c r="J120" s="366">
        <v>33364</v>
      </c>
      <c r="K120" s="373">
        <v>54864</v>
      </c>
      <c r="L120" s="366">
        <v>11538</v>
      </c>
      <c r="M120" s="366">
        <v>51988</v>
      </c>
      <c r="N120" s="366">
        <v>63526</v>
      </c>
      <c r="O120" s="366">
        <v>118390</v>
      </c>
      <c r="P120" s="365">
        <v>0</v>
      </c>
      <c r="Q120" s="365">
        <v>121</v>
      </c>
      <c r="R120" s="351"/>
      <c r="S120" s="357">
        <f t="shared" si="0"/>
        <v>11</v>
      </c>
      <c r="T120" s="376">
        <f>((K120/$K$109)^(1/(C120-$C$109)))-1</f>
        <v>-1.7872134332326151E-2</v>
      </c>
      <c r="U120" s="351"/>
    </row>
    <row r="121" spans="1:21" x14ac:dyDescent="0.3">
      <c r="A121" s="351"/>
      <c r="B121" s="359"/>
      <c r="C121" s="364">
        <v>2026</v>
      </c>
      <c r="D121" s="366">
        <v>1026</v>
      </c>
      <c r="E121" s="365">
        <v>882</v>
      </c>
      <c r="F121" s="366">
        <v>1908</v>
      </c>
      <c r="G121" s="365">
        <v>100</v>
      </c>
      <c r="H121" s="366">
        <v>6894</v>
      </c>
      <c r="I121" s="366">
        <v>15069</v>
      </c>
      <c r="J121" s="366">
        <v>33364</v>
      </c>
      <c r="K121" s="373">
        <v>55427</v>
      </c>
      <c r="L121" s="366">
        <v>11595</v>
      </c>
      <c r="M121" s="366">
        <v>51988</v>
      </c>
      <c r="N121" s="366">
        <v>63583</v>
      </c>
      <c r="O121" s="366">
        <v>119010</v>
      </c>
      <c r="P121" s="365">
        <v>0</v>
      </c>
      <c r="Q121" s="365">
        <v>125</v>
      </c>
      <c r="R121" s="351"/>
      <c r="S121" s="357">
        <f t="shared" si="0"/>
        <v>12</v>
      </c>
      <c r="T121" s="376">
        <f>((K121/$K$109)^(1/(C121-$C$109)))-1</f>
        <v>-1.5557874721170539E-2</v>
      </c>
      <c r="U121" s="351"/>
    </row>
    <row r="122" spans="1:21" x14ac:dyDescent="0.3">
      <c r="A122" s="351"/>
      <c r="B122" s="359"/>
      <c r="C122" s="364">
        <v>2027</v>
      </c>
      <c r="D122" s="366">
        <v>1026</v>
      </c>
      <c r="E122" s="365">
        <v>882</v>
      </c>
      <c r="F122" s="366">
        <v>1908</v>
      </c>
      <c r="G122" s="365">
        <v>100</v>
      </c>
      <c r="H122" s="366">
        <v>7036</v>
      </c>
      <c r="I122" s="366">
        <v>15637</v>
      </c>
      <c r="J122" s="366">
        <v>33364</v>
      </c>
      <c r="K122" s="373">
        <v>56137</v>
      </c>
      <c r="L122" s="366">
        <v>11652</v>
      </c>
      <c r="M122" s="366">
        <v>51988</v>
      </c>
      <c r="N122" s="366">
        <v>63640</v>
      </c>
      <c r="O122" s="366">
        <v>119777</v>
      </c>
      <c r="P122" s="365">
        <v>0</v>
      </c>
      <c r="Q122" s="365">
        <v>129</v>
      </c>
      <c r="R122" s="351"/>
      <c r="S122" s="357">
        <f t="shared" si="0"/>
        <v>13</v>
      </c>
      <c r="T122" s="376">
        <f>((K122/$K$109)^(1/(C122-$C$109)))-1</f>
        <v>-1.3404254362506807E-2</v>
      </c>
      <c r="U122" s="351"/>
    </row>
    <row r="123" spans="1:21" x14ac:dyDescent="0.3">
      <c r="A123" s="351"/>
      <c r="B123" s="359"/>
      <c r="C123" s="364">
        <v>2028</v>
      </c>
      <c r="D123" s="366">
        <v>1026</v>
      </c>
      <c r="E123" s="365">
        <v>882</v>
      </c>
      <c r="F123" s="366">
        <v>1908</v>
      </c>
      <c r="G123" s="365">
        <v>100</v>
      </c>
      <c r="H123" s="366">
        <v>7172</v>
      </c>
      <c r="I123" s="366">
        <v>15773</v>
      </c>
      <c r="J123" s="366">
        <v>33364</v>
      </c>
      <c r="K123" s="373">
        <v>56409</v>
      </c>
      <c r="L123" s="366">
        <v>11710</v>
      </c>
      <c r="M123" s="366">
        <v>51988</v>
      </c>
      <c r="N123" s="366">
        <v>63698</v>
      </c>
      <c r="O123" s="366">
        <v>120107</v>
      </c>
      <c r="P123" s="365">
        <v>0</v>
      </c>
      <c r="Q123" s="365">
        <v>133</v>
      </c>
      <c r="R123" s="351"/>
      <c r="S123" s="357">
        <f t="shared" si="0"/>
        <v>14</v>
      </c>
      <c r="T123" s="376">
        <f>((K123/$K$109)^(1/(C123-$C$109)))-1</f>
        <v>-1.2111779139067025E-2</v>
      </c>
      <c r="U123" s="351"/>
    </row>
    <row r="124" spans="1:21" x14ac:dyDescent="0.3">
      <c r="A124" s="351"/>
      <c r="B124" s="359"/>
      <c r="C124" s="364">
        <v>2029</v>
      </c>
      <c r="D124" s="366">
        <v>1026</v>
      </c>
      <c r="E124" s="365">
        <v>882</v>
      </c>
      <c r="F124" s="366">
        <v>1908</v>
      </c>
      <c r="G124" s="365">
        <v>100</v>
      </c>
      <c r="H124" s="366">
        <v>7303</v>
      </c>
      <c r="I124" s="366">
        <v>15911</v>
      </c>
      <c r="J124" s="366">
        <v>33364</v>
      </c>
      <c r="K124" s="373">
        <v>56678</v>
      </c>
      <c r="L124" s="366">
        <v>11768</v>
      </c>
      <c r="M124" s="366">
        <v>51988</v>
      </c>
      <c r="N124" s="366">
        <v>63756</v>
      </c>
      <c r="O124" s="366">
        <v>120434</v>
      </c>
      <c r="P124" s="365">
        <v>0</v>
      </c>
      <c r="Q124" s="365">
        <v>137</v>
      </c>
      <c r="R124" s="351"/>
      <c r="S124" s="357">
        <f t="shared" si="0"/>
        <v>15</v>
      </c>
      <c r="T124" s="376">
        <f>((K124/$K$109)^(1/(C124-$C$109)))-1</f>
        <v>-1.0995287290191724E-2</v>
      </c>
      <c r="U124" s="351"/>
    </row>
    <row r="125" spans="1:21" x14ac:dyDescent="0.3">
      <c r="A125" s="351"/>
      <c r="B125" s="359"/>
      <c r="C125" s="364">
        <v>2030</v>
      </c>
      <c r="D125" s="366">
        <v>1026</v>
      </c>
      <c r="E125" s="365">
        <v>882</v>
      </c>
      <c r="F125" s="366">
        <v>1908</v>
      </c>
      <c r="G125" s="365">
        <v>100</v>
      </c>
      <c r="H125" s="366">
        <v>7429</v>
      </c>
      <c r="I125" s="366">
        <v>16050</v>
      </c>
      <c r="J125" s="366">
        <v>33364</v>
      </c>
      <c r="K125" s="373">
        <v>56943</v>
      </c>
      <c r="L125" s="366">
        <v>11826</v>
      </c>
      <c r="M125" s="366">
        <v>51988</v>
      </c>
      <c r="N125" s="366">
        <v>63814</v>
      </c>
      <c r="O125" s="366">
        <v>120757</v>
      </c>
      <c r="P125" s="365">
        <v>0</v>
      </c>
      <c r="Q125" s="365">
        <v>141</v>
      </c>
      <c r="R125" s="351"/>
      <c r="S125" s="357">
        <f t="shared" si="0"/>
        <v>16</v>
      </c>
      <c r="T125" s="376">
        <f>((K125/$K$109)^(1/(C125-$C$109)))-1</f>
        <v>-1.0023061836859859E-2</v>
      </c>
      <c r="U125" s="351"/>
    </row>
    <row r="126" spans="1:21" x14ac:dyDescent="0.3">
      <c r="A126" s="351"/>
      <c r="B126" s="359"/>
      <c r="C126" s="364">
        <v>2031</v>
      </c>
      <c r="D126" s="366">
        <v>1026</v>
      </c>
      <c r="E126" s="365">
        <v>882</v>
      </c>
      <c r="F126" s="366">
        <v>1908</v>
      </c>
      <c r="G126" s="365">
        <v>100</v>
      </c>
      <c r="H126" s="366">
        <v>7550</v>
      </c>
      <c r="I126" s="366">
        <v>16191</v>
      </c>
      <c r="J126" s="366">
        <v>33364</v>
      </c>
      <c r="K126" s="373">
        <v>57205</v>
      </c>
      <c r="L126" s="366">
        <v>11885</v>
      </c>
      <c r="M126" s="366">
        <v>51988</v>
      </c>
      <c r="N126" s="366">
        <v>63873</v>
      </c>
      <c r="O126" s="366">
        <v>121078</v>
      </c>
      <c r="P126" s="365">
        <v>0</v>
      </c>
      <c r="Q126" s="365">
        <v>145</v>
      </c>
      <c r="R126" s="351"/>
      <c r="S126" s="357">
        <f t="shared" si="0"/>
        <v>17</v>
      </c>
      <c r="T126" s="376">
        <f>((K126/$K$109)^(1/(C126-$C$109)))-1</f>
        <v>-9.1687410294701843E-3</v>
      </c>
      <c r="U126" s="351"/>
    </row>
    <row r="127" spans="1:21" x14ac:dyDescent="0.3">
      <c r="A127" s="351"/>
      <c r="B127" s="359"/>
      <c r="C127" s="364">
        <v>2032</v>
      </c>
      <c r="D127" s="366">
        <v>1026</v>
      </c>
      <c r="E127" s="365">
        <v>882</v>
      </c>
      <c r="F127" s="366">
        <v>1908</v>
      </c>
      <c r="G127" s="365">
        <v>100</v>
      </c>
      <c r="H127" s="366">
        <v>7667</v>
      </c>
      <c r="I127" s="366">
        <v>16332</v>
      </c>
      <c r="J127" s="366">
        <v>33364</v>
      </c>
      <c r="K127" s="373">
        <v>57463</v>
      </c>
      <c r="L127" s="366">
        <v>11943</v>
      </c>
      <c r="M127" s="366">
        <v>51988</v>
      </c>
      <c r="N127" s="366">
        <v>63931</v>
      </c>
      <c r="O127" s="366">
        <v>121394</v>
      </c>
      <c r="P127" s="365">
        <v>0</v>
      </c>
      <c r="Q127" s="365">
        <v>149</v>
      </c>
      <c r="R127" s="351"/>
      <c r="S127" s="357">
        <f t="shared" si="0"/>
        <v>18</v>
      </c>
      <c r="T127" s="376">
        <f>((K127/$K$109)^(1/(C127-$C$109)))-1</f>
        <v>-8.4137159836444875E-3</v>
      </c>
      <c r="U127" s="351"/>
    </row>
    <row r="128" spans="1:21" x14ac:dyDescent="0.3">
      <c r="A128" s="351"/>
      <c r="B128" s="359"/>
      <c r="C128" s="364">
        <v>2033</v>
      </c>
      <c r="D128" s="366">
        <v>1026</v>
      </c>
      <c r="E128" s="365">
        <v>882</v>
      </c>
      <c r="F128" s="366">
        <v>1908</v>
      </c>
      <c r="G128" s="365">
        <v>100</v>
      </c>
      <c r="H128" s="366">
        <v>7780</v>
      </c>
      <c r="I128" s="366">
        <v>16475</v>
      </c>
      <c r="J128" s="366">
        <v>33364</v>
      </c>
      <c r="K128" s="373">
        <v>57719</v>
      </c>
      <c r="L128" s="366">
        <v>12002</v>
      </c>
      <c r="M128" s="366">
        <v>51988</v>
      </c>
      <c r="N128" s="366">
        <v>63990</v>
      </c>
      <c r="O128" s="366">
        <v>121709</v>
      </c>
      <c r="P128" s="365">
        <v>0</v>
      </c>
      <c r="Q128" s="365">
        <v>153</v>
      </c>
      <c r="R128" s="351"/>
      <c r="S128" s="357">
        <f t="shared" si="0"/>
        <v>19</v>
      </c>
      <c r="T128" s="376">
        <f>((K128/$K$109)^(1/(C128-$C$109)))-1</f>
        <v>-7.740541945687629E-3</v>
      </c>
      <c r="U128" s="351"/>
    </row>
    <row r="129" spans="1:21" x14ac:dyDescent="0.3">
      <c r="A129" s="351"/>
      <c r="B129" s="359"/>
      <c r="C129" s="364">
        <v>2034</v>
      </c>
      <c r="D129" s="366">
        <v>1026</v>
      </c>
      <c r="E129" s="365">
        <v>882</v>
      </c>
      <c r="F129" s="366">
        <v>1908</v>
      </c>
      <c r="G129" s="365">
        <v>100</v>
      </c>
      <c r="H129" s="366">
        <v>7890</v>
      </c>
      <c r="I129" s="366">
        <v>16619</v>
      </c>
      <c r="J129" s="366">
        <v>33364</v>
      </c>
      <c r="K129" s="373">
        <v>57973</v>
      </c>
      <c r="L129" s="366">
        <v>12062</v>
      </c>
      <c r="M129" s="366">
        <v>51988</v>
      </c>
      <c r="N129" s="366">
        <v>64050</v>
      </c>
      <c r="O129" s="366">
        <v>122023</v>
      </c>
      <c r="P129" s="365">
        <v>0</v>
      </c>
      <c r="Q129" s="365">
        <v>157</v>
      </c>
      <c r="R129" s="351"/>
      <c r="S129" s="357">
        <f t="shared" si="0"/>
        <v>20</v>
      </c>
      <c r="T129" s="376">
        <f>((K129/$K$109)^(1/(C129-$C$109)))-1</f>
        <v>-7.1369837580786966E-3</v>
      </c>
      <c r="U129" s="351"/>
    </row>
    <row r="130" spans="1:21" x14ac:dyDescent="0.3">
      <c r="A130" s="351"/>
      <c r="B130" s="351"/>
      <c r="C130" s="351"/>
      <c r="D130" s="351"/>
      <c r="E130" s="351"/>
      <c r="F130" s="351"/>
      <c r="G130" s="351"/>
      <c r="H130" s="351"/>
      <c r="I130" s="351"/>
      <c r="J130" s="351"/>
      <c r="K130" s="374"/>
      <c r="L130" s="351"/>
      <c r="M130" s="351"/>
      <c r="N130" s="351"/>
      <c r="O130" s="351"/>
      <c r="P130" s="351"/>
      <c r="Q130" s="351"/>
      <c r="R130" s="351"/>
      <c r="S130" s="375"/>
      <c r="T130" s="375"/>
      <c r="U130" s="351"/>
    </row>
    <row r="131" spans="1:21" x14ac:dyDescent="0.3">
      <c r="A131" s="351"/>
      <c r="B131" s="360" t="s">
        <v>5</v>
      </c>
      <c r="C131" s="367" t="s">
        <v>334</v>
      </c>
      <c r="D131" s="367" t="s">
        <v>335</v>
      </c>
      <c r="E131" s="368" t="s">
        <v>337</v>
      </c>
      <c r="F131" s="368" t="s">
        <v>338</v>
      </c>
      <c r="G131" s="367" t="s">
        <v>335</v>
      </c>
      <c r="H131" s="367" t="s">
        <v>339</v>
      </c>
      <c r="I131" s="368" t="s">
        <v>340</v>
      </c>
      <c r="J131" s="368" t="s">
        <v>341</v>
      </c>
      <c r="K131" s="372" t="s">
        <v>338</v>
      </c>
      <c r="L131" s="368" t="s">
        <v>342</v>
      </c>
      <c r="M131" s="368" t="s">
        <v>341</v>
      </c>
      <c r="N131" s="368" t="s">
        <v>338</v>
      </c>
      <c r="O131" s="367" t="s">
        <v>338</v>
      </c>
      <c r="P131" s="367" t="s">
        <v>338</v>
      </c>
      <c r="Q131" s="367" t="s">
        <v>345</v>
      </c>
      <c r="R131" s="351"/>
      <c r="S131" s="367" t="s">
        <v>350</v>
      </c>
      <c r="T131" s="357"/>
      <c r="U131" s="351"/>
    </row>
    <row r="132" spans="1:21" x14ac:dyDescent="0.3">
      <c r="A132" s="351"/>
      <c r="B132" s="360"/>
      <c r="C132" s="367" t="s">
        <v>55</v>
      </c>
      <c r="D132" s="367" t="s">
        <v>336</v>
      </c>
      <c r="E132" s="368"/>
      <c r="F132" s="368"/>
      <c r="G132" s="367" t="s">
        <v>336</v>
      </c>
      <c r="H132" s="367" t="s">
        <v>337</v>
      </c>
      <c r="I132" s="368"/>
      <c r="J132" s="368"/>
      <c r="K132" s="372"/>
      <c r="L132" s="368"/>
      <c r="M132" s="368"/>
      <c r="N132" s="368"/>
      <c r="O132" s="367" t="s">
        <v>343</v>
      </c>
      <c r="P132" s="367" t="s">
        <v>344</v>
      </c>
      <c r="Q132" s="367" t="s">
        <v>346</v>
      </c>
      <c r="R132" s="351"/>
      <c r="S132" s="367" t="s">
        <v>351</v>
      </c>
      <c r="T132" s="367" t="s">
        <v>332</v>
      </c>
      <c r="U132" s="351"/>
    </row>
    <row r="133" spans="1:21" x14ac:dyDescent="0.3">
      <c r="A133" s="351"/>
      <c r="B133" s="360"/>
      <c r="C133" s="364">
        <v>2014</v>
      </c>
      <c r="D133" s="365">
        <v>0</v>
      </c>
      <c r="E133" s="365">
        <v>0</v>
      </c>
      <c r="F133" s="365">
        <v>0</v>
      </c>
      <c r="G133" s="365">
        <v>0</v>
      </c>
      <c r="H133" s="366">
        <v>7616</v>
      </c>
      <c r="I133" s="366">
        <v>23800</v>
      </c>
      <c r="J133" s="365">
        <v>0</v>
      </c>
      <c r="K133" s="373">
        <v>31416</v>
      </c>
      <c r="L133" s="366">
        <v>16184</v>
      </c>
      <c r="M133" s="365">
        <v>0</v>
      </c>
      <c r="N133" s="366">
        <v>16184</v>
      </c>
      <c r="O133" s="366">
        <v>47600</v>
      </c>
      <c r="P133" s="365">
        <v>0</v>
      </c>
      <c r="Q133" s="365">
        <v>161</v>
      </c>
      <c r="R133" s="351"/>
      <c r="S133" s="357"/>
      <c r="T133" s="376"/>
      <c r="U133" s="351"/>
    </row>
    <row r="134" spans="1:21" x14ac:dyDescent="0.3">
      <c r="A134" s="351"/>
      <c r="B134" s="360"/>
      <c r="C134" s="364">
        <v>2015</v>
      </c>
      <c r="D134" s="365">
        <v>0</v>
      </c>
      <c r="E134" s="365">
        <v>0</v>
      </c>
      <c r="F134" s="365">
        <v>0</v>
      </c>
      <c r="G134" s="365">
        <v>0</v>
      </c>
      <c r="H134" s="366">
        <v>5577</v>
      </c>
      <c r="I134" s="366">
        <v>17429</v>
      </c>
      <c r="J134" s="365">
        <v>0</v>
      </c>
      <c r="K134" s="373">
        <v>23006</v>
      </c>
      <c r="L134" s="366">
        <v>11852</v>
      </c>
      <c r="M134" s="365">
        <v>0</v>
      </c>
      <c r="N134" s="366">
        <v>11852</v>
      </c>
      <c r="O134" s="366">
        <v>34858</v>
      </c>
      <c r="P134" s="365">
        <v>0</v>
      </c>
      <c r="Q134" s="365">
        <v>157</v>
      </c>
      <c r="R134" s="351"/>
      <c r="S134" s="357"/>
      <c r="T134" s="376"/>
      <c r="U134" s="351"/>
    </row>
    <row r="135" spans="1:21" x14ac:dyDescent="0.3">
      <c r="A135" s="351"/>
      <c r="B135" s="360"/>
      <c r="C135" s="364">
        <v>2016</v>
      </c>
      <c r="D135" s="365">
        <v>0</v>
      </c>
      <c r="E135" s="365">
        <v>0</v>
      </c>
      <c r="F135" s="365">
        <v>0</v>
      </c>
      <c r="G135" s="365">
        <v>0</v>
      </c>
      <c r="H135" s="366">
        <v>5577</v>
      </c>
      <c r="I135" s="366">
        <v>17429</v>
      </c>
      <c r="J135" s="365">
        <v>0</v>
      </c>
      <c r="K135" s="373">
        <v>23006</v>
      </c>
      <c r="L135" s="366">
        <v>11852</v>
      </c>
      <c r="M135" s="365">
        <v>0</v>
      </c>
      <c r="N135" s="366">
        <v>11852</v>
      </c>
      <c r="O135" s="366">
        <v>34858</v>
      </c>
      <c r="P135" s="365">
        <v>0</v>
      </c>
      <c r="Q135" s="365">
        <v>153</v>
      </c>
      <c r="R135" s="351"/>
      <c r="S135" s="357"/>
      <c r="T135" s="376"/>
      <c r="U135" s="351"/>
    </row>
    <row r="136" spans="1:21" x14ac:dyDescent="0.3">
      <c r="A136" s="351"/>
      <c r="B136" s="360"/>
      <c r="C136" s="364">
        <v>2017</v>
      </c>
      <c r="D136" s="365">
        <v>0</v>
      </c>
      <c r="E136" s="365">
        <v>0</v>
      </c>
      <c r="F136" s="365">
        <v>0</v>
      </c>
      <c r="G136" s="365">
        <v>0</v>
      </c>
      <c r="H136" s="366">
        <v>5577</v>
      </c>
      <c r="I136" s="366">
        <v>17429</v>
      </c>
      <c r="J136" s="365">
        <v>0</v>
      </c>
      <c r="K136" s="373">
        <v>23006</v>
      </c>
      <c r="L136" s="366">
        <v>11852</v>
      </c>
      <c r="M136" s="365">
        <v>0</v>
      </c>
      <c r="N136" s="366">
        <v>11852</v>
      </c>
      <c r="O136" s="366">
        <v>34858</v>
      </c>
      <c r="P136" s="365">
        <v>0</v>
      </c>
      <c r="Q136" s="365">
        <v>107</v>
      </c>
      <c r="R136" s="351"/>
      <c r="S136" s="357"/>
      <c r="T136" s="376"/>
      <c r="U136" s="351"/>
    </row>
    <row r="137" spans="1:21" x14ac:dyDescent="0.3">
      <c r="A137" s="351"/>
      <c r="B137" s="360"/>
      <c r="C137" s="364">
        <v>2018</v>
      </c>
      <c r="D137" s="365">
        <v>0</v>
      </c>
      <c r="E137" s="365">
        <v>0</v>
      </c>
      <c r="F137" s="365">
        <v>0</v>
      </c>
      <c r="G137" s="365">
        <v>0</v>
      </c>
      <c r="H137" s="366">
        <v>4961</v>
      </c>
      <c r="I137" s="366">
        <v>15505</v>
      </c>
      <c r="J137" s="365">
        <v>0</v>
      </c>
      <c r="K137" s="373">
        <v>20466</v>
      </c>
      <c r="L137" s="366">
        <v>10543</v>
      </c>
      <c r="M137" s="365">
        <v>0</v>
      </c>
      <c r="N137" s="366">
        <v>10543</v>
      </c>
      <c r="O137" s="366">
        <v>31009</v>
      </c>
      <c r="P137" s="365">
        <v>0</v>
      </c>
      <c r="Q137" s="365">
        <v>105</v>
      </c>
      <c r="R137" s="351"/>
      <c r="S137" s="357"/>
      <c r="T137" s="376"/>
      <c r="U137" s="351"/>
    </row>
    <row r="138" spans="1:21" x14ac:dyDescent="0.3">
      <c r="A138" s="351"/>
      <c r="B138" s="360"/>
      <c r="C138" s="364">
        <v>2019</v>
      </c>
      <c r="D138" s="365">
        <v>0</v>
      </c>
      <c r="E138" s="365">
        <v>0</v>
      </c>
      <c r="F138" s="365">
        <v>0</v>
      </c>
      <c r="G138" s="365">
        <v>0</v>
      </c>
      <c r="H138" s="366">
        <v>4961</v>
      </c>
      <c r="I138" s="366">
        <v>15505</v>
      </c>
      <c r="J138" s="365">
        <v>0</v>
      </c>
      <c r="K138" s="373">
        <v>20466</v>
      </c>
      <c r="L138" s="366">
        <v>10543</v>
      </c>
      <c r="M138" s="365">
        <v>0</v>
      </c>
      <c r="N138" s="366">
        <v>10543</v>
      </c>
      <c r="O138" s="366">
        <v>31009</v>
      </c>
      <c r="P138" s="365">
        <v>0</v>
      </c>
      <c r="Q138" s="365">
        <v>105</v>
      </c>
      <c r="R138" s="351"/>
      <c r="S138" s="357"/>
      <c r="T138" s="376"/>
      <c r="U138" s="351"/>
    </row>
    <row r="139" spans="1:21" x14ac:dyDescent="0.3">
      <c r="A139" s="351"/>
      <c r="B139" s="360"/>
      <c r="C139" s="364">
        <v>2020</v>
      </c>
      <c r="D139" s="365">
        <v>0</v>
      </c>
      <c r="E139" s="365">
        <v>0</v>
      </c>
      <c r="F139" s="365">
        <v>0</v>
      </c>
      <c r="G139" s="365">
        <v>0</v>
      </c>
      <c r="H139" s="366">
        <v>4961</v>
      </c>
      <c r="I139" s="366">
        <v>15505</v>
      </c>
      <c r="J139" s="365">
        <v>0</v>
      </c>
      <c r="K139" s="373">
        <v>20466</v>
      </c>
      <c r="L139" s="366">
        <v>10543</v>
      </c>
      <c r="M139" s="365">
        <v>0</v>
      </c>
      <c r="N139" s="366">
        <v>10543</v>
      </c>
      <c r="O139" s="366">
        <v>31009</v>
      </c>
      <c r="P139" s="365">
        <v>0</v>
      </c>
      <c r="Q139" s="365">
        <v>94</v>
      </c>
      <c r="R139" s="351"/>
      <c r="S139" s="357"/>
      <c r="T139" s="376"/>
      <c r="U139" s="351"/>
    </row>
    <row r="140" spans="1:21" x14ac:dyDescent="0.3">
      <c r="A140" s="351"/>
      <c r="B140" s="360"/>
      <c r="C140" s="364">
        <v>2021</v>
      </c>
      <c r="D140" s="365">
        <v>0</v>
      </c>
      <c r="E140" s="365">
        <v>0</v>
      </c>
      <c r="F140" s="365">
        <v>0</v>
      </c>
      <c r="G140" s="365">
        <v>0</v>
      </c>
      <c r="H140" s="366">
        <v>7623</v>
      </c>
      <c r="I140" s="366">
        <v>23825</v>
      </c>
      <c r="J140" s="365">
        <v>0</v>
      </c>
      <c r="K140" s="373">
        <v>31448</v>
      </c>
      <c r="L140" s="366">
        <v>16200</v>
      </c>
      <c r="M140" s="365">
        <v>0</v>
      </c>
      <c r="N140" s="366">
        <v>16200</v>
      </c>
      <c r="O140" s="366">
        <v>47648</v>
      </c>
      <c r="P140" s="365">
        <v>0</v>
      </c>
      <c r="Q140" s="365">
        <v>138</v>
      </c>
      <c r="R140" s="351"/>
      <c r="S140" s="357"/>
      <c r="T140" s="376"/>
      <c r="U140" s="351"/>
    </row>
    <row r="141" spans="1:21" x14ac:dyDescent="0.3">
      <c r="A141" s="351"/>
      <c r="B141" s="360"/>
      <c r="C141" s="364">
        <v>2022</v>
      </c>
      <c r="D141" s="365">
        <v>0</v>
      </c>
      <c r="E141" s="365">
        <v>0</v>
      </c>
      <c r="F141" s="365">
        <v>0</v>
      </c>
      <c r="G141" s="365">
        <v>0</v>
      </c>
      <c r="H141" s="366">
        <v>7714</v>
      </c>
      <c r="I141" s="366">
        <v>24112</v>
      </c>
      <c r="J141" s="365">
        <v>0</v>
      </c>
      <c r="K141" s="373">
        <v>31826</v>
      </c>
      <c r="L141" s="366">
        <v>16393</v>
      </c>
      <c r="M141" s="365">
        <v>0</v>
      </c>
      <c r="N141" s="366">
        <v>16393</v>
      </c>
      <c r="O141" s="366">
        <v>48219</v>
      </c>
      <c r="P141" s="365">
        <v>0</v>
      </c>
      <c r="Q141" s="365">
        <v>150</v>
      </c>
      <c r="R141" s="351"/>
      <c r="S141" s="357"/>
      <c r="T141" s="376"/>
      <c r="U141" s="351"/>
    </row>
    <row r="142" spans="1:21" x14ac:dyDescent="0.3">
      <c r="A142" s="351"/>
      <c r="B142" s="360"/>
      <c r="C142" s="364">
        <v>2023</v>
      </c>
      <c r="D142" s="365">
        <v>0</v>
      </c>
      <c r="E142" s="365">
        <v>0</v>
      </c>
      <c r="F142" s="365">
        <v>0</v>
      </c>
      <c r="G142" s="365">
        <v>0</v>
      </c>
      <c r="H142" s="366">
        <v>7713</v>
      </c>
      <c r="I142" s="366">
        <v>24112</v>
      </c>
      <c r="J142" s="365">
        <v>0</v>
      </c>
      <c r="K142" s="373">
        <v>31825</v>
      </c>
      <c r="L142" s="366">
        <v>16394</v>
      </c>
      <c r="M142" s="365">
        <v>0</v>
      </c>
      <c r="N142" s="366">
        <v>16394</v>
      </c>
      <c r="O142" s="366">
        <v>48219</v>
      </c>
      <c r="P142" s="365">
        <v>0</v>
      </c>
      <c r="Q142" s="365">
        <v>151</v>
      </c>
      <c r="R142" s="351"/>
      <c r="S142" s="357"/>
      <c r="T142" s="376"/>
      <c r="U142" s="351"/>
    </row>
    <row r="143" spans="1:21" x14ac:dyDescent="0.3">
      <c r="A143" s="351"/>
      <c r="B143" s="360"/>
      <c r="C143" s="364">
        <v>2024</v>
      </c>
      <c r="D143" s="365">
        <v>0</v>
      </c>
      <c r="E143" s="365">
        <v>24</v>
      </c>
      <c r="F143" s="365">
        <v>24</v>
      </c>
      <c r="G143" s="365">
        <v>0</v>
      </c>
      <c r="H143" s="366">
        <v>7623</v>
      </c>
      <c r="I143" s="366">
        <v>23825</v>
      </c>
      <c r="J143" s="365">
        <v>0</v>
      </c>
      <c r="K143" s="373">
        <v>31448</v>
      </c>
      <c r="L143" s="366">
        <v>16200</v>
      </c>
      <c r="M143" s="365">
        <v>0</v>
      </c>
      <c r="N143" s="366">
        <v>16200</v>
      </c>
      <c r="O143" s="366">
        <v>47648</v>
      </c>
      <c r="P143" s="365">
        <v>0</v>
      </c>
      <c r="Q143" s="365">
        <v>171</v>
      </c>
      <c r="R143" s="351"/>
      <c r="S143" s="357">
        <f t="shared" ref="S143:S153" si="1">C143-$C$85</f>
        <v>10</v>
      </c>
      <c r="T143" s="376">
        <f>((K143/$K$133)^(1/(C143-$C$133)))-1</f>
        <v>1.0181226690209044E-4</v>
      </c>
      <c r="U143" s="351"/>
    </row>
    <row r="144" spans="1:21" x14ac:dyDescent="0.3">
      <c r="A144" s="351"/>
      <c r="B144" s="360"/>
      <c r="C144" s="364">
        <v>2025</v>
      </c>
      <c r="D144" s="365">
        <v>0</v>
      </c>
      <c r="E144" s="365">
        <v>6</v>
      </c>
      <c r="F144" s="365">
        <v>6</v>
      </c>
      <c r="G144" s="365">
        <v>0</v>
      </c>
      <c r="H144" s="366">
        <v>7623</v>
      </c>
      <c r="I144" s="366">
        <v>23825</v>
      </c>
      <c r="J144" s="365">
        <v>0</v>
      </c>
      <c r="K144" s="373">
        <v>31448</v>
      </c>
      <c r="L144" s="366">
        <v>16200</v>
      </c>
      <c r="M144" s="365">
        <v>0</v>
      </c>
      <c r="N144" s="366">
        <v>16200</v>
      </c>
      <c r="O144" s="366">
        <v>47648</v>
      </c>
      <c r="P144" s="365">
        <v>0</v>
      </c>
      <c r="Q144" s="365">
        <v>171</v>
      </c>
      <c r="R144" s="351"/>
      <c r="S144" s="357">
        <f t="shared" si="1"/>
        <v>11</v>
      </c>
      <c r="T144" s="376">
        <f>((K144/$K$133)^(1/(C144-$C$133)))-1</f>
        <v>9.2556177954339347E-5</v>
      </c>
      <c r="U144" s="351"/>
    </row>
    <row r="145" spans="1:21" x14ac:dyDescent="0.3">
      <c r="A145" s="351"/>
      <c r="B145" s="360"/>
      <c r="C145" s="364">
        <v>2026</v>
      </c>
      <c r="D145" s="365">
        <v>0</v>
      </c>
      <c r="E145" s="365">
        <v>6</v>
      </c>
      <c r="F145" s="365">
        <v>6</v>
      </c>
      <c r="G145" s="365">
        <v>0</v>
      </c>
      <c r="H145" s="366">
        <v>7716</v>
      </c>
      <c r="I145" s="366">
        <v>24113</v>
      </c>
      <c r="J145" s="365">
        <v>0</v>
      </c>
      <c r="K145" s="373">
        <v>31829</v>
      </c>
      <c r="L145" s="366">
        <v>16394</v>
      </c>
      <c r="M145" s="365">
        <v>0</v>
      </c>
      <c r="N145" s="366">
        <v>16394</v>
      </c>
      <c r="O145" s="366">
        <v>48223</v>
      </c>
      <c r="P145" s="365">
        <v>0</v>
      </c>
      <c r="Q145" s="365">
        <v>172</v>
      </c>
      <c r="R145" s="351"/>
      <c r="S145" s="357">
        <f t="shared" si="1"/>
        <v>12</v>
      </c>
      <c r="T145" s="376">
        <f>((K145/$K$133)^(1/(C145-$C$133)))-1</f>
        <v>1.0889680474772678E-3</v>
      </c>
      <c r="U145" s="351"/>
    </row>
    <row r="146" spans="1:21" x14ac:dyDescent="0.3">
      <c r="A146" s="351"/>
      <c r="B146" s="360"/>
      <c r="C146" s="364">
        <v>2027</v>
      </c>
      <c r="D146" s="365">
        <v>0</v>
      </c>
      <c r="E146" s="365">
        <v>6</v>
      </c>
      <c r="F146" s="365">
        <v>6</v>
      </c>
      <c r="G146" s="365">
        <v>0</v>
      </c>
      <c r="H146" s="366">
        <v>7811</v>
      </c>
      <c r="I146" s="366">
        <v>24405</v>
      </c>
      <c r="J146" s="365">
        <v>0</v>
      </c>
      <c r="K146" s="373">
        <v>32216</v>
      </c>
      <c r="L146" s="366">
        <v>16592</v>
      </c>
      <c r="M146" s="365">
        <v>0</v>
      </c>
      <c r="N146" s="366">
        <v>16592</v>
      </c>
      <c r="O146" s="366">
        <v>48808</v>
      </c>
      <c r="P146" s="365">
        <v>0</v>
      </c>
      <c r="Q146" s="365">
        <v>173</v>
      </c>
      <c r="R146" s="351"/>
      <c r="S146" s="357">
        <f t="shared" si="1"/>
        <v>13</v>
      </c>
      <c r="T146" s="376">
        <f>((K146/$K$133)^(1/(C146-$C$133)))-1</f>
        <v>1.9361724485380538E-3</v>
      </c>
      <c r="U146" s="351"/>
    </row>
    <row r="147" spans="1:21" x14ac:dyDescent="0.3">
      <c r="A147" s="351"/>
      <c r="B147" s="360"/>
      <c r="C147" s="364">
        <v>2028</v>
      </c>
      <c r="D147" s="365">
        <v>0</v>
      </c>
      <c r="E147" s="365">
        <v>6</v>
      </c>
      <c r="F147" s="365">
        <v>6</v>
      </c>
      <c r="G147" s="365">
        <v>0</v>
      </c>
      <c r="H147" s="366">
        <v>7907</v>
      </c>
      <c r="I147" s="366">
        <v>24700</v>
      </c>
      <c r="J147" s="365">
        <v>0</v>
      </c>
      <c r="K147" s="373">
        <v>32607</v>
      </c>
      <c r="L147" s="366">
        <v>16793</v>
      </c>
      <c r="M147" s="365">
        <v>0</v>
      </c>
      <c r="N147" s="366">
        <v>16793</v>
      </c>
      <c r="O147" s="366">
        <v>49400</v>
      </c>
      <c r="P147" s="365">
        <v>0</v>
      </c>
      <c r="Q147" s="365">
        <v>174</v>
      </c>
      <c r="R147" s="351"/>
      <c r="S147" s="357">
        <f t="shared" si="1"/>
        <v>14</v>
      </c>
      <c r="T147" s="376">
        <f>((K147/$K$133)^(1/(C147-$C$133)))-1</f>
        <v>2.6613688836827354E-3</v>
      </c>
      <c r="U147" s="351"/>
    </row>
    <row r="148" spans="1:21" x14ac:dyDescent="0.3">
      <c r="A148" s="351"/>
      <c r="B148" s="360"/>
      <c r="C148" s="364">
        <v>2029</v>
      </c>
      <c r="D148" s="365">
        <v>0</v>
      </c>
      <c r="E148" s="365">
        <v>6</v>
      </c>
      <c r="F148" s="365">
        <v>6</v>
      </c>
      <c r="G148" s="365">
        <v>0</v>
      </c>
      <c r="H148" s="366">
        <v>8003</v>
      </c>
      <c r="I148" s="366">
        <v>24999</v>
      </c>
      <c r="J148" s="365">
        <v>0</v>
      </c>
      <c r="K148" s="373">
        <v>33002</v>
      </c>
      <c r="L148" s="366">
        <v>16995</v>
      </c>
      <c r="M148" s="365">
        <v>0</v>
      </c>
      <c r="N148" s="366">
        <v>16995</v>
      </c>
      <c r="O148" s="366">
        <v>49997</v>
      </c>
      <c r="P148" s="365">
        <v>0</v>
      </c>
      <c r="Q148" s="365">
        <v>175</v>
      </c>
      <c r="R148" s="351"/>
      <c r="S148" s="357">
        <f t="shared" si="1"/>
        <v>15</v>
      </c>
      <c r="T148" s="376">
        <f>((K148/$K$133)^(1/(C148-$C$133)))-1</f>
        <v>3.2887861232842042E-3</v>
      </c>
      <c r="U148" s="351"/>
    </row>
    <row r="149" spans="1:21" x14ac:dyDescent="0.3">
      <c r="A149" s="351"/>
      <c r="B149" s="360"/>
      <c r="C149" s="364">
        <v>2030</v>
      </c>
      <c r="D149" s="365">
        <v>0</v>
      </c>
      <c r="E149" s="365">
        <v>6</v>
      </c>
      <c r="F149" s="365">
        <v>6</v>
      </c>
      <c r="G149" s="365">
        <v>0</v>
      </c>
      <c r="H149" s="366">
        <v>8101</v>
      </c>
      <c r="I149" s="366">
        <v>25303</v>
      </c>
      <c r="J149" s="365">
        <v>0</v>
      </c>
      <c r="K149" s="373">
        <v>33404</v>
      </c>
      <c r="L149" s="366">
        <v>17201</v>
      </c>
      <c r="M149" s="365">
        <v>0</v>
      </c>
      <c r="N149" s="366">
        <v>17201</v>
      </c>
      <c r="O149" s="366">
        <v>50605</v>
      </c>
      <c r="P149" s="365">
        <v>0</v>
      </c>
      <c r="Q149" s="365">
        <v>176</v>
      </c>
      <c r="R149" s="351"/>
      <c r="S149" s="357">
        <f t="shared" si="1"/>
        <v>16</v>
      </c>
      <c r="T149" s="376">
        <f>((K149/$K$133)^(1/(C149-$C$133)))-1</f>
        <v>3.842258623245387E-3</v>
      </c>
      <c r="U149" s="351"/>
    </row>
    <row r="150" spans="1:21" x14ac:dyDescent="0.3">
      <c r="A150" s="351"/>
      <c r="B150" s="360"/>
      <c r="C150" s="364">
        <v>2031</v>
      </c>
      <c r="D150" s="365">
        <v>0</v>
      </c>
      <c r="E150" s="365">
        <v>6</v>
      </c>
      <c r="F150" s="365">
        <v>6</v>
      </c>
      <c r="G150" s="365">
        <v>0</v>
      </c>
      <c r="H150" s="366">
        <v>8200</v>
      </c>
      <c r="I150" s="366">
        <v>25609</v>
      </c>
      <c r="J150" s="365">
        <v>0</v>
      </c>
      <c r="K150" s="373">
        <v>33809</v>
      </c>
      <c r="L150" s="366">
        <v>17408</v>
      </c>
      <c r="M150" s="365">
        <v>0</v>
      </c>
      <c r="N150" s="366">
        <v>17408</v>
      </c>
      <c r="O150" s="366">
        <v>51217</v>
      </c>
      <c r="P150" s="365">
        <v>0</v>
      </c>
      <c r="Q150" s="365">
        <v>177</v>
      </c>
      <c r="R150" s="351"/>
      <c r="S150" s="357">
        <f t="shared" si="1"/>
        <v>17</v>
      </c>
      <c r="T150" s="376">
        <f>((K150/$K$133)^(1/(C150-$C$133)))-1</f>
        <v>4.3275558809505732E-3</v>
      </c>
      <c r="U150" s="351"/>
    </row>
    <row r="151" spans="1:21" x14ac:dyDescent="0.3">
      <c r="A151" s="351"/>
      <c r="B151" s="360"/>
      <c r="C151" s="364">
        <v>2032</v>
      </c>
      <c r="D151" s="365">
        <v>0</v>
      </c>
      <c r="E151" s="365">
        <v>6</v>
      </c>
      <c r="F151" s="365">
        <v>6</v>
      </c>
      <c r="G151" s="365">
        <v>0</v>
      </c>
      <c r="H151" s="366">
        <v>8301</v>
      </c>
      <c r="I151" s="366">
        <v>25918</v>
      </c>
      <c r="J151" s="365">
        <v>0</v>
      </c>
      <c r="K151" s="373">
        <v>34219</v>
      </c>
      <c r="L151" s="366">
        <v>17618</v>
      </c>
      <c r="M151" s="365">
        <v>0</v>
      </c>
      <c r="N151" s="366">
        <v>17618</v>
      </c>
      <c r="O151" s="366">
        <v>51837</v>
      </c>
      <c r="P151" s="365">
        <v>0</v>
      </c>
      <c r="Q151" s="365">
        <v>178</v>
      </c>
      <c r="R151" s="351"/>
      <c r="S151" s="357">
        <f t="shared" si="1"/>
        <v>18</v>
      </c>
      <c r="T151" s="376">
        <f>((K151/$K$133)^(1/(C151-$C$133)))-1</f>
        <v>4.7592744343121218E-3</v>
      </c>
      <c r="U151" s="351"/>
    </row>
    <row r="152" spans="1:21" x14ac:dyDescent="0.3">
      <c r="A152" s="351"/>
      <c r="B152" s="360"/>
      <c r="C152" s="364">
        <v>2033</v>
      </c>
      <c r="D152" s="365">
        <v>0</v>
      </c>
      <c r="E152" s="365">
        <v>6</v>
      </c>
      <c r="F152" s="365">
        <v>6</v>
      </c>
      <c r="G152" s="365">
        <v>0</v>
      </c>
      <c r="H152" s="366">
        <v>8405</v>
      </c>
      <c r="I152" s="366">
        <v>26230</v>
      </c>
      <c r="J152" s="365">
        <v>0</v>
      </c>
      <c r="K152" s="373">
        <v>34635</v>
      </c>
      <c r="L152" s="366">
        <v>17832</v>
      </c>
      <c r="M152" s="365">
        <v>0</v>
      </c>
      <c r="N152" s="366">
        <v>17832</v>
      </c>
      <c r="O152" s="366">
        <v>52467</v>
      </c>
      <c r="P152" s="365">
        <v>0</v>
      </c>
      <c r="Q152" s="365">
        <v>179</v>
      </c>
      <c r="R152" s="351"/>
      <c r="S152" s="357">
        <f t="shared" si="1"/>
        <v>19</v>
      </c>
      <c r="T152" s="376">
        <f>((K152/$K$133)^(1/(C152-$C$133)))-1</f>
        <v>5.1472763752373751E-3</v>
      </c>
      <c r="U152" s="351"/>
    </row>
    <row r="153" spans="1:21" x14ac:dyDescent="0.3">
      <c r="A153" s="351"/>
      <c r="B153" s="360"/>
      <c r="C153" s="364">
        <v>2034</v>
      </c>
      <c r="D153" s="365">
        <v>0</v>
      </c>
      <c r="E153" s="365">
        <v>6</v>
      </c>
      <c r="F153" s="365">
        <v>6</v>
      </c>
      <c r="G153" s="365">
        <v>0</v>
      </c>
      <c r="H153" s="366">
        <v>8509</v>
      </c>
      <c r="I153" s="366">
        <v>26548</v>
      </c>
      <c r="J153" s="365">
        <v>0</v>
      </c>
      <c r="K153" s="373">
        <v>35057</v>
      </c>
      <c r="L153" s="366">
        <v>18047</v>
      </c>
      <c r="M153" s="365">
        <v>0</v>
      </c>
      <c r="N153" s="366">
        <v>18047</v>
      </c>
      <c r="O153" s="366">
        <v>53104</v>
      </c>
      <c r="P153" s="365">
        <v>0</v>
      </c>
      <c r="Q153" s="365">
        <v>180</v>
      </c>
      <c r="R153" s="351"/>
      <c r="S153" s="357">
        <f t="shared" si="1"/>
        <v>20</v>
      </c>
      <c r="T153" s="376">
        <f>((K153/$K$133)^(1/(C153-$C$133)))-1</f>
        <v>5.4979581506418018E-3</v>
      </c>
      <c r="U153" s="351"/>
    </row>
    <row r="154" spans="1:21" x14ac:dyDescent="0.3">
      <c r="A154" s="351"/>
      <c r="B154" s="351"/>
      <c r="C154" s="351"/>
      <c r="D154" s="351"/>
      <c r="E154" s="351"/>
      <c r="F154" s="351"/>
      <c r="G154" s="351"/>
      <c r="H154" s="351"/>
      <c r="I154" s="351"/>
      <c r="J154" s="351"/>
      <c r="K154" s="374"/>
      <c r="L154" s="351"/>
      <c r="M154" s="351"/>
      <c r="N154" s="351"/>
      <c r="O154" s="351"/>
      <c r="P154" s="351"/>
      <c r="Q154" s="351"/>
      <c r="R154" s="351"/>
      <c r="S154" s="375"/>
      <c r="T154" s="375"/>
      <c r="U154" s="351"/>
    </row>
    <row r="155" spans="1:21" x14ac:dyDescent="0.3">
      <c r="A155" s="351"/>
      <c r="B155" s="361" t="s">
        <v>4</v>
      </c>
      <c r="C155" s="367" t="s">
        <v>334</v>
      </c>
      <c r="D155" s="367" t="s">
        <v>335</v>
      </c>
      <c r="E155" s="368" t="s">
        <v>337</v>
      </c>
      <c r="F155" s="368" t="s">
        <v>338</v>
      </c>
      <c r="G155" s="367" t="s">
        <v>335</v>
      </c>
      <c r="H155" s="367" t="s">
        <v>339</v>
      </c>
      <c r="I155" s="368" t="s">
        <v>340</v>
      </c>
      <c r="J155" s="368" t="s">
        <v>341</v>
      </c>
      <c r="K155" s="372" t="s">
        <v>338</v>
      </c>
      <c r="L155" s="368" t="s">
        <v>342</v>
      </c>
      <c r="M155" s="368" t="s">
        <v>341</v>
      </c>
      <c r="N155" s="368" t="s">
        <v>338</v>
      </c>
      <c r="O155" s="367" t="s">
        <v>338</v>
      </c>
      <c r="P155" s="367" t="s">
        <v>338</v>
      </c>
      <c r="Q155" s="367" t="s">
        <v>345</v>
      </c>
      <c r="R155" s="351"/>
      <c r="S155" s="367" t="s">
        <v>350</v>
      </c>
      <c r="T155" s="357"/>
      <c r="U155" s="351"/>
    </row>
    <row r="156" spans="1:21" x14ac:dyDescent="0.3">
      <c r="A156" s="351"/>
      <c r="B156" s="361"/>
      <c r="C156" s="367" t="s">
        <v>55</v>
      </c>
      <c r="D156" s="367" t="s">
        <v>336</v>
      </c>
      <c r="E156" s="368"/>
      <c r="F156" s="368"/>
      <c r="G156" s="367" t="s">
        <v>336</v>
      </c>
      <c r="H156" s="367" t="s">
        <v>337</v>
      </c>
      <c r="I156" s="368"/>
      <c r="J156" s="368"/>
      <c r="K156" s="372"/>
      <c r="L156" s="368"/>
      <c r="M156" s="368"/>
      <c r="N156" s="368"/>
      <c r="O156" s="367" t="s">
        <v>343</v>
      </c>
      <c r="P156" s="367" t="s">
        <v>344</v>
      </c>
      <c r="Q156" s="367" t="s">
        <v>346</v>
      </c>
      <c r="R156" s="351"/>
      <c r="S156" s="367" t="s">
        <v>351</v>
      </c>
      <c r="T156" s="367" t="s">
        <v>332</v>
      </c>
      <c r="U156" s="351"/>
    </row>
    <row r="157" spans="1:21" x14ac:dyDescent="0.3">
      <c r="A157" s="351"/>
      <c r="B157" s="361"/>
      <c r="C157" s="364">
        <v>2014</v>
      </c>
      <c r="D157" s="365">
        <v>0</v>
      </c>
      <c r="E157" s="366">
        <v>21415</v>
      </c>
      <c r="F157" s="366">
        <v>21415</v>
      </c>
      <c r="G157" s="366">
        <v>1352</v>
      </c>
      <c r="H157" s="366">
        <v>1180</v>
      </c>
      <c r="I157" s="365">
        <v>450</v>
      </c>
      <c r="J157" s="365">
        <v>50</v>
      </c>
      <c r="K157" s="373">
        <v>3032</v>
      </c>
      <c r="L157" s="365">
        <v>353</v>
      </c>
      <c r="M157" s="365">
        <v>0</v>
      </c>
      <c r="N157" s="365">
        <v>353</v>
      </c>
      <c r="O157" s="366">
        <v>3385</v>
      </c>
      <c r="P157" s="365">
        <v>0</v>
      </c>
      <c r="Q157" s="365">
        <v>16</v>
      </c>
      <c r="R157" s="351"/>
      <c r="S157" s="357"/>
      <c r="T157" s="376"/>
      <c r="U157" s="351"/>
    </row>
    <row r="158" spans="1:21" x14ac:dyDescent="0.3">
      <c r="A158" s="351"/>
      <c r="B158" s="361"/>
      <c r="C158" s="364">
        <v>2015</v>
      </c>
      <c r="D158" s="365">
        <v>98</v>
      </c>
      <c r="E158" s="366">
        <v>22563</v>
      </c>
      <c r="F158" s="366">
        <v>22661</v>
      </c>
      <c r="G158" s="366">
        <v>1352</v>
      </c>
      <c r="H158" s="366">
        <v>1180</v>
      </c>
      <c r="I158" s="365">
        <v>450</v>
      </c>
      <c r="J158" s="365">
        <v>50</v>
      </c>
      <c r="K158" s="373">
        <v>3032</v>
      </c>
      <c r="L158" s="365">
        <v>353</v>
      </c>
      <c r="M158" s="365">
        <v>0</v>
      </c>
      <c r="N158" s="365">
        <v>353</v>
      </c>
      <c r="O158" s="366">
        <v>3385</v>
      </c>
      <c r="P158" s="365">
        <v>0</v>
      </c>
      <c r="Q158" s="365">
        <v>16</v>
      </c>
      <c r="R158" s="351"/>
      <c r="S158" s="357"/>
      <c r="T158" s="376"/>
      <c r="U158" s="351"/>
    </row>
    <row r="159" spans="1:21" x14ac:dyDescent="0.3">
      <c r="A159" s="351"/>
      <c r="B159" s="361"/>
      <c r="C159" s="364">
        <v>2016</v>
      </c>
      <c r="D159" s="365">
        <v>0</v>
      </c>
      <c r="E159" s="366">
        <v>20811</v>
      </c>
      <c r="F159" s="366">
        <v>20811</v>
      </c>
      <c r="G159" s="366">
        <v>1424</v>
      </c>
      <c r="H159" s="366">
        <v>1180</v>
      </c>
      <c r="I159" s="365">
        <v>450</v>
      </c>
      <c r="J159" s="365">
        <v>50</v>
      </c>
      <c r="K159" s="373">
        <v>3104</v>
      </c>
      <c r="L159" s="365">
        <v>353</v>
      </c>
      <c r="M159" s="365">
        <v>0</v>
      </c>
      <c r="N159" s="365">
        <v>353</v>
      </c>
      <c r="O159" s="366">
        <v>3457</v>
      </c>
      <c r="P159" s="365">
        <v>0</v>
      </c>
      <c r="Q159" s="365">
        <v>16</v>
      </c>
      <c r="R159" s="351"/>
      <c r="S159" s="357"/>
      <c r="T159" s="376"/>
      <c r="U159" s="351"/>
    </row>
    <row r="160" spans="1:21" x14ac:dyDescent="0.3">
      <c r="A160" s="351"/>
      <c r="B160" s="361"/>
      <c r="C160" s="364">
        <v>2017</v>
      </c>
      <c r="D160" s="365">
        <v>66</v>
      </c>
      <c r="E160" s="366">
        <v>21948</v>
      </c>
      <c r="F160" s="366">
        <v>22014</v>
      </c>
      <c r="G160" s="366">
        <v>1424</v>
      </c>
      <c r="H160" s="366">
        <v>1180</v>
      </c>
      <c r="I160" s="365">
        <v>450</v>
      </c>
      <c r="J160" s="365">
        <v>50</v>
      </c>
      <c r="K160" s="373">
        <v>3104</v>
      </c>
      <c r="L160" s="365">
        <v>353</v>
      </c>
      <c r="M160" s="365">
        <v>0</v>
      </c>
      <c r="N160" s="365">
        <v>353</v>
      </c>
      <c r="O160" s="366">
        <v>3457</v>
      </c>
      <c r="P160" s="365">
        <v>0</v>
      </c>
      <c r="Q160" s="365">
        <v>16</v>
      </c>
      <c r="R160" s="351"/>
      <c r="S160" s="357"/>
      <c r="T160" s="376"/>
      <c r="U160" s="351"/>
    </row>
    <row r="161" spans="1:21" x14ac:dyDescent="0.3">
      <c r="A161" s="351"/>
      <c r="B161" s="361"/>
      <c r="C161" s="364">
        <v>2018</v>
      </c>
      <c r="D161" s="365">
        <v>0</v>
      </c>
      <c r="E161" s="366">
        <v>23005</v>
      </c>
      <c r="F161" s="366">
        <v>23005</v>
      </c>
      <c r="G161" s="366">
        <v>1424</v>
      </c>
      <c r="H161" s="366">
        <v>1180</v>
      </c>
      <c r="I161" s="365">
        <v>450</v>
      </c>
      <c r="J161" s="365">
        <v>50</v>
      </c>
      <c r="K161" s="373">
        <v>3104</v>
      </c>
      <c r="L161" s="365">
        <v>353</v>
      </c>
      <c r="M161" s="365">
        <v>0</v>
      </c>
      <c r="N161" s="365">
        <v>353</v>
      </c>
      <c r="O161" s="366">
        <v>3457</v>
      </c>
      <c r="P161" s="365">
        <v>0</v>
      </c>
      <c r="Q161" s="365">
        <v>16</v>
      </c>
      <c r="R161" s="351"/>
      <c r="S161" s="357"/>
      <c r="T161" s="376"/>
      <c r="U161" s="351"/>
    </row>
    <row r="162" spans="1:21" x14ac:dyDescent="0.3">
      <c r="A162" s="351"/>
      <c r="B162" s="361"/>
      <c r="C162" s="364">
        <v>2019</v>
      </c>
      <c r="D162" s="365">
        <v>0</v>
      </c>
      <c r="E162" s="366">
        <v>24453</v>
      </c>
      <c r="F162" s="366">
        <v>24453</v>
      </c>
      <c r="G162" s="366">
        <v>1424</v>
      </c>
      <c r="H162" s="366">
        <v>1180</v>
      </c>
      <c r="I162" s="365">
        <v>450</v>
      </c>
      <c r="J162" s="365">
        <v>50</v>
      </c>
      <c r="K162" s="373">
        <v>3104</v>
      </c>
      <c r="L162" s="365">
        <v>353</v>
      </c>
      <c r="M162" s="365">
        <v>0</v>
      </c>
      <c r="N162" s="365">
        <v>353</v>
      </c>
      <c r="O162" s="366">
        <v>3457</v>
      </c>
      <c r="P162" s="365">
        <v>0</v>
      </c>
      <c r="Q162" s="365">
        <v>14</v>
      </c>
      <c r="R162" s="351"/>
      <c r="S162" s="357"/>
      <c r="T162" s="376"/>
      <c r="U162" s="351"/>
    </row>
    <row r="163" spans="1:21" x14ac:dyDescent="0.3">
      <c r="A163" s="351"/>
      <c r="B163" s="361"/>
      <c r="C163" s="364">
        <v>2020</v>
      </c>
      <c r="D163" s="365">
        <v>0</v>
      </c>
      <c r="E163" s="366">
        <v>13956</v>
      </c>
      <c r="F163" s="366">
        <v>13956</v>
      </c>
      <c r="G163" s="366">
        <v>1456</v>
      </c>
      <c r="H163" s="366">
        <v>1184</v>
      </c>
      <c r="I163" s="365">
        <v>475</v>
      </c>
      <c r="J163" s="365">
        <v>30</v>
      </c>
      <c r="K163" s="373">
        <v>3145</v>
      </c>
      <c r="L163" s="365">
        <v>353</v>
      </c>
      <c r="M163" s="365">
        <v>0</v>
      </c>
      <c r="N163" s="365">
        <v>353</v>
      </c>
      <c r="O163" s="366">
        <v>3498</v>
      </c>
      <c r="P163" s="365">
        <v>0</v>
      </c>
      <c r="Q163" s="365">
        <v>9</v>
      </c>
      <c r="R163" s="351"/>
      <c r="S163" s="357"/>
      <c r="T163" s="376"/>
      <c r="U163" s="351"/>
    </row>
    <row r="164" spans="1:21" x14ac:dyDescent="0.3">
      <c r="A164" s="351"/>
      <c r="B164" s="361"/>
      <c r="C164" s="364">
        <v>2021</v>
      </c>
      <c r="D164" s="365">
        <v>42</v>
      </c>
      <c r="E164" s="366">
        <v>15148</v>
      </c>
      <c r="F164" s="366">
        <v>15190</v>
      </c>
      <c r="G164" s="366">
        <v>1456</v>
      </c>
      <c r="H164" s="366">
        <v>1184</v>
      </c>
      <c r="I164" s="365">
        <v>300</v>
      </c>
      <c r="J164" s="365">
        <v>20</v>
      </c>
      <c r="K164" s="373">
        <v>2960</v>
      </c>
      <c r="L164" s="365">
        <v>200</v>
      </c>
      <c r="M164" s="365">
        <v>0</v>
      </c>
      <c r="N164" s="365">
        <v>200</v>
      </c>
      <c r="O164" s="366">
        <v>3160</v>
      </c>
      <c r="P164" s="365">
        <v>0</v>
      </c>
      <c r="Q164" s="365">
        <v>13</v>
      </c>
      <c r="R164" s="351"/>
      <c r="S164" s="357"/>
      <c r="T164" s="376"/>
      <c r="U164" s="351"/>
    </row>
    <row r="165" spans="1:21" x14ac:dyDescent="0.3">
      <c r="A165" s="351"/>
      <c r="B165" s="361"/>
      <c r="C165" s="364">
        <v>2022</v>
      </c>
      <c r="D165" s="365">
        <v>6</v>
      </c>
      <c r="E165" s="366">
        <v>22148</v>
      </c>
      <c r="F165" s="366">
        <v>22154</v>
      </c>
      <c r="G165" s="366">
        <v>1456</v>
      </c>
      <c r="H165" s="366">
        <v>1196</v>
      </c>
      <c r="I165" s="365">
        <v>304</v>
      </c>
      <c r="J165" s="365">
        <v>20</v>
      </c>
      <c r="K165" s="373">
        <v>2976</v>
      </c>
      <c r="L165" s="365">
        <v>203</v>
      </c>
      <c r="M165" s="365">
        <v>0</v>
      </c>
      <c r="N165" s="365">
        <v>203</v>
      </c>
      <c r="O165" s="366">
        <v>3179</v>
      </c>
      <c r="P165" s="365">
        <v>0</v>
      </c>
      <c r="Q165" s="365">
        <v>13</v>
      </c>
      <c r="R165" s="351"/>
      <c r="S165" s="357"/>
      <c r="T165" s="376"/>
      <c r="U165" s="351"/>
    </row>
    <row r="166" spans="1:21" x14ac:dyDescent="0.3">
      <c r="A166" s="351"/>
      <c r="B166" s="361"/>
      <c r="C166" s="364">
        <v>2023</v>
      </c>
      <c r="D166" s="365">
        <v>0</v>
      </c>
      <c r="E166" s="366">
        <v>20862</v>
      </c>
      <c r="F166" s="366">
        <v>20862</v>
      </c>
      <c r="G166" s="366">
        <v>1456</v>
      </c>
      <c r="H166" s="366">
        <v>1196</v>
      </c>
      <c r="I166" s="365">
        <v>304</v>
      </c>
      <c r="J166" s="365">
        <v>20</v>
      </c>
      <c r="K166" s="373">
        <v>2976</v>
      </c>
      <c r="L166" s="365">
        <v>203</v>
      </c>
      <c r="M166" s="365">
        <v>0</v>
      </c>
      <c r="N166" s="365">
        <v>203</v>
      </c>
      <c r="O166" s="366">
        <v>3179</v>
      </c>
      <c r="P166" s="365">
        <v>0</v>
      </c>
      <c r="Q166" s="365">
        <v>13</v>
      </c>
      <c r="R166" s="351"/>
      <c r="S166" s="357"/>
      <c r="T166" s="376"/>
      <c r="U166" s="351"/>
    </row>
    <row r="167" spans="1:21" x14ac:dyDescent="0.3">
      <c r="A167" s="351"/>
      <c r="B167" s="361"/>
      <c r="C167" s="364">
        <v>2024</v>
      </c>
      <c r="D167" s="365">
        <v>0</v>
      </c>
      <c r="E167" s="366">
        <v>26248</v>
      </c>
      <c r="F167" s="366">
        <v>26248</v>
      </c>
      <c r="G167" s="366">
        <v>1400</v>
      </c>
      <c r="H167" s="366">
        <v>1100</v>
      </c>
      <c r="I167" s="365">
        <v>300</v>
      </c>
      <c r="J167" s="365">
        <v>20</v>
      </c>
      <c r="K167" s="373">
        <v>2820</v>
      </c>
      <c r="L167" s="365">
        <v>200</v>
      </c>
      <c r="M167" s="365">
        <v>0</v>
      </c>
      <c r="N167" s="365">
        <v>200</v>
      </c>
      <c r="O167" s="366">
        <v>3020</v>
      </c>
      <c r="P167" s="365">
        <v>0</v>
      </c>
      <c r="Q167" s="365">
        <v>13</v>
      </c>
      <c r="R167" s="351"/>
      <c r="S167" s="357">
        <f t="shared" ref="S167:S177" si="2">C167-$C$85</f>
        <v>10</v>
      </c>
      <c r="T167" s="376">
        <f>((K167/$K$157)^(1/(C167-$C$157)))-1</f>
        <v>-7.2223508446982443E-3</v>
      </c>
      <c r="U167" s="351"/>
    </row>
    <row r="168" spans="1:21" x14ac:dyDescent="0.3">
      <c r="A168" s="351"/>
      <c r="B168" s="361"/>
      <c r="C168" s="364">
        <v>2025</v>
      </c>
      <c r="D168" s="365">
        <v>0</v>
      </c>
      <c r="E168" s="366">
        <v>29657</v>
      </c>
      <c r="F168" s="366">
        <v>29657</v>
      </c>
      <c r="G168" s="366">
        <v>1400</v>
      </c>
      <c r="H168" s="366">
        <v>1100</v>
      </c>
      <c r="I168" s="365">
        <v>300</v>
      </c>
      <c r="J168" s="365">
        <v>20</v>
      </c>
      <c r="K168" s="373">
        <v>2820</v>
      </c>
      <c r="L168" s="365">
        <v>200</v>
      </c>
      <c r="M168" s="365">
        <v>0</v>
      </c>
      <c r="N168" s="365">
        <v>200</v>
      </c>
      <c r="O168" s="366">
        <v>3020</v>
      </c>
      <c r="P168" s="365">
        <v>0</v>
      </c>
      <c r="Q168" s="365">
        <v>17</v>
      </c>
      <c r="R168" s="351"/>
      <c r="S168" s="357">
        <f t="shared" si="2"/>
        <v>11</v>
      </c>
      <c r="T168" s="376">
        <f>((K168/$K$157)^(1/(C168-$C$157)))-1</f>
        <v>-6.5679346466560595E-3</v>
      </c>
      <c r="U168" s="351"/>
    </row>
    <row r="169" spans="1:21" x14ac:dyDescent="0.3">
      <c r="A169" s="351"/>
      <c r="B169" s="361"/>
      <c r="C169" s="364">
        <v>2026</v>
      </c>
      <c r="D169" s="365">
        <v>0</v>
      </c>
      <c r="E169" s="366">
        <v>30252</v>
      </c>
      <c r="F169" s="366">
        <v>30252</v>
      </c>
      <c r="G169" s="366">
        <v>1400</v>
      </c>
      <c r="H169" s="366">
        <v>1111</v>
      </c>
      <c r="I169" s="365">
        <v>304</v>
      </c>
      <c r="J169" s="365">
        <v>20</v>
      </c>
      <c r="K169" s="373">
        <v>2835</v>
      </c>
      <c r="L169" s="365">
        <v>203</v>
      </c>
      <c r="M169" s="365">
        <v>0</v>
      </c>
      <c r="N169" s="365">
        <v>203</v>
      </c>
      <c r="O169" s="366">
        <v>3038</v>
      </c>
      <c r="P169" s="365">
        <v>0</v>
      </c>
      <c r="Q169" s="365">
        <v>17</v>
      </c>
      <c r="R169" s="351"/>
      <c r="S169" s="357">
        <f t="shared" si="2"/>
        <v>12</v>
      </c>
      <c r="T169" s="376">
        <f>((K169/$K$157)^(1/(C169-$C$157)))-1</f>
        <v>-5.582735837454611E-3</v>
      </c>
      <c r="U169" s="351"/>
    </row>
    <row r="170" spans="1:21" x14ac:dyDescent="0.3">
      <c r="A170" s="351"/>
      <c r="B170" s="361"/>
      <c r="C170" s="364">
        <v>2027</v>
      </c>
      <c r="D170" s="365">
        <v>0</v>
      </c>
      <c r="E170" s="366">
        <v>30860</v>
      </c>
      <c r="F170" s="366">
        <v>30860</v>
      </c>
      <c r="G170" s="366">
        <v>1400</v>
      </c>
      <c r="H170" s="366">
        <v>1122</v>
      </c>
      <c r="I170" s="365">
        <v>308</v>
      </c>
      <c r="J170" s="365">
        <v>20</v>
      </c>
      <c r="K170" s="373">
        <v>2850</v>
      </c>
      <c r="L170" s="365">
        <v>206</v>
      </c>
      <c r="M170" s="365">
        <v>0</v>
      </c>
      <c r="N170" s="365">
        <v>206</v>
      </c>
      <c r="O170" s="366">
        <v>3056</v>
      </c>
      <c r="P170" s="365">
        <v>0</v>
      </c>
      <c r="Q170" s="365">
        <v>17</v>
      </c>
      <c r="R170" s="351"/>
      <c r="S170" s="357">
        <f t="shared" si="2"/>
        <v>13</v>
      </c>
      <c r="T170" s="376">
        <f>((K170/$K$157)^(1/(C170-$C$157)))-1</f>
        <v>-4.7504862313610952E-3</v>
      </c>
      <c r="U170" s="351"/>
    </row>
    <row r="171" spans="1:21" x14ac:dyDescent="0.3">
      <c r="A171" s="351"/>
      <c r="B171" s="361"/>
      <c r="C171" s="364">
        <v>2028</v>
      </c>
      <c r="D171" s="365">
        <v>0</v>
      </c>
      <c r="E171" s="366">
        <v>31480</v>
      </c>
      <c r="F171" s="366">
        <v>31480</v>
      </c>
      <c r="G171" s="366">
        <v>1400</v>
      </c>
      <c r="H171" s="366">
        <v>1133</v>
      </c>
      <c r="I171" s="365">
        <v>314</v>
      </c>
      <c r="J171" s="365">
        <v>20</v>
      </c>
      <c r="K171" s="373">
        <v>2867</v>
      </c>
      <c r="L171" s="365">
        <v>209</v>
      </c>
      <c r="M171" s="365">
        <v>0</v>
      </c>
      <c r="N171" s="365">
        <v>209</v>
      </c>
      <c r="O171" s="366">
        <v>3076</v>
      </c>
      <c r="P171" s="365">
        <v>0</v>
      </c>
      <c r="Q171" s="365">
        <v>17</v>
      </c>
      <c r="R171" s="351"/>
      <c r="S171" s="357">
        <f t="shared" si="2"/>
        <v>14</v>
      </c>
      <c r="T171" s="376">
        <f>((K171/$K$157)^(1/(C171-$C$157)))-1</f>
        <v>-3.9889003230155762E-3</v>
      </c>
      <c r="U171" s="351"/>
    </row>
    <row r="172" spans="1:21" x14ac:dyDescent="0.3">
      <c r="A172" s="351"/>
      <c r="B172" s="361"/>
      <c r="C172" s="364">
        <v>2029</v>
      </c>
      <c r="D172" s="365">
        <v>0</v>
      </c>
      <c r="E172" s="366">
        <v>32112</v>
      </c>
      <c r="F172" s="366">
        <v>32112</v>
      </c>
      <c r="G172" s="366">
        <v>1400</v>
      </c>
      <c r="H172" s="366">
        <v>1144</v>
      </c>
      <c r="I172" s="365">
        <v>320</v>
      </c>
      <c r="J172" s="365">
        <v>20</v>
      </c>
      <c r="K172" s="373">
        <v>2884</v>
      </c>
      <c r="L172" s="365">
        <v>213</v>
      </c>
      <c r="M172" s="365">
        <v>0</v>
      </c>
      <c r="N172" s="365">
        <v>213</v>
      </c>
      <c r="O172" s="366">
        <v>3097</v>
      </c>
      <c r="P172" s="365">
        <v>0</v>
      </c>
      <c r="Q172" s="365">
        <v>17</v>
      </c>
      <c r="R172" s="351"/>
      <c r="S172" s="357">
        <f t="shared" si="2"/>
        <v>15</v>
      </c>
      <c r="T172" s="376">
        <f>((K172/$K$157)^(1/(C172-$C$157)))-1</f>
        <v>-3.3307240150368678E-3</v>
      </c>
      <c r="U172" s="351"/>
    </row>
    <row r="173" spans="1:21" x14ac:dyDescent="0.3">
      <c r="A173" s="351"/>
      <c r="B173" s="361"/>
      <c r="C173" s="364">
        <v>2030</v>
      </c>
      <c r="D173" s="365">
        <v>0</v>
      </c>
      <c r="E173" s="366">
        <v>32754</v>
      </c>
      <c r="F173" s="366">
        <v>32754</v>
      </c>
      <c r="G173" s="366">
        <v>1400</v>
      </c>
      <c r="H173" s="366">
        <v>1155</v>
      </c>
      <c r="I173" s="365">
        <v>326</v>
      </c>
      <c r="J173" s="365">
        <v>20</v>
      </c>
      <c r="K173" s="373">
        <v>2901</v>
      </c>
      <c r="L173" s="365">
        <v>217</v>
      </c>
      <c r="M173" s="365">
        <v>0</v>
      </c>
      <c r="N173" s="365">
        <v>217</v>
      </c>
      <c r="O173" s="366">
        <v>3118</v>
      </c>
      <c r="P173" s="365">
        <v>0</v>
      </c>
      <c r="Q173" s="365">
        <v>17</v>
      </c>
      <c r="R173" s="351"/>
      <c r="S173" s="357">
        <f t="shared" si="2"/>
        <v>16</v>
      </c>
      <c r="T173" s="376">
        <f>((K173/$K$157)^(1/(C173-$C$157)))-1</f>
        <v>-2.756628667239136E-3</v>
      </c>
      <c r="U173" s="351"/>
    </row>
    <row r="174" spans="1:21" x14ac:dyDescent="0.3">
      <c r="A174" s="351"/>
      <c r="B174" s="361"/>
      <c r="C174" s="364">
        <v>2031</v>
      </c>
      <c r="D174" s="365">
        <v>0</v>
      </c>
      <c r="E174" s="366">
        <v>33409</v>
      </c>
      <c r="F174" s="366">
        <v>33409</v>
      </c>
      <c r="G174" s="366">
        <v>1400</v>
      </c>
      <c r="H174" s="366">
        <v>1166</v>
      </c>
      <c r="I174" s="365">
        <v>332</v>
      </c>
      <c r="J174" s="365">
        <v>20</v>
      </c>
      <c r="K174" s="373">
        <v>2918</v>
      </c>
      <c r="L174" s="365">
        <v>221</v>
      </c>
      <c r="M174" s="365">
        <v>0</v>
      </c>
      <c r="N174" s="365">
        <v>221</v>
      </c>
      <c r="O174" s="366">
        <v>3139</v>
      </c>
      <c r="P174" s="365">
        <v>0</v>
      </c>
      <c r="Q174" s="365">
        <v>17</v>
      </c>
      <c r="R174" s="351"/>
      <c r="S174" s="357">
        <f t="shared" si="2"/>
        <v>17</v>
      </c>
      <c r="T174" s="376">
        <f>((K174/$K$157)^(1/(C174-$C$157)))-1</f>
        <v>-2.2518148336169164E-3</v>
      </c>
      <c r="U174" s="351"/>
    </row>
    <row r="175" spans="1:21" x14ac:dyDescent="0.3">
      <c r="A175" s="351"/>
      <c r="B175" s="361"/>
      <c r="C175" s="364">
        <v>2032</v>
      </c>
      <c r="D175" s="365">
        <v>0</v>
      </c>
      <c r="E175" s="366">
        <v>34076</v>
      </c>
      <c r="F175" s="366">
        <v>34076</v>
      </c>
      <c r="G175" s="366">
        <v>1400</v>
      </c>
      <c r="H175" s="366">
        <v>1177</v>
      </c>
      <c r="I175" s="365">
        <v>338</v>
      </c>
      <c r="J175" s="365">
        <v>20</v>
      </c>
      <c r="K175" s="373">
        <v>2935</v>
      </c>
      <c r="L175" s="365">
        <v>225</v>
      </c>
      <c r="M175" s="365">
        <v>0</v>
      </c>
      <c r="N175" s="365">
        <v>225</v>
      </c>
      <c r="O175" s="366">
        <v>3160</v>
      </c>
      <c r="P175" s="365">
        <v>0</v>
      </c>
      <c r="Q175" s="365">
        <v>17</v>
      </c>
      <c r="R175" s="351"/>
      <c r="S175" s="357">
        <f t="shared" si="2"/>
        <v>18</v>
      </c>
      <c r="T175" s="376">
        <f>((K175/$K$157)^(1/(C175-$C$157)))-1</f>
        <v>-1.8047591545286013E-3</v>
      </c>
      <c r="U175" s="351"/>
    </row>
    <row r="176" spans="1:21" x14ac:dyDescent="0.3">
      <c r="A176" s="351"/>
      <c r="B176" s="361"/>
      <c r="C176" s="364">
        <v>2033</v>
      </c>
      <c r="D176" s="365">
        <v>0</v>
      </c>
      <c r="E176" s="366">
        <v>34761</v>
      </c>
      <c r="F176" s="366">
        <v>34761</v>
      </c>
      <c r="G176" s="366">
        <v>1400</v>
      </c>
      <c r="H176" s="366">
        <v>1188</v>
      </c>
      <c r="I176" s="365">
        <v>344</v>
      </c>
      <c r="J176" s="365">
        <v>20</v>
      </c>
      <c r="K176" s="373">
        <v>2952</v>
      </c>
      <c r="L176" s="365">
        <v>229</v>
      </c>
      <c r="M176" s="365">
        <v>0</v>
      </c>
      <c r="N176" s="365">
        <v>229</v>
      </c>
      <c r="O176" s="366">
        <v>3181</v>
      </c>
      <c r="P176" s="365">
        <v>0</v>
      </c>
      <c r="Q176" s="365">
        <v>17</v>
      </c>
      <c r="R176" s="351"/>
      <c r="S176" s="357">
        <f t="shared" si="2"/>
        <v>19</v>
      </c>
      <c r="T176" s="376">
        <f>((K176/$K$157)^(1/(C176-$C$157)))-1</f>
        <v>-1.4063554719788707E-3</v>
      </c>
      <c r="U176" s="351"/>
    </row>
    <row r="177" spans="1:21" x14ac:dyDescent="0.3">
      <c r="A177" s="351"/>
      <c r="B177" s="361"/>
      <c r="C177" s="364">
        <v>2034</v>
      </c>
      <c r="D177" s="365">
        <v>0</v>
      </c>
      <c r="E177" s="366">
        <v>35457</v>
      </c>
      <c r="F177" s="366">
        <v>35457</v>
      </c>
      <c r="G177" s="366">
        <v>1400</v>
      </c>
      <c r="H177" s="366">
        <v>1199</v>
      </c>
      <c r="I177" s="365">
        <v>350</v>
      </c>
      <c r="J177" s="365">
        <v>20</v>
      </c>
      <c r="K177" s="373">
        <v>2969</v>
      </c>
      <c r="L177" s="365">
        <v>233</v>
      </c>
      <c r="M177" s="365">
        <v>0</v>
      </c>
      <c r="N177" s="365">
        <v>233</v>
      </c>
      <c r="O177" s="366">
        <v>3202</v>
      </c>
      <c r="P177" s="365">
        <v>0</v>
      </c>
      <c r="Q177" s="365">
        <v>17</v>
      </c>
      <c r="R177" s="351"/>
      <c r="S177" s="357">
        <f t="shared" si="2"/>
        <v>20</v>
      </c>
      <c r="T177" s="376">
        <f>((K177/$K$157)^(1/(C177-$C$157)))-1</f>
        <v>-1.0493126859476565E-3</v>
      </c>
      <c r="U177" s="351"/>
    </row>
    <row r="178" spans="1:21" x14ac:dyDescent="0.3">
      <c r="A178" s="351"/>
      <c r="B178" s="351"/>
      <c r="C178" s="351"/>
      <c r="D178" s="351"/>
      <c r="E178" s="351"/>
      <c r="F178" s="351"/>
      <c r="G178" s="351"/>
      <c r="H178" s="351"/>
      <c r="I178" s="351"/>
      <c r="J178" s="351"/>
      <c r="K178" s="374"/>
      <c r="L178" s="351"/>
      <c r="M178" s="351"/>
      <c r="N178" s="351"/>
      <c r="O178" s="351"/>
      <c r="P178" s="351"/>
      <c r="Q178" s="351"/>
      <c r="R178" s="351"/>
      <c r="S178" s="375"/>
      <c r="T178" s="375"/>
      <c r="U178" s="351"/>
    </row>
    <row r="179" spans="1:21" x14ac:dyDescent="0.3">
      <c r="A179" s="351"/>
      <c r="B179" s="362" t="s">
        <v>3</v>
      </c>
      <c r="C179" s="367" t="s">
        <v>334</v>
      </c>
      <c r="D179" s="367" t="s">
        <v>335</v>
      </c>
      <c r="E179" s="368" t="s">
        <v>337</v>
      </c>
      <c r="F179" s="368" t="s">
        <v>338</v>
      </c>
      <c r="G179" s="367" t="s">
        <v>335</v>
      </c>
      <c r="H179" s="367" t="s">
        <v>339</v>
      </c>
      <c r="I179" s="368" t="s">
        <v>340</v>
      </c>
      <c r="J179" s="368" t="s">
        <v>341</v>
      </c>
      <c r="K179" s="372" t="s">
        <v>338</v>
      </c>
      <c r="L179" s="368" t="s">
        <v>342</v>
      </c>
      <c r="M179" s="368" t="s">
        <v>341</v>
      </c>
      <c r="N179" s="368" t="s">
        <v>338</v>
      </c>
      <c r="O179" s="367" t="s">
        <v>338</v>
      </c>
      <c r="P179" s="367" t="s">
        <v>338</v>
      </c>
      <c r="Q179" s="367" t="s">
        <v>345</v>
      </c>
      <c r="R179" s="351"/>
      <c r="S179" s="367" t="s">
        <v>350</v>
      </c>
      <c r="T179" s="357"/>
      <c r="U179" s="351"/>
    </row>
    <row r="180" spans="1:21" x14ac:dyDescent="0.3">
      <c r="A180" s="351"/>
      <c r="B180" s="362"/>
      <c r="C180" s="367" t="s">
        <v>55</v>
      </c>
      <c r="D180" s="367" t="s">
        <v>336</v>
      </c>
      <c r="E180" s="368"/>
      <c r="F180" s="368"/>
      <c r="G180" s="367" t="s">
        <v>336</v>
      </c>
      <c r="H180" s="367" t="s">
        <v>337</v>
      </c>
      <c r="I180" s="368"/>
      <c r="J180" s="368"/>
      <c r="K180" s="372"/>
      <c r="L180" s="368"/>
      <c r="M180" s="368"/>
      <c r="N180" s="368"/>
      <c r="O180" s="367" t="s">
        <v>343</v>
      </c>
      <c r="P180" s="367" t="s">
        <v>344</v>
      </c>
      <c r="Q180" s="367" t="s">
        <v>346</v>
      </c>
      <c r="R180" s="351"/>
      <c r="S180" s="367" t="s">
        <v>351</v>
      </c>
      <c r="T180" s="367" t="s">
        <v>332</v>
      </c>
      <c r="U180" s="351"/>
    </row>
    <row r="181" spans="1:21" x14ac:dyDescent="0.3">
      <c r="A181" s="351"/>
      <c r="B181" s="362"/>
      <c r="C181" s="364">
        <v>2014</v>
      </c>
      <c r="D181" s="365">
        <v>0</v>
      </c>
      <c r="E181" s="365">
        <v>0</v>
      </c>
      <c r="F181" s="365">
        <v>0</v>
      </c>
      <c r="G181" s="365">
        <v>0</v>
      </c>
      <c r="H181" s="365">
        <v>0</v>
      </c>
      <c r="I181" s="366">
        <v>9348</v>
      </c>
      <c r="J181" s="365">
        <v>0</v>
      </c>
      <c r="K181" s="373">
        <v>9348</v>
      </c>
      <c r="L181" s="366">
        <v>7102</v>
      </c>
      <c r="M181" s="365">
        <v>0</v>
      </c>
      <c r="N181" s="366">
        <v>7102</v>
      </c>
      <c r="O181" s="366">
        <v>16450</v>
      </c>
      <c r="P181" s="365">
        <v>0</v>
      </c>
      <c r="Q181" s="365">
        <v>37</v>
      </c>
      <c r="R181" s="351"/>
      <c r="S181" s="357"/>
      <c r="T181" s="376"/>
      <c r="U181" s="351"/>
    </row>
    <row r="182" spans="1:21" x14ac:dyDescent="0.3">
      <c r="A182" s="351"/>
      <c r="B182" s="362"/>
      <c r="C182" s="364">
        <v>2015</v>
      </c>
      <c r="D182" s="365">
        <v>0</v>
      </c>
      <c r="E182" s="365">
        <v>0</v>
      </c>
      <c r="F182" s="365">
        <v>0</v>
      </c>
      <c r="G182" s="365">
        <v>0</v>
      </c>
      <c r="H182" s="365">
        <v>0</v>
      </c>
      <c r="I182" s="366">
        <v>9348</v>
      </c>
      <c r="J182" s="365">
        <v>0</v>
      </c>
      <c r="K182" s="373">
        <v>9348</v>
      </c>
      <c r="L182" s="366">
        <v>7102</v>
      </c>
      <c r="M182" s="365">
        <v>0</v>
      </c>
      <c r="N182" s="366">
        <v>7102</v>
      </c>
      <c r="O182" s="366">
        <v>16450</v>
      </c>
      <c r="P182" s="365">
        <v>0</v>
      </c>
      <c r="Q182" s="365">
        <v>36</v>
      </c>
      <c r="R182" s="351"/>
      <c r="S182" s="357"/>
      <c r="T182" s="376"/>
      <c r="U182" s="351"/>
    </row>
    <row r="183" spans="1:21" x14ac:dyDescent="0.3">
      <c r="A183" s="351"/>
      <c r="B183" s="362"/>
      <c r="C183" s="364">
        <v>2016</v>
      </c>
      <c r="D183" s="365">
        <v>0</v>
      </c>
      <c r="E183" s="365">
        <v>0</v>
      </c>
      <c r="F183" s="365">
        <v>0</v>
      </c>
      <c r="G183" s="365">
        <v>0</v>
      </c>
      <c r="H183" s="365">
        <v>0</v>
      </c>
      <c r="I183" s="366">
        <v>9348</v>
      </c>
      <c r="J183" s="365">
        <v>0</v>
      </c>
      <c r="K183" s="373">
        <v>9348</v>
      </c>
      <c r="L183" s="366">
        <v>7102</v>
      </c>
      <c r="M183" s="365">
        <v>0</v>
      </c>
      <c r="N183" s="366">
        <v>7102</v>
      </c>
      <c r="O183" s="366">
        <v>16450</v>
      </c>
      <c r="P183" s="365">
        <v>0</v>
      </c>
      <c r="Q183" s="365">
        <v>31</v>
      </c>
      <c r="R183" s="351"/>
      <c r="S183" s="357"/>
      <c r="T183" s="376"/>
      <c r="U183" s="351"/>
    </row>
    <row r="184" spans="1:21" x14ac:dyDescent="0.3">
      <c r="A184" s="351"/>
      <c r="B184" s="362"/>
      <c r="C184" s="364">
        <v>2017</v>
      </c>
      <c r="D184" s="365">
        <v>0</v>
      </c>
      <c r="E184" s="365">
        <v>0</v>
      </c>
      <c r="F184" s="365">
        <v>0</v>
      </c>
      <c r="G184" s="365">
        <v>0</v>
      </c>
      <c r="H184" s="365">
        <v>0</v>
      </c>
      <c r="I184" s="366">
        <v>9348</v>
      </c>
      <c r="J184" s="365">
        <v>0</v>
      </c>
      <c r="K184" s="373">
        <v>9348</v>
      </c>
      <c r="L184" s="366">
        <v>7102</v>
      </c>
      <c r="M184" s="365">
        <v>0</v>
      </c>
      <c r="N184" s="366">
        <v>7102</v>
      </c>
      <c r="O184" s="366">
        <v>16450</v>
      </c>
      <c r="P184" s="365">
        <v>0</v>
      </c>
      <c r="Q184" s="365">
        <v>21</v>
      </c>
      <c r="R184" s="351"/>
      <c r="S184" s="357"/>
      <c r="T184" s="376"/>
      <c r="U184" s="351"/>
    </row>
    <row r="185" spans="1:21" x14ac:dyDescent="0.3">
      <c r="A185" s="351"/>
      <c r="B185" s="362"/>
      <c r="C185" s="364">
        <v>2018</v>
      </c>
      <c r="D185" s="365">
        <v>0</v>
      </c>
      <c r="E185" s="365">
        <v>0</v>
      </c>
      <c r="F185" s="365">
        <v>0</v>
      </c>
      <c r="G185" s="365">
        <v>0</v>
      </c>
      <c r="H185" s="365">
        <v>0</v>
      </c>
      <c r="I185" s="366">
        <v>9348</v>
      </c>
      <c r="J185" s="365">
        <v>0</v>
      </c>
      <c r="K185" s="373">
        <v>9348</v>
      </c>
      <c r="L185" s="366">
        <v>7102</v>
      </c>
      <c r="M185" s="365">
        <v>0</v>
      </c>
      <c r="N185" s="366">
        <v>7102</v>
      </c>
      <c r="O185" s="366">
        <v>16450</v>
      </c>
      <c r="P185" s="365">
        <v>0</v>
      </c>
      <c r="Q185" s="365">
        <v>24</v>
      </c>
      <c r="R185" s="351"/>
      <c r="S185" s="357"/>
      <c r="T185" s="376"/>
      <c r="U185" s="351"/>
    </row>
    <row r="186" spans="1:21" x14ac:dyDescent="0.3">
      <c r="A186" s="351"/>
      <c r="B186" s="362"/>
      <c r="C186" s="364">
        <v>2019</v>
      </c>
      <c r="D186" s="365">
        <v>0</v>
      </c>
      <c r="E186" s="365">
        <v>0</v>
      </c>
      <c r="F186" s="365">
        <v>0</v>
      </c>
      <c r="G186" s="365">
        <v>0</v>
      </c>
      <c r="H186" s="365">
        <v>0</v>
      </c>
      <c r="I186" s="366">
        <v>9348</v>
      </c>
      <c r="J186" s="365">
        <v>0</v>
      </c>
      <c r="K186" s="373">
        <v>9348</v>
      </c>
      <c r="L186" s="366">
        <v>7102</v>
      </c>
      <c r="M186" s="365">
        <v>0</v>
      </c>
      <c r="N186" s="366">
        <v>7102</v>
      </c>
      <c r="O186" s="366">
        <v>16450</v>
      </c>
      <c r="P186" s="365">
        <v>0</v>
      </c>
      <c r="Q186" s="365">
        <v>28</v>
      </c>
      <c r="R186" s="351"/>
      <c r="S186" s="357"/>
      <c r="T186" s="376"/>
      <c r="U186" s="351"/>
    </row>
    <row r="187" spans="1:21" x14ac:dyDescent="0.3">
      <c r="A187" s="351"/>
      <c r="B187" s="362"/>
      <c r="C187" s="364">
        <v>2020</v>
      </c>
      <c r="D187" s="365">
        <v>0</v>
      </c>
      <c r="E187" s="365">
        <v>0</v>
      </c>
      <c r="F187" s="365">
        <v>0</v>
      </c>
      <c r="G187" s="365">
        <v>0</v>
      </c>
      <c r="H187" s="365">
        <v>0</v>
      </c>
      <c r="I187" s="366">
        <v>9348</v>
      </c>
      <c r="J187" s="365">
        <v>0</v>
      </c>
      <c r="K187" s="373">
        <v>9348</v>
      </c>
      <c r="L187" s="366">
        <v>7102</v>
      </c>
      <c r="M187" s="365">
        <v>0</v>
      </c>
      <c r="N187" s="366">
        <v>7102</v>
      </c>
      <c r="O187" s="366">
        <v>16450</v>
      </c>
      <c r="P187" s="365">
        <v>0</v>
      </c>
      <c r="Q187" s="365">
        <v>27</v>
      </c>
      <c r="R187" s="351"/>
      <c r="S187" s="357"/>
      <c r="T187" s="376"/>
      <c r="U187" s="351"/>
    </row>
    <row r="188" spans="1:21" x14ac:dyDescent="0.3">
      <c r="A188" s="351"/>
      <c r="B188" s="362"/>
      <c r="C188" s="364">
        <v>2021</v>
      </c>
      <c r="D188" s="365">
        <v>0</v>
      </c>
      <c r="E188" s="365">
        <v>0</v>
      </c>
      <c r="F188" s="365">
        <v>0</v>
      </c>
      <c r="G188" s="365">
        <v>0</v>
      </c>
      <c r="H188" s="365">
        <v>0</v>
      </c>
      <c r="I188" s="366">
        <v>5967</v>
      </c>
      <c r="J188" s="365">
        <v>0</v>
      </c>
      <c r="K188" s="373">
        <v>5967</v>
      </c>
      <c r="L188" s="366">
        <v>4533</v>
      </c>
      <c r="M188" s="365">
        <v>0</v>
      </c>
      <c r="N188" s="366">
        <v>4533</v>
      </c>
      <c r="O188" s="366">
        <v>10500</v>
      </c>
      <c r="P188" s="365">
        <v>0</v>
      </c>
      <c r="Q188" s="365">
        <v>26</v>
      </c>
      <c r="R188" s="351"/>
      <c r="S188" s="357"/>
      <c r="T188" s="376"/>
      <c r="U188" s="351"/>
    </row>
    <row r="189" spans="1:21" x14ac:dyDescent="0.3">
      <c r="A189" s="351"/>
      <c r="B189" s="362"/>
      <c r="C189" s="364">
        <v>2022</v>
      </c>
      <c r="D189" s="365">
        <v>0</v>
      </c>
      <c r="E189" s="365">
        <v>0</v>
      </c>
      <c r="F189" s="365">
        <v>0</v>
      </c>
      <c r="G189" s="365">
        <v>0</v>
      </c>
      <c r="H189" s="365">
        <v>0</v>
      </c>
      <c r="I189" s="366">
        <v>5967</v>
      </c>
      <c r="J189" s="365">
        <v>0</v>
      </c>
      <c r="K189" s="373">
        <v>5967</v>
      </c>
      <c r="L189" s="366">
        <v>4533</v>
      </c>
      <c r="M189" s="365">
        <v>0</v>
      </c>
      <c r="N189" s="366">
        <v>4533</v>
      </c>
      <c r="O189" s="366">
        <v>10500</v>
      </c>
      <c r="P189" s="365">
        <v>0</v>
      </c>
      <c r="Q189" s="365">
        <v>26</v>
      </c>
      <c r="R189" s="351"/>
      <c r="S189" s="357"/>
      <c r="T189" s="376"/>
      <c r="U189" s="351"/>
    </row>
    <row r="190" spans="1:21" x14ac:dyDescent="0.3">
      <c r="A190" s="351"/>
      <c r="B190" s="362"/>
      <c r="C190" s="364">
        <v>2023</v>
      </c>
      <c r="D190" s="365">
        <v>0</v>
      </c>
      <c r="E190" s="365">
        <v>0</v>
      </c>
      <c r="F190" s="365">
        <v>0</v>
      </c>
      <c r="G190" s="365">
        <v>0</v>
      </c>
      <c r="H190" s="365">
        <v>0</v>
      </c>
      <c r="I190" s="366">
        <v>5967</v>
      </c>
      <c r="J190" s="365">
        <v>0</v>
      </c>
      <c r="K190" s="373">
        <v>5967</v>
      </c>
      <c r="L190" s="366">
        <v>4533</v>
      </c>
      <c r="M190" s="365">
        <v>0</v>
      </c>
      <c r="N190" s="366">
        <v>4533</v>
      </c>
      <c r="O190" s="366">
        <v>10500</v>
      </c>
      <c r="P190" s="365">
        <v>0</v>
      </c>
      <c r="Q190" s="365">
        <v>26</v>
      </c>
      <c r="R190" s="351"/>
      <c r="S190" s="357"/>
      <c r="T190" s="376"/>
      <c r="U190" s="351"/>
    </row>
    <row r="191" spans="1:21" x14ac:dyDescent="0.3">
      <c r="A191" s="351"/>
      <c r="B191" s="362"/>
      <c r="C191" s="364">
        <v>2024</v>
      </c>
      <c r="D191" s="365">
        <v>0</v>
      </c>
      <c r="E191" s="365">
        <v>0</v>
      </c>
      <c r="F191" s="365">
        <v>0</v>
      </c>
      <c r="G191" s="365">
        <v>0</v>
      </c>
      <c r="H191" s="365">
        <v>0</v>
      </c>
      <c r="I191" s="366">
        <v>5967</v>
      </c>
      <c r="J191" s="365">
        <v>0</v>
      </c>
      <c r="K191" s="373">
        <v>5967</v>
      </c>
      <c r="L191" s="366">
        <v>4533</v>
      </c>
      <c r="M191" s="365">
        <v>0</v>
      </c>
      <c r="N191" s="366">
        <v>4533</v>
      </c>
      <c r="O191" s="366">
        <v>10500</v>
      </c>
      <c r="P191" s="365">
        <v>0</v>
      </c>
      <c r="Q191" s="365">
        <v>29</v>
      </c>
      <c r="R191" s="351"/>
      <c r="S191" s="357">
        <f t="shared" ref="S191:S201" si="3">C191-$C$85</f>
        <v>10</v>
      </c>
      <c r="T191" s="376">
        <f>((K191/$K$181)^(1/(C191-$C$181)))-1</f>
        <v>-4.3899085894276491E-2</v>
      </c>
      <c r="U191" s="351"/>
    </row>
    <row r="192" spans="1:21" x14ac:dyDescent="0.3">
      <c r="A192" s="351"/>
      <c r="B192" s="362"/>
      <c r="C192" s="364">
        <v>2025</v>
      </c>
      <c r="D192" s="365">
        <v>0</v>
      </c>
      <c r="E192" s="365">
        <v>0</v>
      </c>
      <c r="F192" s="365">
        <v>0</v>
      </c>
      <c r="G192" s="365">
        <v>0</v>
      </c>
      <c r="H192" s="365">
        <v>0</v>
      </c>
      <c r="I192" s="366">
        <v>5967</v>
      </c>
      <c r="J192" s="365">
        <v>0</v>
      </c>
      <c r="K192" s="373">
        <v>5967</v>
      </c>
      <c r="L192" s="366">
        <v>4533</v>
      </c>
      <c r="M192" s="365">
        <v>0</v>
      </c>
      <c r="N192" s="366">
        <v>4533</v>
      </c>
      <c r="O192" s="366">
        <v>10500</v>
      </c>
      <c r="P192" s="365">
        <v>0</v>
      </c>
      <c r="Q192" s="365">
        <v>29</v>
      </c>
      <c r="R192" s="351"/>
      <c r="S192" s="357">
        <f t="shared" si="3"/>
        <v>11</v>
      </c>
      <c r="T192" s="376">
        <f>((K192/$K$181)^(1/(C192-$C$181)))-1</f>
        <v>-3.9989194564398867E-2</v>
      </c>
      <c r="U192" s="351"/>
    </row>
    <row r="193" spans="1:21" x14ac:dyDescent="0.3">
      <c r="A193" s="351"/>
      <c r="B193" s="362"/>
      <c r="C193" s="364">
        <v>2026</v>
      </c>
      <c r="D193" s="365">
        <v>0</v>
      </c>
      <c r="E193" s="365">
        <v>0</v>
      </c>
      <c r="F193" s="365">
        <v>0</v>
      </c>
      <c r="G193" s="365">
        <v>0</v>
      </c>
      <c r="H193" s="365">
        <v>0</v>
      </c>
      <c r="I193" s="366">
        <v>5967</v>
      </c>
      <c r="J193" s="365">
        <v>0</v>
      </c>
      <c r="K193" s="373">
        <v>5967</v>
      </c>
      <c r="L193" s="366">
        <v>4533</v>
      </c>
      <c r="M193" s="365">
        <v>0</v>
      </c>
      <c r="N193" s="366">
        <v>4533</v>
      </c>
      <c r="O193" s="366">
        <v>10500</v>
      </c>
      <c r="P193" s="365">
        <v>0</v>
      </c>
      <c r="Q193" s="365">
        <v>29</v>
      </c>
      <c r="R193" s="351"/>
      <c r="S193" s="357">
        <f t="shared" si="3"/>
        <v>12</v>
      </c>
      <c r="T193" s="376">
        <f>((K193/$K$181)^(1/(C193-$C$181)))-1</f>
        <v>-3.6718740619634871E-2</v>
      </c>
      <c r="U193" s="351"/>
    </row>
    <row r="194" spans="1:21" x14ac:dyDescent="0.3">
      <c r="A194" s="351"/>
      <c r="B194" s="362"/>
      <c r="C194" s="364">
        <v>2027</v>
      </c>
      <c r="D194" s="365">
        <v>0</v>
      </c>
      <c r="E194" s="365">
        <v>0</v>
      </c>
      <c r="F194" s="365">
        <v>0</v>
      </c>
      <c r="G194" s="365">
        <v>0</v>
      </c>
      <c r="H194" s="365">
        <v>0</v>
      </c>
      <c r="I194" s="366">
        <v>5967</v>
      </c>
      <c r="J194" s="365">
        <v>0</v>
      </c>
      <c r="K194" s="373">
        <v>5967</v>
      </c>
      <c r="L194" s="366">
        <v>4533</v>
      </c>
      <c r="M194" s="365">
        <v>0</v>
      </c>
      <c r="N194" s="366">
        <v>4533</v>
      </c>
      <c r="O194" s="366">
        <v>10500</v>
      </c>
      <c r="P194" s="365">
        <v>0</v>
      </c>
      <c r="Q194" s="365">
        <v>29</v>
      </c>
      <c r="R194" s="351"/>
      <c r="S194" s="357">
        <f t="shared" si="3"/>
        <v>13</v>
      </c>
      <c r="T194" s="376">
        <f>((K194/$K$181)^(1/(C194-$C$181)))-1</f>
        <v>-3.3942732792058838E-2</v>
      </c>
      <c r="U194" s="351"/>
    </row>
    <row r="195" spans="1:21" x14ac:dyDescent="0.3">
      <c r="A195" s="351"/>
      <c r="B195" s="362"/>
      <c r="C195" s="364">
        <v>2028</v>
      </c>
      <c r="D195" s="365">
        <v>0</v>
      </c>
      <c r="E195" s="365">
        <v>0</v>
      </c>
      <c r="F195" s="365">
        <v>0</v>
      </c>
      <c r="G195" s="365">
        <v>0</v>
      </c>
      <c r="H195" s="365">
        <v>0</v>
      </c>
      <c r="I195" s="366">
        <v>5967</v>
      </c>
      <c r="J195" s="365">
        <v>0</v>
      </c>
      <c r="K195" s="373">
        <v>5967</v>
      </c>
      <c r="L195" s="366">
        <v>4533</v>
      </c>
      <c r="M195" s="365">
        <v>0</v>
      </c>
      <c r="N195" s="366">
        <v>4533</v>
      </c>
      <c r="O195" s="366">
        <v>10500</v>
      </c>
      <c r="P195" s="365">
        <v>0</v>
      </c>
      <c r="Q195" s="365">
        <v>29</v>
      </c>
      <c r="R195" s="351"/>
      <c r="S195" s="357">
        <f t="shared" si="3"/>
        <v>14</v>
      </c>
      <c r="T195" s="376">
        <f>((K195/$K$181)^(1/(C195-$C$181)))-1</f>
        <v>-3.1556931062704852E-2</v>
      </c>
      <c r="U195" s="351"/>
    </row>
    <row r="196" spans="1:21" x14ac:dyDescent="0.3">
      <c r="A196" s="351"/>
      <c r="B196" s="362"/>
      <c r="C196" s="364">
        <v>2029</v>
      </c>
      <c r="D196" s="365">
        <v>0</v>
      </c>
      <c r="E196" s="365">
        <v>0</v>
      </c>
      <c r="F196" s="365">
        <v>0</v>
      </c>
      <c r="G196" s="365">
        <v>0</v>
      </c>
      <c r="H196" s="365">
        <v>0</v>
      </c>
      <c r="I196" s="366">
        <v>5967</v>
      </c>
      <c r="J196" s="365">
        <v>0</v>
      </c>
      <c r="K196" s="373">
        <v>5967</v>
      </c>
      <c r="L196" s="366">
        <v>4533</v>
      </c>
      <c r="M196" s="365">
        <v>0</v>
      </c>
      <c r="N196" s="366">
        <v>4533</v>
      </c>
      <c r="O196" s="366">
        <v>10500</v>
      </c>
      <c r="P196" s="365">
        <v>0</v>
      </c>
      <c r="Q196" s="365">
        <v>29</v>
      </c>
      <c r="R196" s="351"/>
      <c r="S196" s="357">
        <f t="shared" si="3"/>
        <v>15</v>
      </c>
      <c r="T196" s="376">
        <f>((K196/$K$181)^(1/(C196-$C$181)))-1</f>
        <v>-2.948447074613314E-2</v>
      </c>
      <c r="U196" s="351"/>
    </row>
    <row r="197" spans="1:21" x14ac:dyDescent="0.3">
      <c r="A197" s="351"/>
      <c r="B197" s="362"/>
      <c r="C197" s="364">
        <v>2030</v>
      </c>
      <c r="D197" s="365">
        <v>0</v>
      </c>
      <c r="E197" s="365">
        <v>0</v>
      </c>
      <c r="F197" s="365">
        <v>0</v>
      </c>
      <c r="G197" s="365">
        <v>0</v>
      </c>
      <c r="H197" s="365">
        <v>0</v>
      </c>
      <c r="I197" s="366">
        <v>5967</v>
      </c>
      <c r="J197" s="365">
        <v>0</v>
      </c>
      <c r="K197" s="373">
        <v>5967</v>
      </c>
      <c r="L197" s="366">
        <v>4533</v>
      </c>
      <c r="M197" s="365">
        <v>0</v>
      </c>
      <c r="N197" s="366">
        <v>4533</v>
      </c>
      <c r="O197" s="366">
        <v>10500</v>
      </c>
      <c r="P197" s="365">
        <v>0</v>
      </c>
      <c r="Q197" s="365">
        <v>29</v>
      </c>
      <c r="R197" s="351"/>
      <c r="S197" s="357">
        <f t="shared" si="3"/>
        <v>16</v>
      </c>
      <c r="T197" s="376">
        <f>((K197/$K$181)^(1/(C197-$C$181)))-1</f>
        <v>-2.7667430167796825E-2</v>
      </c>
      <c r="U197" s="351"/>
    </row>
    <row r="198" spans="1:21" x14ac:dyDescent="0.3">
      <c r="A198" s="351"/>
      <c r="B198" s="362"/>
      <c r="C198" s="364">
        <v>2031</v>
      </c>
      <c r="D198" s="365">
        <v>0</v>
      </c>
      <c r="E198" s="365">
        <v>0</v>
      </c>
      <c r="F198" s="365">
        <v>0</v>
      </c>
      <c r="G198" s="365">
        <v>0</v>
      </c>
      <c r="H198" s="365">
        <v>0</v>
      </c>
      <c r="I198" s="366">
        <v>5967</v>
      </c>
      <c r="J198" s="365">
        <v>0</v>
      </c>
      <c r="K198" s="373">
        <v>5967</v>
      </c>
      <c r="L198" s="366">
        <v>4533</v>
      </c>
      <c r="M198" s="365">
        <v>0</v>
      </c>
      <c r="N198" s="366">
        <v>4533</v>
      </c>
      <c r="O198" s="366">
        <v>10500</v>
      </c>
      <c r="P198" s="365">
        <v>0</v>
      </c>
      <c r="Q198" s="365">
        <v>29</v>
      </c>
      <c r="R198" s="351"/>
      <c r="S198" s="357">
        <f t="shared" si="3"/>
        <v>17</v>
      </c>
      <c r="T198" s="376">
        <f>((K198/$K$181)^(1/(C198-$C$181)))-1</f>
        <v>-2.6061334135358272E-2</v>
      </c>
      <c r="U198" s="351"/>
    </row>
    <row r="199" spans="1:21" x14ac:dyDescent="0.3">
      <c r="A199" s="351"/>
      <c r="B199" s="362"/>
      <c r="C199" s="364">
        <v>2032</v>
      </c>
      <c r="D199" s="365">
        <v>0</v>
      </c>
      <c r="E199" s="365">
        <v>0</v>
      </c>
      <c r="F199" s="365">
        <v>0</v>
      </c>
      <c r="G199" s="365">
        <v>0</v>
      </c>
      <c r="H199" s="365">
        <v>0</v>
      </c>
      <c r="I199" s="366">
        <v>5967</v>
      </c>
      <c r="J199" s="365">
        <v>0</v>
      </c>
      <c r="K199" s="373">
        <v>5967</v>
      </c>
      <c r="L199" s="366">
        <v>4533</v>
      </c>
      <c r="M199" s="365">
        <v>0</v>
      </c>
      <c r="N199" s="366">
        <v>4533</v>
      </c>
      <c r="O199" s="366">
        <v>10500</v>
      </c>
      <c r="P199" s="365">
        <v>0</v>
      </c>
      <c r="Q199" s="365">
        <v>29</v>
      </c>
      <c r="R199" s="351"/>
      <c r="S199" s="357">
        <f t="shared" si="3"/>
        <v>18</v>
      </c>
      <c r="T199" s="376">
        <f>((K199/$K$181)^(1/(C199-$C$181)))-1</f>
        <v>-2.4631466190435991E-2</v>
      </c>
      <c r="U199" s="351"/>
    </row>
    <row r="200" spans="1:21" x14ac:dyDescent="0.3">
      <c r="A200" s="351"/>
      <c r="B200" s="362"/>
      <c r="C200" s="364">
        <v>2033</v>
      </c>
      <c r="D200" s="365">
        <v>0</v>
      </c>
      <c r="E200" s="365">
        <v>0</v>
      </c>
      <c r="F200" s="365">
        <v>0</v>
      </c>
      <c r="G200" s="365">
        <v>0</v>
      </c>
      <c r="H200" s="365">
        <v>0</v>
      </c>
      <c r="I200" s="366">
        <v>5967</v>
      </c>
      <c r="J200" s="365">
        <v>0</v>
      </c>
      <c r="K200" s="373">
        <v>5967</v>
      </c>
      <c r="L200" s="366">
        <v>4533</v>
      </c>
      <c r="M200" s="365">
        <v>0</v>
      </c>
      <c r="N200" s="366">
        <v>4533</v>
      </c>
      <c r="O200" s="366">
        <v>10500</v>
      </c>
      <c r="P200" s="365">
        <v>0</v>
      </c>
      <c r="Q200" s="365">
        <v>29</v>
      </c>
      <c r="R200" s="351"/>
      <c r="S200" s="357">
        <f t="shared" si="3"/>
        <v>19</v>
      </c>
      <c r="T200" s="376">
        <f>((K200/$K$181)^(1/(C200-$C$181)))-1</f>
        <v>-2.3350331348744757E-2</v>
      </c>
      <c r="U200" s="351"/>
    </row>
    <row r="201" spans="1:21" x14ac:dyDescent="0.3">
      <c r="A201" s="351"/>
      <c r="B201" s="362"/>
      <c r="C201" s="364">
        <v>2034</v>
      </c>
      <c r="D201" s="365">
        <v>0</v>
      </c>
      <c r="E201" s="365">
        <v>0</v>
      </c>
      <c r="F201" s="365">
        <v>0</v>
      </c>
      <c r="G201" s="365">
        <v>0</v>
      </c>
      <c r="H201" s="365">
        <v>0</v>
      </c>
      <c r="I201" s="366">
        <v>5967</v>
      </c>
      <c r="J201" s="365">
        <v>0</v>
      </c>
      <c r="K201" s="373">
        <v>5967</v>
      </c>
      <c r="L201" s="366">
        <v>4533</v>
      </c>
      <c r="M201" s="365">
        <v>0</v>
      </c>
      <c r="N201" s="366">
        <v>4533</v>
      </c>
      <c r="O201" s="366">
        <v>10500</v>
      </c>
      <c r="P201" s="365">
        <v>0</v>
      </c>
      <c r="Q201" s="365">
        <v>29</v>
      </c>
      <c r="R201" s="351"/>
      <c r="S201" s="357">
        <f t="shared" si="3"/>
        <v>20</v>
      </c>
      <c r="T201" s="376">
        <f>((K201/$K$181)^(1/(C201-$C$181)))-1</f>
        <v>-2.2195871298487768E-2</v>
      </c>
      <c r="U201" s="351"/>
    </row>
    <row r="202" spans="1:21" x14ac:dyDescent="0.3">
      <c r="A202" s="351"/>
      <c r="B202" s="351"/>
      <c r="C202" s="351"/>
      <c r="D202" s="351"/>
      <c r="E202" s="351"/>
      <c r="F202" s="351"/>
      <c r="G202" s="351"/>
      <c r="H202" s="351"/>
      <c r="I202" s="351"/>
      <c r="J202" s="351"/>
      <c r="K202" s="374"/>
      <c r="L202" s="351"/>
      <c r="M202" s="351"/>
      <c r="N202" s="351"/>
      <c r="O202" s="351"/>
      <c r="P202" s="351"/>
      <c r="Q202" s="351"/>
      <c r="R202" s="351"/>
      <c r="S202" s="375"/>
      <c r="T202" s="375"/>
      <c r="U202" s="351"/>
    </row>
    <row r="203" spans="1:21" x14ac:dyDescent="0.3">
      <c r="A203" s="351"/>
      <c r="B203" s="363" t="s">
        <v>2</v>
      </c>
      <c r="C203" s="367" t="s">
        <v>334</v>
      </c>
      <c r="D203" s="367" t="s">
        <v>335</v>
      </c>
      <c r="E203" s="368" t="s">
        <v>337</v>
      </c>
      <c r="F203" s="368" t="s">
        <v>338</v>
      </c>
      <c r="G203" s="367" t="s">
        <v>335</v>
      </c>
      <c r="H203" s="367" t="s">
        <v>339</v>
      </c>
      <c r="I203" s="368" t="s">
        <v>340</v>
      </c>
      <c r="J203" s="368" t="s">
        <v>341</v>
      </c>
      <c r="K203" s="372" t="s">
        <v>338</v>
      </c>
      <c r="L203" s="368" t="s">
        <v>342</v>
      </c>
      <c r="M203" s="368" t="s">
        <v>341</v>
      </c>
      <c r="N203" s="368" t="s">
        <v>338</v>
      </c>
      <c r="O203" s="367" t="s">
        <v>338</v>
      </c>
      <c r="P203" s="367" t="s">
        <v>338</v>
      </c>
      <c r="Q203" s="367" t="s">
        <v>345</v>
      </c>
      <c r="R203" s="351"/>
      <c r="S203" s="367" t="s">
        <v>350</v>
      </c>
      <c r="T203" s="357"/>
      <c r="U203" s="351"/>
    </row>
    <row r="204" spans="1:21" x14ac:dyDescent="0.3">
      <c r="A204" s="351"/>
      <c r="B204" s="363"/>
      <c r="C204" s="367" t="s">
        <v>55</v>
      </c>
      <c r="D204" s="367" t="s">
        <v>336</v>
      </c>
      <c r="E204" s="368"/>
      <c r="F204" s="368"/>
      <c r="G204" s="367" t="s">
        <v>336</v>
      </c>
      <c r="H204" s="367" t="s">
        <v>337</v>
      </c>
      <c r="I204" s="368"/>
      <c r="J204" s="368"/>
      <c r="K204" s="372"/>
      <c r="L204" s="368"/>
      <c r="M204" s="368"/>
      <c r="N204" s="368"/>
      <c r="O204" s="367" t="s">
        <v>343</v>
      </c>
      <c r="P204" s="367" t="s">
        <v>344</v>
      </c>
      <c r="Q204" s="367" t="s">
        <v>346</v>
      </c>
      <c r="R204" s="351"/>
      <c r="S204" s="367" t="s">
        <v>351</v>
      </c>
      <c r="T204" s="367" t="s">
        <v>332</v>
      </c>
      <c r="U204" s="351"/>
    </row>
    <row r="205" spans="1:21" x14ac:dyDescent="0.3">
      <c r="A205" s="351"/>
      <c r="B205" s="363"/>
      <c r="C205" s="364">
        <v>2014</v>
      </c>
      <c r="D205" s="365">
        <v>179</v>
      </c>
      <c r="E205" s="365">
        <v>7</v>
      </c>
      <c r="F205" s="365">
        <v>186</v>
      </c>
      <c r="G205" s="366">
        <v>8037</v>
      </c>
      <c r="H205" s="366">
        <v>2270</v>
      </c>
      <c r="I205" s="366">
        <v>17505</v>
      </c>
      <c r="J205" s="366">
        <v>7650</v>
      </c>
      <c r="K205" s="373">
        <v>35462</v>
      </c>
      <c r="L205" s="366">
        <v>31963</v>
      </c>
      <c r="M205" s="366">
        <v>11488</v>
      </c>
      <c r="N205" s="366">
        <v>43451</v>
      </c>
      <c r="O205" s="366">
        <v>78913</v>
      </c>
      <c r="P205" s="366">
        <v>39602</v>
      </c>
      <c r="Q205" s="365">
        <v>37</v>
      </c>
      <c r="R205" s="351"/>
      <c r="S205" s="357"/>
      <c r="T205" s="376"/>
      <c r="U205" s="351"/>
    </row>
    <row r="206" spans="1:21" x14ac:dyDescent="0.3">
      <c r="A206" s="351"/>
      <c r="B206" s="363"/>
      <c r="C206" s="364">
        <v>2015</v>
      </c>
      <c r="D206" s="365">
        <v>0</v>
      </c>
      <c r="E206" s="365">
        <v>0</v>
      </c>
      <c r="F206" s="365">
        <v>0</v>
      </c>
      <c r="G206" s="366">
        <v>5738</v>
      </c>
      <c r="H206" s="366">
        <v>2711</v>
      </c>
      <c r="I206" s="366">
        <v>18351</v>
      </c>
      <c r="J206" s="366">
        <v>7908</v>
      </c>
      <c r="K206" s="373">
        <v>34708</v>
      </c>
      <c r="L206" s="366">
        <v>30950</v>
      </c>
      <c r="M206" s="366">
        <v>10206</v>
      </c>
      <c r="N206" s="366">
        <v>41156</v>
      </c>
      <c r="O206" s="366">
        <v>75864</v>
      </c>
      <c r="P206" s="366">
        <v>42380</v>
      </c>
      <c r="Q206" s="365">
        <v>36</v>
      </c>
      <c r="R206" s="351"/>
      <c r="S206" s="357"/>
      <c r="T206" s="376"/>
      <c r="U206" s="351"/>
    </row>
    <row r="207" spans="1:21" x14ac:dyDescent="0.3">
      <c r="A207" s="351"/>
      <c r="B207" s="363"/>
      <c r="C207" s="364">
        <v>2016</v>
      </c>
      <c r="D207" s="365">
        <v>0</v>
      </c>
      <c r="E207" s="365">
        <v>13</v>
      </c>
      <c r="F207" s="365">
        <v>13</v>
      </c>
      <c r="G207" s="366">
        <v>6382</v>
      </c>
      <c r="H207" s="366">
        <v>2216</v>
      </c>
      <c r="I207" s="366">
        <v>15158</v>
      </c>
      <c r="J207" s="366">
        <v>6631</v>
      </c>
      <c r="K207" s="373">
        <v>30387</v>
      </c>
      <c r="L207" s="366">
        <v>27312</v>
      </c>
      <c r="M207" s="366">
        <v>7399</v>
      </c>
      <c r="N207" s="366">
        <v>34711</v>
      </c>
      <c r="O207" s="366">
        <v>65098</v>
      </c>
      <c r="P207" s="366">
        <v>36731</v>
      </c>
      <c r="Q207" s="365">
        <v>38</v>
      </c>
      <c r="R207" s="351"/>
      <c r="S207" s="357"/>
      <c r="T207" s="376"/>
      <c r="U207" s="351"/>
    </row>
    <row r="208" spans="1:21" x14ac:dyDescent="0.3">
      <c r="A208" s="351"/>
      <c r="B208" s="363"/>
      <c r="C208" s="364">
        <v>2017</v>
      </c>
      <c r="D208" s="365">
        <v>2</v>
      </c>
      <c r="E208" s="365">
        <v>0</v>
      </c>
      <c r="F208" s="365">
        <v>2</v>
      </c>
      <c r="G208" s="366">
        <v>6830</v>
      </c>
      <c r="H208" s="366">
        <v>2234</v>
      </c>
      <c r="I208" s="366">
        <v>14862</v>
      </c>
      <c r="J208" s="366">
        <v>5958</v>
      </c>
      <c r="K208" s="373">
        <v>29884</v>
      </c>
      <c r="L208" s="366">
        <v>26926</v>
      </c>
      <c r="M208" s="366">
        <v>7103</v>
      </c>
      <c r="N208" s="366">
        <v>34029</v>
      </c>
      <c r="O208" s="366">
        <v>63913</v>
      </c>
      <c r="P208" s="366">
        <v>35992</v>
      </c>
      <c r="Q208" s="365">
        <v>51</v>
      </c>
      <c r="R208" s="351"/>
      <c r="S208" s="357"/>
      <c r="T208" s="376"/>
      <c r="U208" s="351"/>
    </row>
    <row r="209" spans="1:21" x14ac:dyDescent="0.3">
      <c r="A209" s="351"/>
      <c r="B209" s="363"/>
      <c r="C209" s="364">
        <v>2018</v>
      </c>
      <c r="D209" s="365">
        <v>14</v>
      </c>
      <c r="E209" s="365">
        <v>3</v>
      </c>
      <c r="F209" s="365">
        <v>17</v>
      </c>
      <c r="G209" s="366">
        <v>7882</v>
      </c>
      <c r="H209" s="366">
        <v>8319</v>
      </c>
      <c r="I209" s="366">
        <v>14243</v>
      </c>
      <c r="J209" s="366">
        <v>5279</v>
      </c>
      <c r="K209" s="373">
        <v>35723</v>
      </c>
      <c r="L209" s="366">
        <v>34127</v>
      </c>
      <c r="M209" s="366">
        <v>6297</v>
      </c>
      <c r="N209" s="366">
        <v>40424</v>
      </c>
      <c r="O209" s="366">
        <v>76147</v>
      </c>
      <c r="P209" s="366">
        <v>40295</v>
      </c>
      <c r="Q209" s="365">
        <v>51</v>
      </c>
      <c r="R209" s="351"/>
      <c r="S209" s="357"/>
      <c r="T209" s="376"/>
      <c r="U209" s="351"/>
    </row>
    <row r="210" spans="1:21" x14ac:dyDescent="0.3">
      <c r="A210" s="351"/>
      <c r="B210" s="363"/>
      <c r="C210" s="364">
        <v>2019</v>
      </c>
      <c r="D210" s="365">
        <v>0</v>
      </c>
      <c r="E210" s="365">
        <v>52</v>
      </c>
      <c r="F210" s="365">
        <v>52</v>
      </c>
      <c r="G210" s="366">
        <v>5735</v>
      </c>
      <c r="H210" s="366">
        <v>15120</v>
      </c>
      <c r="I210" s="366">
        <v>8882</v>
      </c>
      <c r="J210" s="366">
        <v>6552</v>
      </c>
      <c r="K210" s="373">
        <v>36289</v>
      </c>
      <c r="L210" s="366">
        <v>41345</v>
      </c>
      <c r="M210" s="366">
        <v>7434</v>
      </c>
      <c r="N210" s="366">
        <v>48779</v>
      </c>
      <c r="O210" s="366">
        <v>85068</v>
      </c>
      <c r="P210" s="366">
        <v>40252</v>
      </c>
      <c r="Q210" s="365">
        <v>51</v>
      </c>
      <c r="R210" s="351"/>
      <c r="S210" s="357"/>
      <c r="T210" s="376"/>
      <c r="U210" s="351"/>
    </row>
    <row r="211" spans="1:21" x14ac:dyDescent="0.3">
      <c r="A211" s="351"/>
      <c r="B211" s="363"/>
      <c r="C211" s="364">
        <v>2020</v>
      </c>
      <c r="D211" s="365">
        <v>0</v>
      </c>
      <c r="E211" s="365">
        <v>4</v>
      </c>
      <c r="F211" s="365">
        <v>4</v>
      </c>
      <c r="G211" s="366">
        <v>3973</v>
      </c>
      <c r="H211" s="366">
        <v>11641</v>
      </c>
      <c r="I211" s="366">
        <v>7835</v>
      </c>
      <c r="J211" s="366">
        <v>4274</v>
      </c>
      <c r="K211" s="373">
        <v>27723</v>
      </c>
      <c r="L211" s="366">
        <v>30775</v>
      </c>
      <c r="M211" s="366">
        <v>5105</v>
      </c>
      <c r="N211" s="366">
        <v>35880</v>
      </c>
      <c r="O211" s="366">
        <v>63603</v>
      </c>
      <c r="P211" s="366">
        <v>31142</v>
      </c>
      <c r="Q211" s="365">
        <v>45</v>
      </c>
      <c r="R211" s="351"/>
      <c r="S211" s="357"/>
      <c r="T211" s="376"/>
      <c r="U211" s="351"/>
    </row>
    <row r="212" spans="1:21" x14ac:dyDescent="0.3">
      <c r="A212" s="351"/>
      <c r="B212" s="363"/>
      <c r="C212" s="364">
        <v>2021</v>
      </c>
      <c r="D212" s="365">
        <v>0</v>
      </c>
      <c r="E212" s="365">
        <v>0</v>
      </c>
      <c r="F212" s="365">
        <v>0</v>
      </c>
      <c r="G212" s="366">
        <v>7480</v>
      </c>
      <c r="H212" s="366">
        <v>15185</v>
      </c>
      <c r="I212" s="366">
        <v>7849</v>
      </c>
      <c r="J212" s="366">
        <v>6457</v>
      </c>
      <c r="K212" s="373">
        <v>36971</v>
      </c>
      <c r="L212" s="366">
        <v>44695</v>
      </c>
      <c r="M212" s="366">
        <v>7393</v>
      </c>
      <c r="N212" s="366">
        <v>52088</v>
      </c>
      <c r="O212" s="366">
        <v>89059</v>
      </c>
      <c r="P212" s="366">
        <v>39853</v>
      </c>
      <c r="Q212" s="365">
        <v>45</v>
      </c>
      <c r="R212" s="351"/>
      <c r="S212" s="357"/>
      <c r="T212" s="376"/>
      <c r="U212" s="351"/>
    </row>
    <row r="213" spans="1:21" x14ac:dyDescent="0.3">
      <c r="A213" s="351"/>
      <c r="B213" s="363"/>
      <c r="C213" s="364">
        <v>2022</v>
      </c>
      <c r="D213" s="365">
        <v>0</v>
      </c>
      <c r="E213" s="365">
        <v>49</v>
      </c>
      <c r="F213" s="365">
        <v>49</v>
      </c>
      <c r="G213" s="366">
        <v>6820</v>
      </c>
      <c r="H213" s="366">
        <v>14398</v>
      </c>
      <c r="I213" s="366">
        <v>8047</v>
      </c>
      <c r="J213" s="366">
        <v>6486</v>
      </c>
      <c r="K213" s="373">
        <v>35751</v>
      </c>
      <c r="L213" s="366">
        <v>38904</v>
      </c>
      <c r="M213" s="366">
        <v>6962</v>
      </c>
      <c r="N213" s="366">
        <v>45866</v>
      </c>
      <c r="O213" s="366">
        <v>81617</v>
      </c>
      <c r="P213" s="366">
        <v>38747</v>
      </c>
      <c r="Q213" s="365">
        <v>45</v>
      </c>
      <c r="R213" s="351"/>
      <c r="S213" s="357"/>
      <c r="T213" s="376"/>
      <c r="U213" s="351"/>
    </row>
    <row r="214" spans="1:21" x14ac:dyDescent="0.3">
      <c r="A214" s="351"/>
      <c r="B214" s="363"/>
      <c r="C214" s="364">
        <v>2023</v>
      </c>
      <c r="D214" s="365">
        <v>0</v>
      </c>
      <c r="E214" s="365">
        <v>78</v>
      </c>
      <c r="F214" s="365">
        <v>78</v>
      </c>
      <c r="G214" s="366">
        <v>6078</v>
      </c>
      <c r="H214" s="366">
        <v>13008</v>
      </c>
      <c r="I214" s="366">
        <v>8450</v>
      </c>
      <c r="J214" s="366">
        <v>4916</v>
      </c>
      <c r="K214" s="373">
        <v>32452</v>
      </c>
      <c r="L214" s="366">
        <v>41717</v>
      </c>
      <c r="M214" s="366">
        <v>5980</v>
      </c>
      <c r="N214" s="366">
        <v>47697</v>
      </c>
      <c r="O214" s="366">
        <v>80149</v>
      </c>
      <c r="P214" s="366">
        <v>36259</v>
      </c>
      <c r="Q214" s="365">
        <v>45</v>
      </c>
      <c r="R214" s="351"/>
      <c r="S214" s="357"/>
      <c r="T214" s="376"/>
      <c r="U214" s="351"/>
    </row>
    <row r="215" spans="1:21" x14ac:dyDescent="0.3">
      <c r="A215" s="351"/>
      <c r="B215" s="363"/>
      <c r="C215" s="364">
        <v>2024</v>
      </c>
      <c r="D215" s="365">
        <v>0</v>
      </c>
      <c r="E215" s="365">
        <v>17</v>
      </c>
      <c r="F215" s="365">
        <v>17</v>
      </c>
      <c r="G215" s="366">
        <v>5661</v>
      </c>
      <c r="H215" s="366">
        <v>14257</v>
      </c>
      <c r="I215" s="366">
        <v>7380</v>
      </c>
      <c r="J215" s="366">
        <v>5361</v>
      </c>
      <c r="K215" s="373">
        <v>32659</v>
      </c>
      <c r="L215" s="366">
        <v>36981</v>
      </c>
      <c r="M215" s="366">
        <v>6338</v>
      </c>
      <c r="N215" s="366">
        <v>43319</v>
      </c>
      <c r="O215" s="366">
        <v>75978</v>
      </c>
      <c r="P215" s="366">
        <v>35373</v>
      </c>
      <c r="Q215" s="365">
        <v>45</v>
      </c>
      <c r="R215" s="351"/>
      <c r="S215" s="357">
        <f t="shared" ref="S215:S225" si="4">C215-$C$85</f>
        <v>10</v>
      </c>
      <c r="T215" s="376">
        <f>((K215/$K$205)^(1/(C215-$C$205)))-1</f>
        <v>-8.2003156684439249E-3</v>
      </c>
      <c r="U215" s="351"/>
    </row>
    <row r="216" spans="1:21" x14ac:dyDescent="0.3">
      <c r="A216" s="351"/>
      <c r="B216" s="363"/>
      <c r="C216" s="364">
        <v>2025</v>
      </c>
      <c r="D216" s="365">
        <v>0</v>
      </c>
      <c r="E216" s="365">
        <v>0</v>
      </c>
      <c r="F216" s="365">
        <v>0</v>
      </c>
      <c r="G216" s="366">
        <v>5318</v>
      </c>
      <c r="H216" s="366">
        <v>14495</v>
      </c>
      <c r="I216" s="366">
        <v>5723</v>
      </c>
      <c r="J216" s="366">
        <v>4099</v>
      </c>
      <c r="K216" s="373">
        <v>29635</v>
      </c>
      <c r="L216" s="366">
        <v>31844</v>
      </c>
      <c r="M216" s="366">
        <v>3533</v>
      </c>
      <c r="N216" s="366">
        <v>35377</v>
      </c>
      <c r="O216" s="366">
        <v>65012</v>
      </c>
      <c r="P216" s="366">
        <v>32194</v>
      </c>
      <c r="Q216" s="365">
        <v>45</v>
      </c>
      <c r="R216" s="351"/>
      <c r="S216" s="357">
        <f t="shared" si="4"/>
        <v>11</v>
      </c>
      <c r="T216" s="376">
        <f>((K216/$K$205)^(1/(C216-$C$205)))-1</f>
        <v>-1.6186262886926372E-2</v>
      </c>
      <c r="U216" s="351"/>
    </row>
    <row r="217" spans="1:21" x14ac:dyDescent="0.3">
      <c r="A217" s="351"/>
      <c r="B217" s="363"/>
      <c r="C217" s="364">
        <v>2026</v>
      </c>
      <c r="D217" s="365">
        <v>0</v>
      </c>
      <c r="E217" s="365">
        <v>0</v>
      </c>
      <c r="F217" s="365">
        <v>0</v>
      </c>
      <c r="G217" s="366">
        <v>5724</v>
      </c>
      <c r="H217" s="366">
        <v>14290</v>
      </c>
      <c r="I217" s="366">
        <v>6115</v>
      </c>
      <c r="J217" s="366">
        <v>4099</v>
      </c>
      <c r="K217" s="373">
        <v>30228</v>
      </c>
      <c r="L217" s="366">
        <v>32774</v>
      </c>
      <c r="M217" s="366">
        <v>3533</v>
      </c>
      <c r="N217" s="366">
        <v>36307</v>
      </c>
      <c r="O217" s="366">
        <v>66535</v>
      </c>
      <c r="P217" s="366">
        <v>33065</v>
      </c>
      <c r="Q217" s="365">
        <v>45</v>
      </c>
      <c r="R217" s="351"/>
      <c r="S217" s="357">
        <f t="shared" si="4"/>
        <v>12</v>
      </c>
      <c r="T217" s="376">
        <f>((K217/$K$205)^(1/(C217-$C$205)))-1</f>
        <v>-1.3219597781108594E-2</v>
      </c>
      <c r="U217" s="351"/>
    </row>
    <row r="218" spans="1:21" x14ac:dyDescent="0.3">
      <c r="A218" s="351"/>
      <c r="B218" s="363"/>
      <c r="C218" s="364">
        <v>2027</v>
      </c>
      <c r="D218" s="365">
        <v>0</v>
      </c>
      <c r="E218" s="365">
        <v>0</v>
      </c>
      <c r="F218" s="365">
        <v>0</v>
      </c>
      <c r="G218" s="366">
        <v>5724</v>
      </c>
      <c r="H218" s="366">
        <v>14290</v>
      </c>
      <c r="I218" s="366">
        <v>6572</v>
      </c>
      <c r="J218" s="366">
        <v>4099</v>
      </c>
      <c r="K218" s="373">
        <v>30685</v>
      </c>
      <c r="L218" s="366">
        <v>33627</v>
      </c>
      <c r="M218" s="366">
        <v>3533</v>
      </c>
      <c r="N218" s="366">
        <v>37160</v>
      </c>
      <c r="O218" s="366">
        <v>67845</v>
      </c>
      <c r="P218" s="366">
        <v>33683</v>
      </c>
      <c r="Q218" s="365">
        <v>45</v>
      </c>
      <c r="R218" s="351"/>
      <c r="S218" s="357">
        <f t="shared" si="4"/>
        <v>13</v>
      </c>
      <c r="T218" s="376">
        <f>((K218/$K$205)^(1/(C218-$C$205)))-1</f>
        <v>-1.1068120667787174E-2</v>
      </c>
      <c r="U218" s="351"/>
    </row>
    <row r="219" spans="1:21" x14ac:dyDescent="0.3">
      <c r="A219" s="351"/>
      <c r="B219" s="363"/>
      <c r="C219" s="364">
        <v>2028</v>
      </c>
      <c r="D219" s="365">
        <v>0</v>
      </c>
      <c r="E219" s="365">
        <v>0</v>
      </c>
      <c r="F219" s="365">
        <v>0</v>
      </c>
      <c r="G219" s="366">
        <v>5724</v>
      </c>
      <c r="H219" s="366">
        <v>14290</v>
      </c>
      <c r="I219" s="366">
        <v>7146</v>
      </c>
      <c r="J219" s="366">
        <v>4099</v>
      </c>
      <c r="K219" s="373">
        <v>31259</v>
      </c>
      <c r="L219" s="366">
        <v>34441</v>
      </c>
      <c r="M219" s="366">
        <v>3533</v>
      </c>
      <c r="N219" s="366">
        <v>37974</v>
      </c>
      <c r="O219" s="366">
        <v>69233</v>
      </c>
      <c r="P219" s="366">
        <v>34492</v>
      </c>
      <c r="Q219" s="365">
        <v>46</v>
      </c>
      <c r="R219" s="351"/>
      <c r="S219" s="357">
        <f t="shared" si="4"/>
        <v>14</v>
      </c>
      <c r="T219" s="376">
        <f>((K219/$K$205)^(1/(C219-$C$205)))-1</f>
        <v>-8.9705485137507868E-3</v>
      </c>
      <c r="U219" s="351"/>
    </row>
    <row r="220" spans="1:21" x14ac:dyDescent="0.3">
      <c r="A220" s="351"/>
      <c r="B220" s="363"/>
      <c r="C220" s="364">
        <v>2029</v>
      </c>
      <c r="D220" s="365">
        <v>0</v>
      </c>
      <c r="E220" s="365">
        <v>0</v>
      </c>
      <c r="F220" s="365">
        <v>0</v>
      </c>
      <c r="G220" s="366">
        <v>5724</v>
      </c>
      <c r="H220" s="366">
        <v>14290</v>
      </c>
      <c r="I220" s="366">
        <v>7791</v>
      </c>
      <c r="J220" s="366">
        <v>4099</v>
      </c>
      <c r="K220" s="373">
        <v>31904</v>
      </c>
      <c r="L220" s="366">
        <v>35137</v>
      </c>
      <c r="M220" s="366">
        <v>3533</v>
      </c>
      <c r="N220" s="366">
        <v>38670</v>
      </c>
      <c r="O220" s="366">
        <v>70574</v>
      </c>
      <c r="P220" s="366">
        <v>35395</v>
      </c>
      <c r="Q220" s="365">
        <v>46</v>
      </c>
      <c r="R220" s="351"/>
      <c r="S220" s="357">
        <f t="shared" si="4"/>
        <v>15</v>
      </c>
      <c r="T220" s="376">
        <f>((K220/$K$205)^(1/(C220-$C$205)))-1</f>
        <v>-7.0239033937150586E-3</v>
      </c>
      <c r="U220" s="351"/>
    </row>
    <row r="221" spans="1:21" x14ac:dyDescent="0.3">
      <c r="A221" s="351"/>
      <c r="B221" s="363"/>
      <c r="C221" s="364">
        <v>2030</v>
      </c>
      <c r="D221" s="365">
        <v>0</v>
      </c>
      <c r="E221" s="365">
        <v>0</v>
      </c>
      <c r="F221" s="365">
        <v>0</v>
      </c>
      <c r="G221" s="366">
        <v>5724</v>
      </c>
      <c r="H221" s="366">
        <v>14290</v>
      </c>
      <c r="I221" s="366">
        <v>7838</v>
      </c>
      <c r="J221" s="366">
        <v>4099</v>
      </c>
      <c r="K221" s="373">
        <v>31951</v>
      </c>
      <c r="L221" s="366">
        <v>35242</v>
      </c>
      <c r="M221" s="366">
        <v>3533</v>
      </c>
      <c r="N221" s="366">
        <v>38775</v>
      </c>
      <c r="O221" s="366">
        <v>70726</v>
      </c>
      <c r="P221" s="366">
        <v>35561</v>
      </c>
      <c r="Q221" s="365">
        <v>47</v>
      </c>
      <c r="R221" s="351"/>
      <c r="S221" s="357">
        <f t="shared" si="4"/>
        <v>16</v>
      </c>
      <c r="T221" s="376">
        <f>((K221/$K$205)^(1/(C221-$C$205)))-1</f>
        <v>-6.4949548422010839E-3</v>
      </c>
      <c r="U221" s="351"/>
    </row>
    <row r="222" spans="1:21" x14ac:dyDescent="0.3">
      <c r="A222" s="351"/>
      <c r="B222" s="363"/>
      <c r="C222" s="364">
        <v>2031</v>
      </c>
      <c r="D222" s="365">
        <v>0</v>
      </c>
      <c r="E222" s="365">
        <v>0</v>
      </c>
      <c r="F222" s="365">
        <v>0</v>
      </c>
      <c r="G222" s="366">
        <v>5724</v>
      </c>
      <c r="H222" s="366">
        <v>14290</v>
      </c>
      <c r="I222" s="366">
        <v>7885</v>
      </c>
      <c r="J222" s="366">
        <v>4099</v>
      </c>
      <c r="K222" s="373">
        <v>31998</v>
      </c>
      <c r="L222" s="366">
        <v>35347</v>
      </c>
      <c r="M222" s="366">
        <v>3533</v>
      </c>
      <c r="N222" s="366">
        <v>38880</v>
      </c>
      <c r="O222" s="366">
        <v>70878</v>
      </c>
      <c r="P222" s="366">
        <v>35722</v>
      </c>
      <c r="Q222" s="365">
        <v>47</v>
      </c>
      <c r="R222" s="351"/>
      <c r="S222" s="357">
        <f t="shared" si="4"/>
        <v>17</v>
      </c>
      <c r="T222" s="376">
        <f>((K222/$K$205)^(1/(C222-$C$205)))-1</f>
        <v>-6.0281280627273448E-3</v>
      </c>
      <c r="U222" s="351"/>
    </row>
    <row r="223" spans="1:21" x14ac:dyDescent="0.3">
      <c r="A223" s="351"/>
      <c r="B223" s="363"/>
      <c r="C223" s="364">
        <v>2032</v>
      </c>
      <c r="D223" s="365">
        <v>0</v>
      </c>
      <c r="E223" s="365">
        <v>0</v>
      </c>
      <c r="F223" s="365">
        <v>0</v>
      </c>
      <c r="G223" s="366">
        <v>5724</v>
      </c>
      <c r="H223" s="366">
        <v>14290</v>
      </c>
      <c r="I223" s="366">
        <v>7933</v>
      </c>
      <c r="J223" s="366">
        <v>4099</v>
      </c>
      <c r="K223" s="373">
        <v>32046</v>
      </c>
      <c r="L223" s="366">
        <v>35453</v>
      </c>
      <c r="M223" s="366">
        <v>3533</v>
      </c>
      <c r="N223" s="366">
        <v>38986</v>
      </c>
      <c r="O223" s="366">
        <v>71032</v>
      </c>
      <c r="P223" s="366">
        <v>35887</v>
      </c>
      <c r="Q223" s="365">
        <v>47</v>
      </c>
      <c r="R223" s="351"/>
      <c r="S223" s="357">
        <f t="shared" si="4"/>
        <v>18</v>
      </c>
      <c r="T223" s="376">
        <f>((K223/$K$205)^(1/(C223-$C$205)))-1</f>
        <v>-5.6113820531359382E-3</v>
      </c>
      <c r="U223" s="351"/>
    </row>
    <row r="224" spans="1:21" x14ac:dyDescent="0.3">
      <c r="A224" s="351"/>
      <c r="B224" s="363"/>
      <c r="C224" s="364">
        <v>2033</v>
      </c>
      <c r="D224" s="365">
        <v>0</v>
      </c>
      <c r="E224" s="365">
        <v>0</v>
      </c>
      <c r="F224" s="365">
        <v>0</v>
      </c>
      <c r="G224" s="366">
        <v>5724</v>
      </c>
      <c r="H224" s="366">
        <v>14290</v>
      </c>
      <c r="I224" s="366">
        <v>7981</v>
      </c>
      <c r="J224" s="366">
        <v>4099</v>
      </c>
      <c r="K224" s="373">
        <v>32094</v>
      </c>
      <c r="L224" s="366">
        <v>35559</v>
      </c>
      <c r="M224" s="366">
        <v>3533</v>
      </c>
      <c r="N224" s="366">
        <v>39092</v>
      </c>
      <c r="O224" s="366">
        <v>71186</v>
      </c>
      <c r="P224" s="366">
        <v>36055</v>
      </c>
      <c r="Q224" s="365">
        <v>48</v>
      </c>
      <c r="R224" s="351"/>
      <c r="S224" s="357">
        <f t="shared" si="4"/>
        <v>19</v>
      </c>
      <c r="T224" s="376">
        <f>((K224/$K$205)^(1/(C224-$C$205)))-1</f>
        <v>-5.2384734000915367E-3</v>
      </c>
      <c r="U224" s="351"/>
    </row>
    <row r="225" spans="1:21" x14ac:dyDescent="0.3">
      <c r="A225" s="351"/>
      <c r="B225" s="363"/>
      <c r="C225" s="364">
        <v>2034</v>
      </c>
      <c r="D225" s="365">
        <v>0</v>
      </c>
      <c r="E225" s="365">
        <v>0</v>
      </c>
      <c r="F225" s="365">
        <v>0</v>
      </c>
      <c r="G225" s="366">
        <v>5724</v>
      </c>
      <c r="H225" s="366">
        <v>14290</v>
      </c>
      <c r="I225" s="366">
        <v>8029</v>
      </c>
      <c r="J225" s="366">
        <v>4099</v>
      </c>
      <c r="K225" s="373">
        <v>32142</v>
      </c>
      <c r="L225" s="366">
        <v>35665</v>
      </c>
      <c r="M225" s="366">
        <v>3533</v>
      </c>
      <c r="N225" s="366">
        <v>39198</v>
      </c>
      <c r="O225" s="366">
        <v>71340</v>
      </c>
      <c r="P225" s="366">
        <v>36227</v>
      </c>
      <c r="Q225" s="365">
        <v>48</v>
      </c>
      <c r="R225" s="351"/>
      <c r="S225" s="357">
        <f t="shared" si="4"/>
        <v>20</v>
      </c>
      <c r="T225" s="376">
        <f>((K225/$K$205)^(1/(C225-$C$205)))-1</f>
        <v>-4.902847339616212E-3</v>
      </c>
      <c r="U225" s="351"/>
    </row>
    <row r="226" spans="1:21" x14ac:dyDescent="0.3">
      <c r="A226" s="351"/>
      <c r="B226" s="351"/>
      <c r="C226" s="351"/>
      <c r="D226" s="351"/>
      <c r="E226" s="351"/>
      <c r="F226" s="351"/>
      <c r="G226" s="351"/>
      <c r="H226" s="351"/>
      <c r="I226" s="351"/>
      <c r="J226" s="351"/>
      <c r="K226" s="374"/>
      <c r="L226" s="351"/>
      <c r="M226" s="351"/>
      <c r="N226" s="351"/>
      <c r="O226" s="351"/>
      <c r="P226" s="351"/>
      <c r="Q226" s="351"/>
      <c r="R226" s="351"/>
      <c r="S226" s="375"/>
      <c r="T226" s="375"/>
      <c r="U226" s="351"/>
    </row>
  </sheetData>
  <mergeCells count="73">
    <mergeCell ref="J17:Q29"/>
    <mergeCell ref="J4:Q16"/>
    <mergeCell ref="B2:Q3"/>
    <mergeCell ref="J69:Q81"/>
    <mergeCell ref="J56:Q68"/>
    <mergeCell ref="J43:Q55"/>
    <mergeCell ref="J30:Q42"/>
    <mergeCell ref="M203:M204"/>
    <mergeCell ref="N203:N204"/>
    <mergeCell ref="B203:B225"/>
    <mergeCell ref="B179:B201"/>
    <mergeCell ref="B155:B177"/>
    <mergeCell ref="B131:B153"/>
    <mergeCell ref="E203:E204"/>
    <mergeCell ref="F203:F204"/>
    <mergeCell ref="I203:I204"/>
    <mergeCell ref="J203:J204"/>
    <mergeCell ref="K203:K204"/>
    <mergeCell ref="L203:L204"/>
    <mergeCell ref="M155:M156"/>
    <mergeCell ref="N155:N156"/>
    <mergeCell ref="E179:E180"/>
    <mergeCell ref="F179:F180"/>
    <mergeCell ref="I179:I180"/>
    <mergeCell ref="J179:J180"/>
    <mergeCell ref="K179:K180"/>
    <mergeCell ref="L179:L180"/>
    <mergeCell ref="M179:M180"/>
    <mergeCell ref="N179:N180"/>
    <mergeCell ref="E155:E156"/>
    <mergeCell ref="F155:F156"/>
    <mergeCell ref="I155:I156"/>
    <mergeCell ref="J155:J156"/>
    <mergeCell ref="K155:K156"/>
    <mergeCell ref="L155:L156"/>
    <mergeCell ref="B83:B105"/>
    <mergeCell ref="B107:B129"/>
    <mergeCell ref="E131:E132"/>
    <mergeCell ref="F131:F132"/>
    <mergeCell ref="I131:I132"/>
    <mergeCell ref="J131:J132"/>
    <mergeCell ref="M107:M108"/>
    <mergeCell ref="N107:N108"/>
    <mergeCell ref="K131:K132"/>
    <mergeCell ref="L131:L132"/>
    <mergeCell ref="M131:M132"/>
    <mergeCell ref="N131:N132"/>
    <mergeCell ref="N83:N84"/>
    <mergeCell ref="E107:E108"/>
    <mergeCell ref="F107:F108"/>
    <mergeCell ref="I107:I108"/>
    <mergeCell ref="J107:J108"/>
    <mergeCell ref="K107:K108"/>
    <mergeCell ref="L107:L108"/>
    <mergeCell ref="E83:E84"/>
    <mergeCell ref="F83:F84"/>
    <mergeCell ref="I83:I84"/>
    <mergeCell ref="J83:J84"/>
    <mergeCell ref="K83:K84"/>
    <mergeCell ref="L83:L84"/>
    <mergeCell ref="M83:M84"/>
    <mergeCell ref="B43:B55"/>
    <mergeCell ref="B56:B68"/>
    <mergeCell ref="B69:B81"/>
    <mergeCell ref="C43:I55"/>
    <mergeCell ref="C56:I68"/>
    <mergeCell ref="C69:I81"/>
    <mergeCell ref="C4:I16"/>
    <mergeCell ref="C17:I29"/>
    <mergeCell ref="C30:I42"/>
    <mergeCell ref="B4:B16"/>
    <mergeCell ref="B17:B29"/>
    <mergeCell ref="B30:B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2BA0A-BA86-4F36-884C-5802C7520F42}">
  <dimension ref="A1:AD37"/>
  <sheetViews>
    <sheetView zoomScale="94" zoomScaleNormal="94" workbookViewId="0">
      <selection activeCell="K20" sqref="K20:O37"/>
    </sheetView>
  </sheetViews>
  <sheetFormatPr defaultRowHeight="14.4" x14ac:dyDescent="0.3"/>
  <sheetData>
    <row r="1" spans="1:30" ht="15" thickBot="1" x14ac:dyDescent="0.35">
      <c r="A1" s="337" t="s">
        <v>329</v>
      </c>
      <c r="B1" s="338"/>
      <c r="C1" s="339">
        <v>346</v>
      </c>
      <c r="D1" s="315"/>
      <c r="E1" s="316"/>
      <c r="F1" s="345" t="s">
        <v>329</v>
      </c>
      <c r="G1" s="346"/>
      <c r="H1" s="314">
        <v>364</v>
      </c>
      <c r="I1" s="315"/>
      <c r="J1" s="316"/>
      <c r="K1" s="343" t="s">
        <v>329</v>
      </c>
      <c r="L1" s="344"/>
      <c r="M1" s="314">
        <v>378</v>
      </c>
      <c r="N1" s="315"/>
      <c r="O1" s="316"/>
      <c r="P1" s="331" t="s">
        <v>329</v>
      </c>
      <c r="Q1" s="332"/>
      <c r="R1" s="314">
        <v>1017</v>
      </c>
      <c r="S1" s="315"/>
      <c r="T1" s="333"/>
      <c r="U1" s="312" t="s">
        <v>329</v>
      </c>
      <c r="V1" s="313"/>
      <c r="W1" s="314">
        <v>1356</v>
      </c>
      <c r="X1" s="315"/>
      <c r="Y1" s="316"/>
      <c r="Z1" s="317" t="s">
        <v>329</v>
      </c>
      <c r="AA1" s="318"/>
      <c r="AB1" s="314">
        <v>1863</v>
      </c>
      <c r="AC1" s="315"/>
      <c r="AD1" s="316"/>
    </row>
    <row r="2" spans="1:30" ht="15" thickBot="1" x14ac:dyDescent="0.35">
      <c r="A2" s="340" t="s">
        <v>330</v>
      </c>
      <c r="B2" s="341"/>
      <c r="C2" s="342" t="s">
        <v>1</v>
      </c>
      <c r="D2" s="322"/>
      <c r="E2" s="326"/>
      <c r="F2" s="347" t="s">
        <v>330</v>
      </c>
      <c r="G2" s="348"/>
      <c r="H2" s="321" t="s">
        <v>0</v>
      </c>
      <c r="I2" s="322"/>
      <c r="J2" s="326"/>
      <c r="K2" s="329" t="s">
        <v>330</v>
      </c>
      <c r="L2" s="330"/>
      <c r="M2" s="322" t="s">
        <v>5</v>
      </c>
      <c r="N2" s="322"/>
      <c r="O2" s="326"/>
      <c r="P2" s="319" t="s">
        <v>330</v>
      </c>
      <c r="Q2" s="320"/>
      <c r="R2" s="321" t="s">
        <v>4</v>
      </c>
      <c r="S2" s="322"/>
      <c r="T2" s="323"/>
      <c r="U2" s="324" t="s">
        <v>330</v>
      </c>
      <c r="V2" s="325"/>
      <c r="W2" s="321" t="s">
        <v>3</v>
      </c>
      <c r="X2" s="322"/>
      <c r="Y2" s="326"/>
      <c r="Z2" s="327" t="s">
        <v>330</v>
      </c>
      <c r="AA2" s="328"/>
      <c r="AB2" s="321" t="s">
        <v>2</v>
      </c>
      <c r="AC2" s="322"/>
      <c r="AD2" s="326"/>
    </row>
    <row r="3" spans="1:30" x14ac:dyDescent="0.3">
      <c r="A3" s="300" t="e" vm="3">
        <v>#VALUE!</v>
      </c>
      <c r="B3" s="301"/>
      <c r="C3" s="301"/>
      <c r="D3" s="301"/>
      <c r="E3" s="334"/>
      <c r="F3" s="300" t="e" vm="4">
        <v>#VALUE!</v>
      </c>
      <c r="G3" s="301"/>
      <c r="H3" s="301"/>
      <c r="I3" s="301"/>
      <c r="J3" s="302"/>
      <c r="K3" s="309" t="e" vm="5">
        <v>#VALUE!</v>
      </c>
      <c r="L3" s="301"/>
      <c r="M3" s="301"/>
      <c r="N3" s="301"/>
      <c r="O3" s="302"/>
      <c r="P3" s="300" t="e" vm="6">
        <v>#VALUE!</v>
      </c>
      <c r="Q3" s="301"/>
      <c r="R3" s="301"/>
      <c r="S3" s="301"/>
      <c r="T3" s="334"/>
      <c r="U3" s="300" t="e" vm="7">
        <v>#VALUE!</v>
      </c>
      <c r="V3" s="301"/>
      <c r="W3" s="301"/>
      <c r="X3" s="301"/>
      <c r="Y3" s="302"/>
      <c r="Z3" s="309" t="e" vm="8">
        <v>#VALUE!</v>
      </c>
      <c r="AA3" s="301"/>
      <c r="AB3" s="301"/>
      <c r="AC3" s="301"/>
      <c r="AD3" s="302"/>
    </row>
    <row r="4" spans="1:30" x14ac:dyDescent="0.3">
      <c r="A4" s="303"/>
      <c r="B4" s="304"/>
      <c r="C4" s="304"/>
      <c r="D4" s="304"/>
      <c r="E4" s="335"/>
      <c r="F4" s="303"/>
      <c r="G4" s="304"/>
      <c r="H4" s="304"/>
      <c r="I4" s="304"/>
      <c r="J4" s="305"/>
      <c r="K4" s="310"/>
      <c r="L4" s="304"/>
      <c r="M4" s="304"/>
      <c r="N4" s="304"/>
      <c r="O4" s="305"/>
      <c r="P4" s="303"/>
      <c r="Q4" s="304"/>
      <c r="R4" s="304"/>
      <c r="S4" s="304"/>
      <c r="T4" s="335"/>
      <c r="U4" s="303"/>
      <c r="V4" s="304"/>
      <c r="W4" s="304"/>
      <c r="X4" s="304"/>
      <c r="Y4" s="305"/>
      <c r="Z4" s="310"/>
      <c r="AA4" s="304"/>
      <c r="AB4" s="304"/>
      <c r="AC4" s="304"/>
      <c r="AD4" s="305"/>
    </row>
    <row r="5" spans="1:30" x14ac:dyDescent="0.3">
      <c r="A5" s="303"/>
      <c r="B5" s="304"/>
      <c r="C5" s="304"/>
      <c r="D5" s="304"/>
      <c r="E5" s="335"/>
      <c r="F5" s="303"/>
      <c r="G5" s="304"/>
      <c r="H5" s="304"/>
      <c r="I5" s="304"/>
      <c r="J5" s="305"/>
      <c r="K5" s="310"/>
      <c r="L5" s="304"/>
      <c r="M5" s="304"/>
      <c r="N5" s="304"/>
      <c r="O5" s="305"/>
      <c r="P5" s="303"/>
      <c r="Q5" s="304"/>
      <c r="R5" s="304"/>
      <c r="S5" s="304"/>
      <c r="T5" s="335"/>
      <c r="U5" s="303"/>
      <c r="V5" s="304"/>
      <c r="W5" s="304"/>
      <c r="X5" s="304"/>
      <c r="Y5" s="305"/>
      <c r="Z5" s="310"/>
      <c r="AA5" s="304"/>
      <c r="AB5" s="304"/>
      <c r="AC5" s="304"/>
      <c r="AD5" s="305"/>
    </row>
    <row r="6" spans="1:30" x14ac:dyDescent="0.3">
      <c r="A6" s="303"/>
      <c r="B6" s="304"/>
      <c r="C6" s="304"/>
      <c r="D6" s="304"/>
      <c r="E6" s="335"/>
      <c r="F6" s="303"/>
      <c r="G6" s="304"/>
      <c r="H6" s="304"/>
      <c r="I6" s="304"/>
      <c r="J6" s="305"/>
      <c r="K6" s="310"/>
      <c r="L6" s="304"/>
      <c r="M6" s="304"/>
      <c r="N6" s="304"/>
      <c r="O6" s="305"/>
      <c r="P6" s="303"/>
      <c r="Q6" s="304"/>
      <c r="R6" s="304"/>
      <c r="S6" s="304"/>
      <c r="T6" s="335"/>
      <c r="U6" s="303"/>
      <c r="V6" s="304"/>
      <c r="W6" s="304"/>
      <c r="X6" s="304"/>
      <c r="Y6" s="305"/>
      <c r="Z6" s="310"/>
      <c r="AA6" s="304"/>
      <c r="AB6" s="304"/>
      <c r="AC6" s="304"/>
      <c r="AD6" s="305"/>
    </row>
    <row r="7" spans="1:30" x14ac:dyDescent="0.3">
      <c r="A7" s="303"/>
      <c r="B7" s="304"/>
      <c r="C7" s="304"/>
      <c r="D7" s="304"/>
      <c r="E7" s="335"/>
      <c r="F7" s="303"/>
      <c r="G7" s="304"/>
      <c r="H7" s="304"/>
      <c r="I7" s="304"/>
      <c r="J7" s="305"/>
      <c r="K7" s="310"/>
      <c r="L7" s="304"/>
      <c r="M7" s="304"/>
      <c r="N7" s="304"/>
      <c r="O7" s="305"/>
      <c r="P7" s="303"/>
      <c r="Q7" s="304"/>
      <c r="R7" s="304"/>
      <c r="S7" s="304"/>
      <c r="T7" s="335"/>
      <c r="U7" s="303"/>
      <c r="V7" s="304"/>
      <c r="W7" s="304"/>
      <c r="X7" s="304"/>
      <c r="Y7" s="305"/>
      <c r="Z7" s="310"/>
      <c r="AA7" s="304"/>
      <c r="AB7" s="304"/>
      <c r="AC7" s="304"/>
      <c r="AD7" s="305"/>
    </row>
    <row r="8" spans="1:30" x14ac:dyDescent="0.3">
      <c r="A8" s="303"/>
      <c r="B8" s="304"/>
      <c r="C8" s="304"/>
      <c r="D8" s="304"/>
      <c r="E8" s="335"/>
      <c r="F8" s="303"/>
      <c r="G8" s="304"/>
      <c r="H8" s="304"/>
      <c r="I8" s="304"/>
      <c r="J8" s="305"/>
      <c r="K8" s="310"/>
      <c r="L8" s="304"/>
      <c r="M8" s="304"/>
      <c r="N8" s="304"/>
      <c r="O8" s="305"/>
      <c r="P8" s="303"/>
      <c r="Q8" s="304"/>
      <c r="R8" s="304"/>
      <c r="S8" s="304"/>
      <c r="T8" s="335"/>
      <c r="U8" s="303"/>
      <c r="V8" s="304"/>
      <c r="W8" s="304"/>
      <c r="X8" s="304"/>
      <c r="Y8" s="305"/>
      <c r="Z8" s="310"/>
      <c r="AA8" s="304"/>
      <c r="AB8" s="304"/>
      <c r="AC8" s="304"/>
      <c r="AD8" s="305"/>
    </row>
    <row r="9" spans="1:30" x14ac:dyDescent="0.3">
      <c r="A9" s="303"/>
      <c r="B9" s="304"/>
      <c r="C9" s="304"/>
      <c r="D9" s="304"/>
      <c r="E9" s="335"/>
      <c r="F9" s="303"/>
      <c r="G9" s="304"/>
      <c r="H9" s="304"/>
      <c r="I9" s="304"/>
      <c r="J9" s="305"/>
      <c r="K9" s="310"/>
      <c r="L9" s="304"/>
      <c r="M9" s="304"/>
      <c r="N9" s="304"/>
      <c r="O9" s="305"/>
      <c r="P9" s="303"/>
      <c r="Q9" s="304"/>
      <c r="R9" s="304"/>
      <c r="S9" s="304"/>
      <c r="T9" s="335"/>
      <c r="U9" s="303"/>
      <c r="V9" s="304"/>
      <c r="W9" s="304"/>
      <c r="X9" s="304"/>
      <c r="Y9" s="305"/>
      <c r="Z9" s="310"/>
      <c r="AA9" s="304"/>
      <c r="AB9" s="304"/>
      <c r="AC9" s="304"/>
      <c r="AD9" s="305"/>
    </row>
    <row r="10" spans="1:30" x14ac:dyDescent="0.3">
      <c r="A10" s="303"/>
      <c r="B10" s="304"/>
      <c r="C10" s="304"/>
      <c r="D10" s="304"/>
      <c r="E10" s="335"/>
      <c r="F10" s="303"/>
      <c r="G10" s="304"/>
      <c r="H10" s="304"/>
      <c r="I10" s="304"/>
      <c r="J10" s="305"/>
      <c r="K10" s="310"/>
      <c r="L10" s="304"/>
      <c r="M10" s="304"/>
      <c r="N10" s="304"/>
      <c r="O10" s="305"/>
      <c r="P10" s="303"/>
      <c r="Q10" s="304"/>
      <c r="R10" s="304"/>
      <c r="S10" s="304"/>
      <c r="T10" s="335"/>
      <c r="U10" s="303"/>
      <c r="V10" s="304"/>
      <c r="W10" s="304"/>
      <c r="X10" s="304"/>
      <c r="Y10" s="305"/>
      <c r="Z10" s="310"/>
      <c r="AA10" s="304"/>
      <c r="AB10" s="304"/>
      <c r="AC10" s="304"/>
      <c r="AD10" s="305"/>
    </row>
    <row r="11" spans="1:30" x14ac:dyDescent="0.3">
      <c r="A11" s="303"/>
      <c r="B11" s="304"/>
      <c r="C11" s="304"/>
      <c r="D11" s="304"/>
      <c r="E11" s="335"/>
      <c r="F11" s="303"/>
      <c r="G11" s="304"/>
      <c r="H11" s="304"/>
      <c r="I11" s="304"/>
      <c r="J11" s="305"/>
      <c r="K11" s="310"/>
      <c r="L11" s="304"/>
      <c r="M11" s="304"/>
      <c r="N11" s="304"/>
      <c r="O11" s="305"/>
      <c r="P11" s="303"/>
      <c r="Q11" s="304"/>
      <c r="R11" s="304"/>
      <c r="S11" s="304"/>
      <c r="T11" s="335"/>
      <c r="U11" s="303"/>
      <c r="V11" s="304"/>
      <c r="W11" s="304"/>
      <c r="X11" s="304"/>
      <c r="Y11" s="305"/>
      <c r="Z11" s="310"/>
      <c r="AA11" s="304"/>
      <c r="AB11" s="304"/>
      <c r="AC11" s="304"/>
      <c r="AD11" s="305"/>
    </row>
    <row r="12" spans="1:30" x14ac:dyDescent="0.3">
      <c r="A12" s="303"/>
      <c r="B12" s="304"/>
      <c r="C12" s="304"/>
      <c r="D12" s="304"/>
      <c r="E12" s="335"/>
      <c r="F12" s="303"/>
      <c r="G12" s="304"/>
      <c r="H12" s="304"/>
      <c r="I12" s="304"/>
      <c r="J12" s="305"/>
      <c r="K12" s="310"/>
      <c r="L12" s="304"/>
      <c r="M12" s="304"/>
      <c r="N12" s="304"/>
      <c r="O12" s="305"/>
      <c r="P12" s="303"/>
      <c r="Q12" s="304"/>
      <c r="R12" s="304"/>
      <c r="S12" s="304"/>
      <c r="T12" s="335"/>
      <c r="U12" s="303"/>
      <c r="V12" s="304"/>
      <c r="W12" s="304"/>
      <c r="X12" s="304"/>
      <c r="Y12" s="305"/>
      <c r="Z12" s="310"/>
      <c r="AA12" s="304"/>
      <c r="AB12" s="304"/>
      <c r="AC12" s="304"/>
      <c r="AD12" s="305"/>
    </row>
    <row r="13" spans="1:30" x14ac:dyDescent="0.3">
      <c r="A13" s="303"/>
      <c r="B13" s="304"/>
      <c r="C13" s="304"/>
      <c r="D13" s="304"/>
      <c r="E13" s="335"/>
      <c r="F13" s="303"/>
      <c r="G13" s="304"/>
      <c r="H13" s="304"/>
      <c r="I13" s="304"/>
      <c r="J13" s="305"/>
      <c r="K13" s="310"/>
      <c r="L13" s="304"/>
      <c r="M13" s="304"/>
      <c r="N13" s="304"/>
      <c r="O13" s="305"/>
      <c r="P13" s="303"/>
      <c r="Q13" s="304"/>
      <c r="R13" s="304"/>
      <c r="S13" s="304"/>
      <c r="T13" s="335"/>
      <c r="U13" s="303"/>
      <c r="V13" s="304"/>
      <c r="W13" s="304"/>
      <c r="X13" s="304"/>
      <c r="Y13" s="305"/>
      <c r="Z13" s="310"/>
      <c r="AA13" s="304"/>
      <c r="AB13" s="304"/>
      <c r="AC13" s="304"/>
      <c r="AD13" s="305"/>
    </row>
    <row r="14" spans="1:30" x14ac:dyDescent="0.3">
      <c r="A14" s="303"/>
      <c r="B14" s="304"/>
      <c r="C14" s="304"/>
      <c r="D14" s="304"/>
      <c r="E14" s="335"/>
      <c r="F14" s="303"/>
      <c r="G14" s="304"/>
      <c r="H14" s="304"/>
      <c r="I14" s="304"/>
      <c r="J14" s="305"/>
      <c r="K14" s="310"/>
      <c r="L14" s="304"/>
      <c r="M14" s="304"/>
      <c r="N14" s="304"/>
      <c r="O14" s="305"/>
      <c r="P14" s="303"/>
      <c r="Q14" s="304"/>
      <c r="R14" s="304"/>
      <c r="S14" s="304"/>
      <c r="T14" s="335"/>
      <c r="U14" s="303"/>
      <c r="V14" s="304"/>
      <c r="W14" s="304"/>
      <c r="X14" s="304"/>
      <c r="Y14" s="305"/>
      <c r="Z14" s="310"/>
      <c r="AA14" s="304"/>
      <c r="AB14" s="304"/>
      <c r="AC14" s="304"/>
      <c r="AD14" s="305"/>
    </row>
    <row r="15" spans="1:30" x14ac:dyDescent="0.3">
      <c r="A15" s="303"/>
      <c r="B15" s="304"/>
      <c r="C15" s="304"/>
      <c r="D15" s="304"/>
      <c r="E15" s="335"/>
      <c r="F15" s="303"/>
      <c r="G15" s="304"/>
      <c r="H15" s="304"/>
      <c r="I15" s="304"/>
      <c r="J15" s="305"/>
      <c r="K15" s="310"/>
      <c r="L15" s="304"/>
      <c r="M15" s="304"/>
      <c r="N15" s="304"/>
      <c r="O15" s="305"/>
      <c r="P15" s="303"/>
      <c r="Q15" s="304"/>
      <c r="R15" s="304"/>
      <c r="S15" s="304"/>
      <c r="T15" s="335"/>
      <c r="U15" s="303"/>
      <c r="V15" s="304"/>
      <c r="W15" s="304"/>
      <c r="X15" s="304"/>
      <c r="Y15" s="305"/>
      <c r="Z15" s="310"/>
      <c r="AA15" s="304"/>
      <c r="AB15" s="304"/>
      <c r="AC15" s="304"/>
      <c r="AD15" s="305"/>
    </row>
    <row r="16" spans="1:30" x14ac:dyDescent="0.3">
      <c r="A16" s="303"/>
      <c r="B16" s="304"/>
      <c r="C16" s="304"/>
      <c r="D16" s="304"/>
      <c r="E16" s="335"/>
      <c r="F16" s="303"/>
      <c r="G16" s="304"/>
      <c r="H16" s="304"/>
      <c r="I16" s="304"/>
      <c r="J16" s="305"/>
      <c r="K16" s="310"/>
      <c r="L16" s="304"/>
      <c r="M16" s="304"/>
      <c r="N16" s="304"/>
      <c r="O16" s="305"/>
      <c r="P16" s="303"/>
      <c r="Q16" s="304"/>
      <c r="R16" s="304"/>
      <c r="S16" s="304"/>
      <c r="T16" s="335"/>
      <c r="U16" s="303"/>
      <c r="V16" s="304"/>
      <c r="W16" s="304"/>
      <c r="X16" s="304"/>
      <c r="Y16" s="305"/>
      <c r="Z16" s="310"/>
      <c r="AA16" s="304"/>
      <c r="AB16" s="304"/>
      <c r="AC16" s="304"/>
      <c r="AD16" s="305"/>
    </row>
    <row r="17" spans="1:30" x14ac:dyDescent="0.3">
      <c r="A17" s="303"/>
      <c r="B17" s="304"/>
      <c r="C17" s="304"/>
      <c r="D17" s="304"/>
      <c r="E17" s="335"/>
      <c r="F17" s="303"/>
      <c r="G17" s="304"/>
      <c r="H17" s="304"/>
      <c r="I17" s="304"/>
      <c r="J17" s="305"/>
      <c r="K17" s="310"/>
      <c r="L17" s="304"/>
      <c r="M17" s="304"/>
      <c r="N17" s="304"/>
      <c r="O17" s="305"/>
      <c r="P17" s="303"/>
      <c r="Q17" s="304"/>
      <c r="R17" s="304"/>
      <c r="S17" s="304"/>
      <c r="T17" s="335"/>
      <c r="U17" s="303"/>
      <c r="V17" s="304"/>
      <c r="W17" s="304"/>
      <c r="X17" s="304"/>
      <c r="Y17" s="305"/>
      <c r="Z17" s="310"/>
      <c r="AA17" s="304"/>
      <c r="AB17" s="304"/>
      <c r="AC17" s="304"/>
      <c r="AD17" s="305"/>
    </row>
    <row r="18" spans="1:30" x14ac:dyDescent="0.3">
      <c r="A18" s="303"/>
      <c r="B18" s="304"/>
      <c r="C18" s="304"/>
      <c r="D18" s="304"/>
      <c r="E18" s="335"/>
      <c r="F18" s="303"/>
      <c r="G18" s="304"/>
      <c r="H18" s="304"/>
      <c r="I18" s="304"/>
      <c r="J18" s="305"/>
      <c r="K18" s="310"/>
      <c r="L18" s="304"/>
      <c r="M18" s="304"/>
      <c r="N18" s="304"/>
      <c r="O18" s="305"/>
      <c r="P18" s="303"/>
      <c r="Q18" s="304"/>
      <c r="R18" s="304"/>
      <c r="S18" s="304"/>
      <c r="T18" s="335"/>
      <c r="U18" s="303"/>
      <c r="V18" s="304"/>
      <c r="W18" s="304"/>
      <c r="X18" s="304"/>
      <c r="Y18" s="305"/>
      <c r="Z18" s="310"/>
      <c r="AA18" s="304"/>
      <c r="AB18" s="304"/>
      <c r="AC18" s="304"/>
      <c r="AD18" s="305"/>
    </row>
    <row r="19" spans="1:30" ht="15" thickBot="1" x14ac:dyDescent="0.35">
      <c r="A19" s="306"/>
      <c r="B19" s="307"/>
      <c r="C19" s="307"/>
      <c r="D19" s="307"/>
      <c r="E19" s="336"/>
      <c r="F19" s="306"/>
      <c r="G19" s="307"/>
      <c r="H19" s="307"/>
      <c r="I19" s="307"/>
      <c r="J19" s="308"/>
      <c r="K19" s="311"/>
      <c r="L19" s="307"/>
      <c r="M19" s="307"/>
      <c r="N19" s="307"/>
      <c r="O19" s="308"/>
      <c r="P19" s="306"/>
      <c r="Q19" s="307"/>
      <c r="R19" s="307"/>
      <c r="S19" s="307"/>
      <c r="T19" s="336"/>
      <c r="U19" s="306"/>
      <c r="V19" s="307"/>
      <c r="W19" s="307"/>
      <c r="X19" s="307"/>
      <c r="Y19" s="308"/>
      <c r="Z19" s="311"/>
      <c r="AA19" s="307"/>
      <c r="AB19" s="307"/>
      <c r="AC19" s="307"/>
      <c r="AD19" s="308"/>
    </row>
    <row r="20" spans="1:30" x14ac:dyDescent="0.3">
      <c r="A20" s="291"/>
      <c r="B20" s="292"/>
      <c r="C20" s="292"/>
      <c r="D20" s="292"/>
      <c r="E20" s="292"/>
      <c r="F20" s="291"/>
      <c r="G20" s="292"/>
      <c r="H20" s="292"/>
      <c r="I20" s="292"/>
      <c r="J20" s="293"/>
      <c r="K20" s="291"/>
      <c r="L20" s="292"/>
      <c r="M20" s="292"/>
      <c r="N20" s="292"/>
      <c r="O20" s="293"/>
      <c r="P20" s="291" t="e" vm="9">
        <v>#VALUE!</v>
      </c>
      <c r="Q20" s="292"/>
      <c r="R20" s="292"/>
      <c r="S20" s="292"/>
      <c r="T20" s="293"/>
      <c r="U20" s="291"/>
      <c r="V20" s="292"/>
      <c r="W20" s="292"/>
      <c r="X20" s="292"/>
      <c r="Y20" s="293"/>
      <c r="Z20" s="291"/>
      <c r="AA20" s="292"/>
      <c r="AB20" s="292"/>
      <c r="AC20" s="292"/>
      <c r="AD20" s="293"/>
    </row>
    <row r="21" spans="1:30" x14ac:dyDescent="0.3">
      <c r="A21" s="294"/>
      <c r="B21" s="295"/>
      <c r="C21" s="295"/>
      <c r="D21" s="295"/>
      <c r="E21" s="295"/>
      <c r="F21" s="294"/>
      <c r="G21" s="295"/>
      <c r="H21" s="295"/>
      <c r="I21" s="295"/>
      <c r="J21" s="296"/>
      <c r="K21" s="294"/>
      <c r="L21" s="295"/>
      <c r="M21" s="295"/>
      <c r="N21" s="295"/>
      <c r="O21" s="296"/>
      <c r="P21" s="294"/>
      <c r="Q21" s="295"/>
      <c r="R21" s="295"/>
      <c r="S21" s="295"/>
      <c r="T21" s="296"/>
      <c r="U21" s="294"/>
      <c r="V21" s="295"/>
      <c r="W21" s="295"/>
      <c r="X21" s="295"/>
      <c r="Y21" s="296"/>
      <c r="Z21" s="294"/>
      <c r="AA21" s="295"/>
      <c r="AB21" s="295"/>
      <c r="AC21" s="295"/>
      <c r="AD21" s="296"/>
    </row>
    <row r="22" spans="1:30" x14ac:dyDescent="0.3">
      <c r="A22" s="294"/>
      <c r="B22" s="295"/>
      <c r="C22" s="295"/>
      <c r="D22" s="295"/>
      <c r="E22" s="295"/>
      <c r="F22" s="294"/>
      <c r="G22" s="295"/>
      <c r="H22" s="295"/>
      <c r="I22" s="295"/>
      <c r="J22" s="296"/>
      <c r="K22" s="294"/>
      <c r="L22" s="295"/>
      <c r="M22" s="295"/>
      <c r="N22" s="295"/>
      <c r="O22" s="296"/>
      <c r="P22" s="294"/>
      <c r="Q22" s="295"/>
      <c r="R22" s="295"/>
      <c r="S22" s="295"/>
      <c r="T22" s="296"/>
      <c r="U22" s="294"/>
      <c r="V22" s="295"/>
      <c r="W22" s="295"/>
      <c r="X22" s="295"/>
      <c r="Y22" s="296"/>
      <c r="Z22" s="294"/>
      <c r="AA22" s="295"/>
      <c r="AB22" s="295"/>
      <c r="AC22" s="295"/>
      <c r="AD22" s="296"/>
    </row>
    <row r="23" spans="1:30" x14ac:dyDescent="0.3">
      <c r="A23" s="294"/>
      <c r="B23" s="295"/>
      <c r="C23" s="295"/>
      <c r="D23" s="295"/>
      <c r="E23" s="295"/>
      <c r="F23" s="294"/>
      <c r="G23" s="295"/>
      <c r="H23" s="295"/>
      <c r="I23" s="295"/>
      <c r="J23" s="296"/>
      <c r="K23" s="294"/>
      <c r="L23" s="295"/>
      <c r="M23" s="295"/>
      <c r="N23" s="295"/>
      <c r="O23" s="296"/>
      <c r="P23" s="294"/>
      <c r="Q23" s="295"/>
      <c r="R23" s="295"/>
      <c r="S23" s="295"/>
      <c r="T23" s="296"/>
      <c r="U23" s="294"/>
      <c r="V23" s="295"/>
      <c r="W23" s="295"/>
      <c r="X23" s="295"/>
      <c r="Y23" s="296"/>
      <c r="Z23" s="294"/>
      <c r="AA23" s="295"/>
      <c r="AB23" s="295"/>
      <c r="AC23" s="295"/>
      <c r="AD23" s="296"/>
    </row>
    <row r="24" spans="1:30" x14ac:dyDescent="0.3">
      <c r="A24" s="294"/>
      <c r="B24" s="295"/>
      <c r="C24" s="295"/>
      <c r="D24" s="295"/>
      <c r="E24" s="295"/>
      <c r="F24" s="294"/>
      <c r="G24" s="295"/>
      <c r="H24" s="295"/>
      <c r="I24" s="295"/>
      <c r="J24" s="296"/>
      <c r="K24" s="294"/>
      <c r="L24" s="295"/>
      <c r="M24" s="295"/>
      <c r="N24" s="295"/>
      <c r="O24" s="296"/>
      <c r="P24" s="294"/>
      <c r="Q24" s="295"/>
      <c r="R24" s="295"/>
      <c r="S24" s="295"/>
      <c r="T24" s="296"/>
      <c r="U24" s="294"/>
      <c r="V24" s="295"/>
      <c r="W24" s="295"/>
      <c r="X24" s="295"/>
      <c r="Y24" s="296"/>
      <c r="Z24" s="294"/>
      <c r="AA24" s="295"/>
      <c r="AB24" s="295"/>
      <c r="AC24" s="295"/>
      <c r="AD24" s="296"/>
    </row>
    <row r="25" spans="1:30" x14ac:dyDescent="0.3">
      <c r="A25" s="294"/>
      <c r="B25" s="295"/>
      <c r="C25" s="295"/>
      <c r="D25" s="295"/>
      <c r="E25" s="295"/>
      <c r="F25" s="294"/>
      <c r="G25" s="295"/>
      <c r="H25" s="295"/>
      <c r="I25" s="295"/>
      <c r="J25" s="296"/>
      <c r="K25" s="294"/>
      <c r="L25" s="295"/>
      <c r="M25" s="295"/>
      <c r="N25" s="295"/>
      <c r="O25" s="296"/>
      <c r="P25" s="294"/>
      <c r="Q25" s="295"/>
      <c r="R25" s="295"/>
      <c r="S25" s="295"/>
      <c r="T25" s="296"/>
      <c r="U25" s="294"/>
      <c r="V25" s="295"/>
      <c r="W25" s="295"/>
      <c r="X25" s="295"/>
      <c r="Y25" s="296"/>
      <c r="Z25" s="294"/>
      <c r="AA25" s="295"/>
      <c r="AB25" s="295"/>
      <c r="AC25" s="295"/>
      <c r="AD25" s="296"/>
    </row>
    <row r="26" spans="1:30" x14ac:dyDescent="0.3">
      <c r="A26" s="294"/>
      <c r="B26" s="295"/>
      <c r="C26" s="295"/>
      <c r="D26" s="295"/>
      <c r="E26" s="295"/>
      <c r="F26" s="294"/>
      <c r="G26" s="295"/>
      <c r="H26" s="295"/>
      <c r="I26" s="295"/>
      <c r="J26" s="296"/>
      <c r="K26" s="294"/>
      <c r="L26" s="295"/>
      <c r="M26" s="295"/>
      <c r="N26" s="295"/>
      <c r="O26" s="296"/>
      <c r="P26" s="294"/>
      <c r="Q26" s="295"/>
      <c r="R26" s="295"/>
      <c r="S26" s="295"/>
      <c r="T26" s="296"/>
      <c r="U26" s="294"/>
      <c r="V26" s="295"/>
      <c r="W26" s="295"/>
      <c r="X26" s="295"/>
      <c r="Y26" s="296"/>
      <c r="Z26" s="294"/>
      <c r="AA26" s="295"/>
      <c r="AB26" s="295"/>
      <c r="AC26" s="295"/>
      <c r="AD26" s="296"/>
    </row>
    <row r="27" spans="1:30" x14ac:dyDescent="0.3">
      <c r="A27" s="294"/>
      <c r="B27" s="295"/>
      <c r="C27" s="295"/>
      <c r="D27" s="295"/>
      <c r="E27" s="295"/>
      <c r="F27" s="294"/>
      <c r="G27" s="295"/>
      <c r="H27" s="295"/>
      <c r="I27" s="295"/>
      <c r="J27" s="296"/>
      <c r="K27" s="294"/>
      <c r="L27" s="295"/>
      <c r="M27" s="295"/>
      <c r="N27" s="295"/>
      <c r="O27" s="296"/>
      <c r="P27" s="294"/>
      <c r="Q27" s="295"/>
      <c r="R27" s="295"/>
      <c r="S27" s="295"/>
      <c r="T27" s="296"/>
      <c r="U27" s="294"/>
      <c r="V27" s="295"/>
      <c r="W27" s="295"/>
      <c r="X27" s="295"/>
      <c r="Y27" s="296"/>
      <c r="Z27" s="294"/>
      <c r="AA27" s="295"/>
      <c r="AB27" s="295"/>
      <c r="AC27" s="295"/>
      <c r="AD27" s="296"/>
    </row>
    <row r="28" spans="1:30" x14ac:dyDescent="0.3">
      <c r="A28" s="294"/>
      <c r="B28" s="295"/>
      <c r="C28" s="295"/>
      <c r="D28" s="295"/>
      <c r="E28" s="295"/>
      <c r="F28" s="294"/>
      <c r="G28" s="295"/>
      <c r="H28" s="295"/>
      <c r="I28" s="295"/>
      <c r="J28" s="296"/>
      <c r="K28" s="294"/>
      <c r="L28" s="295"/>
      <c r="M28" s="295"/>
      <c r="N28" s="295"/>
      <c r="O28" s="296"/>
      <c r="P28" s="294"/>
      <c r="Q28" s="295"/>
      <c r="R28" s="295"/>
      <c r="S28" s="295"/>
      <c r="T28" s="296"/>
      <c r="U28" s="294"/>
      <c r="V28" s="295"/>
      <c r="W28" s="295"/>
      <c r="X28" s="295"/>
      <c r="Y28" s="296"/>
      <c r="Z28" s="294"/>
      <c r="AA28" s="295"/>
      <c r="AB28" s="295"/>
      <c r="AC28" s="295"/>
      <c r="AD28" s="296"/>
    </row>
    <row r="29" spans="1:30" x14ac:dyDescent="0.3">
      <c r="A29" s="294"/>
      <c r="B29" s="295"/>
      <c r="C29" s="295"/>
      <c r="D29" s="295"/>
      <c r="E29" s="295"/>
      <c r="F29" s="294"/>
      <c r="G29" s="295"/>
      <c r="H29" s="295"/>
      <c r="I29" s="295"/>
      <c r="J29" s="296"/>
      <c r="K29" s="294"/>
      <c r="L29" s="295"/>
      <c r="M29" s="295"/>
      <c r="N29" s="295"/>
      <c r="O29" s="296"/>
      <c r="P29" s="294"/>
      <c r="Q29" s="295"/>
      <c r="R29" s="295"/>
      <c r="S29" s="295"/>
      <c r="T29" s="296"/>
      <c r="U29" s="294"/>
      <c r="V29" s="295"/>
      <c r="W29" s="295"/>
      <c r="X29" s="295"/>
      <c r="Y29" s="296"/>
      <c r="Z29" s="294"/>
      <c r="AA29" s="295"/>
      <c r="AB29" s="295"/>
      <c r="AC29" s="295"/>
      <c r="AD29" s="296"/>
    </row>
    <row r="30" spans="1:30" x14ac:dyDescent="0.3">
      <c r="A30" s="294"/>
      <c r="B30" s="295"/>
      <c r="C30" s="295"/>
      <c r="D30" s="295"/>
      <c r="E30" s="295"/>
      <c r="F30" s="294"/>
      <c r="G30" s="295"/>
      <c r="H30" s="295"/>
      <c r="I30" s="295"/>
      <c r="J30" s="296"/>
      <c r="K30" s="294"/>
      <c r="L30" s="295"/>
      <c r="M30" s="295"/>
      <c r="N30" s="295"/>
      <c r="O30" s="296"/>
      <c r="P30" s="294"/>
      <c r="Q30" s="295"/>
      <c r="R30" s="295"/>
      <c r="S30" s="295"/>
      <c r="T30" s="296"/>
      <c r="U30" s="294"/>
      <c r="V30" s="295"/>
      <c r="W30" s="295"/>
      <c r="X30" s="295"/>
      <c r="Y30" s="296"/>
      <c r="Z30" s="294"/>
      <c r="AA30" s="295"/>
      <c r="AB30" s="295"/>
      <c r="AC30" s="295"/>
      <c r="AD30" s="296"/>
    </row>
    <row r="31" spans="1:30" x14ac:dyDescent="0.3">
      <c r="A31" s="294"/>
      <c r="B31" s="295"/>
      <c r="C31" s="295"/>
      <c r="D31" s="295"/>
      <c r="E31" s="295"/>
      <c r="F31" s="294"/>
      <c r="G31" s="295"/>
      <c r="H31" s="295"/>
      <c r="I31" s="295"/>
      <c r="J31" s="296"/>
      <c r="K31" s="294"/>
      <c r="L31" s="295"/>
      <c r="M31" s="295"/>
      <c r="N31" s="295"/>
      <c r="O31" s="296"/>
      <c r="P31" s="294"/>
      <c r="Q31" s="295"/>
      <c r="R31" s="295"/>
      <c r="S31" s="295"/>
      <c r="T31" s="296"/>
      <c r="U31" s="294"/>
      <c r="V31" s="295"/>
      <c r="W31" s="295"/>
      <c r="X31" s="295"/>
      <c r="Y31" s="296"/>
      <c r="Z31" s="294"/>
      <c r="AA31" s="295"/>
      <c r="AB31" s="295"/>
      <c r="AC31" s="295"/>
      <c r="AD31" s="296"/>
    </row>
    <row r="32" spans="1:30" x14ac:dyDescent="0.3">
      <c r="A32" s="294"/>
      <c r="B32" s="295"/>
      <c r="C32" s="295"/>
      <c r="D32" s="295"/>
      <c r="E32" s="295"/>
      <c r="F32" s="294"/>
      <c r="G32" s="295"/>
      <c r="H32" s="295"/>
      <c r="I32" s="295"/>
      <c r="J32" s="296"/>
      <c r="K32" s="294"/>
      <c r="L32" s="295"/>
      <c r="M32" s="295"/>
      <c r="N32" s="295"/>
      <c r="O32" s="296"/>
      <c r="P32" s="294"/>
      <c r="Q32" s="295"/>
      <c r="R32" s="295"/>
      <c r="S32" s="295"/>
      <c r="T32" s="296"/>
      <c r="U32" s="294"/>
      <c r="V32" s="295"/>
      <c r="W32" s="295"/>
      <c r="X32" s="295"/>
      <c r="Y32" s="296"/>
      <c r="Z32" s="294"/>
      <c r="AA32" s="295"/>
      <c r="AB32" s="295"/>
      <c r="AC32" s="295"/>
      <c r="AD32" s="296"/>
    </row>
    <row r="33" spans="1:30" x14ac:dyDescent="0.3">
      <c r="A33" s="294"/>
      <c r="B33" s="295"/>
      <c r="C33" s="295"/>
      <c r="D33" s="295"/>
      <c r="E33" s="295"/>
      <c r="F33" s="294"/>
      <c r="G33" s="295"/>
      <c r="H33" s="295"/>
      <c r="I33" s="295"/>
      <c r="J33" s="296"/>
      <c r="K33" s="294"/>
      <c r="L33" s="295"/>
      <c r="M33" s="295"/>
      <c r="N33" s="295"/>
      <c r="O33" s="296"/>
      <c r="P33" s="294"/>
      <c r="Q33" s="295"/>
      <c r="R33" s="295"/>
      <c r="S33" s="295"/>
      <c r="T33" s="296"/>
      <c r="U33" s="294"/>
      <c r="V33" s="295"/>
      <c r="W33" s="295"/>
      <c r="X33" s="295"/>
      <c r="Y33" s="296"/>
      <c r="Z33" s="294"/>
      <c r="AA33" s="295"/>
      <c r="AB33" s="295"/>
      <c r="AC33" s="295"/>
      <c r="AD33" s="296"/>
    </row>
    <row r="34" spans="1:30" x14ac:dyDescent="0.3">
      <c r="A34" s="294"/>
      <c r="B34" s="295"/>
      <c r="C34" s="295"/>
      <c r="D34" s="295"/>
      <c r="E34" s="295"/>
      <c r="F34" s="294"/>
      <c r="G34" s="295"/>
      <c r="H34" s="295"/>
      <c r="I34" s="295"/>
      <c r="J34" s="296"/>
      <c r="K34" s="294"/>
      <c r="L34" s="295"/>
      <c r="M34" s="295"/>
      <c r="N34" s="295"/>
      <c r="O34" s="296"/>
      <c r="P34" s="294"/>
      <c r="Q34" s="295"/>
      <c r="R34" s="295"/>
      <c r="S34" s="295"/>
      <c r="T34" s="296"/>
      <c r="U34" s="294"/>
      <c r="V34" s="295"/>
      <c r="W34" s="295"/>
      <c r="X34" s="295"/>
      <c r="Y34" s="296"/>
      <c r="Z34" s="294"/>
      <c r="AA34" s="295"/>
      <c r="AB34" s="295"/>
      <c r="AC34" s="295"/>
      <c r="AD34" s="296"/>
    </row>
    <row r="35" spans="1:30" x14ac:dyDescent="0.3">
      <c r="A35" s="294"/>
      <c r="B35" s="295"/>
      <c r="C35" s="295"/>
      <c r="D35" s="295"/>
      <c r="E35" s="295"/>
      <c r="F35" s="294"/>
      <c r="G35" s="295"/>
      <c r="H35" s="295"/>
      <c r="I35" s="295"/>
      <c r="J35" s="296"/>
      <c r="K35" s="294"/>
      <c r="L35" s="295"/>
      <c r="M35" s="295"/>
      <c r="N35" s="295"/>
      <c r="O35" s="296"/>
      <c r="P35" s="294"/>
      <c r="Q35" s="295"/>
      <c r="R35" s="295"/>
      <c r="S35" s="295"/>
      <c r="T35" s="296"/>
      <c r="U35" s="294"/>
      <c r="V35" s="295"/>
      <c r="W35" s="295"/>
      <c r="X35" s="295"/>
      <c r="Y35" s="296"/>
      <c r="Z35" s="294"/>
      <c r="AA35" s="295"/>
      <c r="AB35" s="295"/>
      <c r="AC35" s="295"/>
      <c r="AD35" s="296"/>
    </row>
    <row r="36" spans="1:30" x14ac:dyDescent="0.3">
      <c r="A36" s="294"/>
      <c r="B36" s="295"/>
      <c r="C36" s="295"/>
      <c r="D36" s="295"/>
      <c r="E36" s="295"/>
      <c r="F36" s="294"/>
      <c r="G36" s="295"/>
      <c r="H36" s="295"/>
      <c r="I36" s="295"/>
      <c r="J36" s="296"/>
      <c r="K36" s="294"/>
      <c r="L36" s="295"/>
      <c r="M36" s="295"/>
      <c r="N36" s="295"/>
      <c r="O36" s="296"/>
      <c r="P36" s="294"/>
      <c r="Q36" s="295"/>
      <c r="R36" s="295"/>
      <c r="S36" s="295"/>
      <c r="T36" s="296"/>
      <c r="U36" s="294"/>
      <c r="V36" s="295"/>
      <c r="W36" s="295"/>
      <c r="X36" s="295"/>
      <c r="Y36" s="296"/>
      <c r="Z36" s="294"/>
      <c r="AA36" s="295"/>
      <c r="AB36" s="295"/>
      <c r="AC36" s="295"/>
      <c r="AD36" s="296"/>
    </row>
    <row r="37" spans="1:30" ht="15" thickBot="1" x14ac:dyDescent="0.35">
      <c r="A37" s="297"/>
      <c r="B37" s="298"/>
      <c r="C37" s="298"/>
      <c r="D37" s="298"/>
      <c r="E37" s="298"/>
      <c r="F37" s="297"/>
      <c r="G37" s="298"/>
      <c r="H37" s="298"/>
      <c r="I37" s="298"/>
      <c r="J37" s="299"/>
      <c r="K37" s="297"/>
      <c r="L37" s="298"/>
      <c r="M37" s="298"/>
      <c r="N37" s="298"/>
      <c r="O37" s="299"/>
      <c r="P37" s="297"/>
      <c r="Q37" s="298"/>
      <c r="R37" s="298"/>
      <c r="S37" s="298"/>
      <c r="T37" s="299"/>
      <c r="U37" s="297"/>
      <c r="V37" s="298"/>
      <c r="W37" s="298"/>
      <c r="X37" s="298"/>
      <c r="Y37" s="299"/>
      <c r="Z37" s="297"/>
      <c r="AA37" s="298"/>
      <c r="AB37" s="298"/>
      <c r="AC37" s="298"/>
      <c r="AD37" s="299"/>
    </row>
  </sheetData>
  <mergeCells count="36">
    <mergeCell ref="R1:T1"/>
    <mergeCell ref="P3:T19"/>
    <mergeCell ref="A1:B1"/>
    <mergeCell ref="C1:E1"/>
    <mergeCell ref="A2:B2"/>
    <mergeCell ref="C2:E2"/>
    <mergeCell ref="A3:E19"/>
    <mergeCell ref="K1:L1"/>
    <mergeCell ref="F3:J19"/>
    <mergeCell ref="F1:G1"/>
    <mergeCell ref="F2:G2"/>
    <mergeCell ref="H2:J2"/>
    <mergeCell ref="H1:J1"/>
    <mergeCell ref="M1:O1"/>
    <mergeCell ref="K2:L2"/>
    <mergeCell ref="M2:O2"/>
    <mergeCell ref="K3:O19"/>
    <mergeCell ref="P1:Q1"/>
    <mergeCell ref="P2:Q2"/>
    <mergeCell ref="R2:T2"/>
    <mergeCell ref="U2:V2"/>
    <mergeCell ref="W2:Y2"/>
    <mergeCell ref="Z2:AA2"/>
    <mergeCell ref="Z20:AD37"/>
    <mergeCell ref="U3:Y19"/>
    <mergeCell ref="Z3:AD19"/>
    <mergeCell ref="U1:V1"/>
    <mergeCell ref="W1:Y1"/>
    <mergeCell ref="Z1:AA1"/>
    <mergeCell ref="AB1:AD1"/>
    <mergeCell ref="AB2:AD2"/>
    <mergeCell ref="P20:T37"/>
    <mergeCell ref="A20:E37"/>
    <mergeCell ref="F20:J37"/>
    <mergeCell ref="K20:O37"/>
    <mergeCell ref="U20:Y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A293-EACD-4945-A802-FD5CA3A56393}">
  <dimension ref="A1:Q34"/>
  <sheetViews>
    <sheetView workbookViewId="0">
      <selection activeCell="F36" sqref="F36"/>
    </sheetView>
  </sheetViews>
  <sheetFormatPr defaultRowHeight="14.4" x14ac:dyDescent="0.3"/>
  <cols>
    <col min="1" max="1" width="42.5546875" customWidth="1"/>
    <col min="2" max="2" width="10.5546875" bestFit="1" customWidth="1"/>
    <col min="3" max="3" width="9" bestFit="1" customWidth="1"/>
    <col min="15" max="15" width="10" bestFit="1" customWidth="1"/>
    <col min="16" max="16" width="21.109375" customWidth="1"/>
    <col min="17" max="17" width="25.109375" bestFit="1" customWidth="1"/>
  </cols>
  <sheetData>
    <row r="1" spans="1:17" ht="58.2" thickBot="1" x14ac:dyDescent="0.35">
      <c r="A1" s="2" t="s">
        <v>6</v>
      </c>
      <c r="B1" s="12" t="s">
        <v>7</v>
      </c>
      <c r="C1" s="13" t="s">
        <v>15</v>
      </c>
      <c r="D1" s="15" t="s">
        <v>24</v>
      </c>
      <c r="E1" s="12" t="s">
        <v>6</v>
      </c>
      <c r="F1" s="145" t="s">
        <v>319</v>
      </c>
      <c r="G1" s="146" t="s">
        <v>316</v>
      </c>
      <c r="H1" s="13" t="s">
        <v>21</v>
      </c>
      <c r="I1" s="15" t="s">
        <v>22</v>
      </c>
      <c r="J1" s="146" t="s">
        <v>315</v>
      </c>
      <c r="K1" s="14" t="s">
        <v>314</v>
      </c>
      <c r="L1" s="145" t="s">
        <v>313</v>
      </c>
      <c r="M1" s="144" t="s">
        <v>317</v>
      </c>
      <c r="N1" s="205" t="s">
        <v>318</v>
      </c>
      <c r="O1" s="146" t="s">
        <v>320</v>
      </c>
      <c r="P1" s="15" t="s">
        <v>25</v>
      </c>
      <c r="Q1" s="15" t="s">
        <v>26</v>
      </c>
    </row>
    <row r="2" spans="1:17" x14ac:dyDescent="0.3">
      <c r="A2" s="76" t="s">
        <v>1</v>
      </c>
      <c r="B2" s="102">
        <v>346</v>
      </c>
      <c r="C2" s="16">
        <v>2795</v>
      </c>
      <c r="D2" s="103">
        <v>6627</v>
      </c>
      <c r="E2" s="102" t="s">
        <v>16</v>
      </c>
      <c r="F2" s="103" t="s">
        <v>11</v>
      </c>
      <c r="G2" s="147">
        <v>25022.783502720002</v>
      </c>
      <c r="H2" s="55">
        <v>954.9384</v>
      </c>
      <c r="I2" s="148">
        <v>10.668000000042669</v>
      </c>
      <c r="J2" s="102" t="s">
        <v>23</v>
      </c>
      <c r="K2" s="16">
        <v>3</v>
      </c>
      <c r="L2" s="34" t="s">
        <v>27</v>
      </c>
      <c r="M2" s="189">
        <v>152.4</v>
      </c>
      <c r="N2" s="206">
        <f t="shared" ref="N2:N34" si="0">M2*0.0393700787</f>
        <v>5.9999999938800004</v>
      </c>
      <c r="O2" s="102" t="s">
        <v>28</v>
      </c>
      <c r="P2" s="34" t="s">
        <v>29</v>
      </c>
      <c r="Q2" s="34"/>
    </row>
    <row r="3" spans="1:17" x14ac:dyDescent="0.3">
      <c r="A3" s="77" t="s">
        <v>1</v>
      </c>
      <c r="B3" s="104">
        <v>346</v>
      </c>
      <c r="C3" s="3">
        <v>2795</v>
      </c>
      <c r="D3" s="105">
        <v>6627</v>
      </c>
      <c r="E3" s="104" t="s">
        <v>16</v>
      </c>
      <c r="F3" s="105" t="s">
        <v>11</v>
      </c>
      <c r="G3" s="149">
        <v>25022.783502720002</v>
      </c>
      <c r="H3" s="56">
        <v>954.9384</v>
      </c>
      <c r="I3" s="150">
        <v>10.668000000042669</v>
      </c>
      <c r="J3" s="104" t="s">
        <v>23</v>
      </c>
      <c r="K3" s="3">
        <v>4</v>
      </c>
      <c r="L3" s="35" t="s">
        <v>30</v>
      </c>
      <c r="M3" s="190">
        <v>63.5</v>
      </c>
      <c r="N3" s="207">
        <f t="shared" si="0"/>
        <v>2.4999999974499998</v>
      </c>
      <c r="O3" s="104" t="s">
        <v>30</v>
      </c>
      <c r="P3" s="35" t="s">
        <v>31</v>
      </c>
      <c r="Q3" s="35"/>
    </row>
    <row r="4" spans="1:17" x14ac:dyDescent="0.3">
      <c r="A4" s="78" t="s">
        <v>1</v>
      </c>
      <c r="B4" s="106">
        <v>346</v>
      </c>
      <c r="C4" s="4">
        <v>2795</v>
      </c>
      <c r="D4" s="107">
        <v>7347</v>
      </c>
      <c r="E4" s="106" t="s">
        <v>16</v>
      </c>
      <c r="F4" s="107" t="s">
        <v>11</v>
      </c>
      <c r="G4" s="151">
        <v>25022.783502720002</v>
      </c>
      <c r="H4" s="57">
        <v>440.13119999999998</v>
      </c>
      <c r="I4" s="152">
        <v>10.668000000042669</v>
      </c>
      <c r="J4" s="106" t="s">
        <v>23</v>
      </c>
      <c r="K4" s="4">
        <v>3</v>
      </c>
      <c r="L4" s="36" t="s">
        <v>27</v>
      </c>
      <c r="M4" s="191">
        <v>254</v>
      </c>
      <c r="N4" s="208">
        <f t="shared" si="0"/>
        <v>9.9999999897999992</v>
      </c>
      <c r="O4" s="106" t="s">
        <v>28</v>
      </c>
      <c r="P4" s="36" t="s">
        <v>29</v>
      </c>
      <c r="Q4" s="36"/>
    </row>
    <row r="5" spans="1:17" ht="15" thickBot="1" x14ac:dyDescent="0.35">
      <c r="A5" s="79" t="s">
        <v>1</v>
      </c>
      <c r="B5" s="108">
        <v>346</v>
      </c>
      <c r="C5" s="17">
        <v>2795</v>
      </c>
      <c r="D5" s="109">
        <v>7347</v>
      </c>
      <c r="E5" s="108" t="s">
        <v>16</v>
      </c>
      <c r="F5" s="109" t="s">
        <v>11</v>
      </c>
      <c r="G5" s="153">
        <v>25022.783502720002</v>
      </c>
      <c r="H5" s="58">
        <v>440.13119999999998</v>
      </c>
      <c r="I5" s="154">
        <v>10.668000000042669</v>
      </c>
      <c r="J5" s="108" t="s">
        <v>23</v>
      </c>
      <c r="K5" s="17">
        <v>4</v>
      </c>
      <c r="L5" s="37" t="s">
        <v>30</v>
      </c>
      <c r="M5" s="192">
        <v>50.8</v>
      </c>
      <c r="N5" s="209">
        <f t="shared" si="0"/>
        <v>1.9999999979599998</v>
      </c>
      <c r="O5" s="108" t="s">
        <v>30</v>
      </c>
      <c r="P5" s="37" t="s">
        <v>31</v>
      </c>
      <c r="Q5" s="37"/>
    </row>
    <row r="6" spans="1:17" x14ac:dyDescent="0.3">
      <c r="A6" s="80" t="s">
        <v>0</v>
      </c>
      <c r="B6" s="110">
        <v>364</v>
      </c>
      <c r="C6" s="18">
        <v>2707</v>
      </c>
      <c r="D6" s="111">
        <v>6948</v>
      </c>
      <c r="E6" s="110" t="s">
        <v>17</v>
      </c>
      <c r="F6" s="111" t="s">
        <v>11</v>
      </c>
      <c r="G6" s="155">
        <v>12707.835225555509</v>
      </c>
      <c r="H6" s="59">
        <v>114.3000000004572</v>
      </c>
      <c r="I6" s="156">
        <v>96.621600000386493</v>
      </c>
      <c r="J6" s="110" t="s">
        <v>23</v>
      </c>
      <c r="K6" s="18">
        <v>1</v>
      </c>
      <c r="L6" s="38" t="s">
        <v>32</v>
      </c>
      <c r="M6" s="193">
        <v>152.4</v>
      </c>
      <c r="N6" s="210">
        <f t="shared" si="0"/>
        <v>5.9999999938800004</v>
      </c>
      <c r="O6" s="110" t="s">
        <v>33</v>
      </c>
      <c r="P6" s="38" t="s">
        <v>34</v>
      </c>
      <c r="Q6" s="38" t="s">
        <v>35</v>
      </c>
    </row>
    <row r="7" spans="1:17" x14ac:dyDescent="0.3">
      <c r="A7" s="81" t="s">
        <v>0</v>
      </c>
      <c r="B7" s="112">
        <v>364</v>
      </c>
      <c r="C7" s="5">
        <v>2707</v>
      </c>
      <c r="D7" s="113">
        <v>6948</v>
      </c>
      <c r="E7" s="112" t="s">
        <v>17</v>
      </c>
      <c r="F7" s="113" t="s">
        <v>11</v>
      </c>
      <c r="G7" s="157">
        <v>12707.835225555509</v>
      </c>
      <c r="H7" s="60">
        <v>114.3000000004572</v>
      </c>
      <c r="I7" s="158">
        <v>96.621600000386493</v>
      </c>
      <c r="J7" s="112" t="s">
        <v>23</v>
      </c>
      <c r="K7" s="5">
        <v>3</v>
      </c>
      <c r="L7" s="39" t="s">
        <v>27</v>
      </c>
      <c r="M7" s="194">
        <v>177.8</v>
      </c>
      <c r="N7" s="211">
        <f t="shared" si="0"/>
        <v>6.9999999928600003</v>
      </c>
      <c r="O7" s="112" t="s">
        <v>28</v>
      </c>
      <c r="P7" s="39" t="s">
        <v>29</v>
      </c>
      <c r="Q7" s="39" t="s">
        <v>36</v>
      </c>
    </row>
    <row r="8" spans="1:17" ht="15" thickBot="1" x14ac:dyDescent="0.35">
      <c r="A8" s="82" t="s">
        <v>0</v>
      </c>
      <c r="B8" s="114">
        <v>364</v>
      </c>
      <c r="C8" s="19">
        <v>2707</v>
      </c>
      <c r="D8" s="115">
        <v>6948</v>
      </c>
      <c r="E8" s="114" t="s">
        <v>17</v>
      </c>
      <c r="F8" s="115" t="s">
        <v>11</v>
      </c>
      <c r="G8" s="159">
        <v>12707.835225555509</v>
      </c>
      <c r="H8" s="61">
        <v>114.3000000004572</v>
      </c>
      <c r="I8" s="160">
        <v>96.621600000386493</v>
      </c>
      <c r="J8" s="114" t="s">
        <v>23</v>
      </c>
      <c r="K8" s="19">
        <v>4</v>
      </c>
      <c r="L8" s="40" t="s">
        <v>30</v>
      </c>
      <c r="M8" s="195">
        <v>63.5</v>
      </c>
      <c r="N8" s="212">
        <f t="shared" si="0"/>
        <v>2.4999999974499998</v>
      </c>
      <c r="O8" s="114" t="s">
        <v>30</v>
      </c>
      <c r="P8" s="40" t="s">
        <v>31</v>
      </c>
      <c r="Q8" s="40" t="s">
        <v>37</v>
      </c>
    </row>
    <row r="9" spans="1:17" x14ac:dyDescent="0.3">
      <c r="A9" s="83" t="s">
        <v>5</v>
      </c>
      <c r="B9" s="116">
        <v>378</v>
      </c>
      <c r="C9" s="20">
        <v>3261</v>
      </c>
      <c r="D9" s="117">
        <v>8662</v>
      </c>
      <c r="E9" s="116" t="s">
        <v>10</v>
      </c>
      <c r="F9" s="117" t="s">
        <v>11</v>
      </c>
      <c r="G9" s="161">
        <v>12537.822663421901</v>
      </c>
      <c r="H9" s="62">
        <v>28.956000000115829</v>
      </c>
      <c r="I9" s="162">
        <v>17.67840000007071</v>
      </c>
      <c r="J9" s="116" t="s">
        <v>23</v>
      </c>
      <c r="K9" s="20">
        <v>2</v>
      </c>
      <c r="L9" s="41" t="s">
        <v>38</v>
      </c>
      <c r="M9" s="196">
        <v>152.4</v>
      </c>
      <c r="N9" s="213">
        <f t="shared" si="0"/>
        <v>5.9999999938800004</v>
      </c>
      <c r="O9" s="116" t="s">
        <v>39</v>
      </c>
      <c r="P9" s="41" t="s">
        <v>40</v>
      </c>
      <c r="Q9" s="41" t="s">
        <v>41</v>
      </c>
    </row>
    <row r="10" spans="1:17" x14ac:dyDescent="0.3">
      <c r="A10" s="84" t="s">
        <v>5</v>
      </c>
      <c r="B10" s="118">
        <v>378</v>
      </c>
      <c r="C10" s="6">
        <v>3261</v>
      </c>
      <c r="D10" s="119">
        <v>8662</v>
      </c>
      <c r="E10" s="118" t="s">
        <v>10</v>
      </c>
      <c r="F10" s="119" t="s">
        <v>11</v>
      </c>
      <c r="G10" s="163">
        <v>12537.822663421901</v>
      </c>
      <c r="H10" s="63">
        <v>28.956000000115829</v>
      </c>
      <c r="I10" s="164">
        <v>17.67840000007071</v>
      </c>
      <c r="J10" s="118" t="s">
        <v>23</v>
      </c>
      <c r="K10" s="6">
        <v>3</v>
      </c>
      <c r="L10" s="42" t="s">
        <v>27</v>
      </c>
      <c r="M10" s="197">
        <v>203.2</v>
      </c>
      <c r="N10" s="214">
        <f t="shared" si="0"/>
        <v>7.9999999918399993</v>
      </c>
      <c r="O10" s="118" t="s">
        <v>28</v>
      </c>
      <c r="P10" s="42" t="s">
        <v>29</v>
      </c>
      <c r="Q10" s="42" t="s">
        <v>42</v>
      </c>
    </row>
    <row r="11" spans="1:17" x14ac:dyDescent="0.3">
      <c r="A11" s="84" t="s">
        <v>5</v>
      </c>
      <c r="B11" s="118">
        <v>378</v>
      </c>
      <c r="C11" s="6">
        <v>3261</v>
      </c>
      <c r="D11" s="119">
        <v>8662</v>
      </c>
      <c r="E11" s="118" t="s">
        <v>10</v>
      </c>
      <c r="F11" s="119" t="s">
        <v>11</v>
      </c>
      <c r="G11" s="163">
        <v>12537.822663421901</v>
      </c>
      <c r="H11" s="63">
        <v>28.956000000115829</v>
      </c>
      <c r="I11" s="164">
        <v>17.67840000007071</v>
      </c>
      <c r="J11" s="118" t="s">
        <v>23</v>
      </c>
      <c r="K11" s="6">
        <v>4</v>
      </c>
      <c r="L11" s="42" t="s">
        <v>30</v>
      </c>
      <c r="M11" s="197">
        <v>88.9</v>
      </c>
      <c r="N11" s="214">
        <f t="shared" si="0"/>
        <v>3.4999999964300001</v>
      </c>
      <c r="O11" s="118" t="s">
        <v>30</v>
      </c>
      <c r="P11" s="42" t="s">
        <v>31</v>
      </c>
      <c r="Q11" s="42" t="s">
        <v>43</v>
      </c>
    </row>
    <row r="12" spans="1:17" x14ac:dyDescent="0.3">
      <c r="A12" s="85" t="s">
        <v>5</v>
      </c>
      <c r="B12" s="120">
        <v>378</v>
      </c>
      <c r="C12" s="7">
        <v>3335</v>
      </c>
      <c r="D12" s="121">
        <v>8881</v>
      </c>
      <c r="E12" s="120" t="s">
        <v>12</v>
      </c>
      <c r="F12" s="121" t="s">
        <v>11</v>
      </c>
      <c r="G12" s="165">
        <v>5586.1668904524386</v>
      </c>
      <c r="H12" s="64">
        <v>56.388000000225553</v>
      </c>
      <c r="I12" s="166">
        <v>27.432000000109731</v>
      </c>
      <c r="J12" s="120" t="s">
        <v>23</v>
      </c>
      <c r="K12" s="7">
        <v>1</v>
      </c>
      <c r="L12" s="43" t="s">
        <v>32</v>
      </c>
      <c r="M12" s="198">
        <v>152.4</v>
      </c>
      <c r="N12" s="215">
        <f t="shared" si="0"/>
        <v>5.9999999938800004</v>
      </c>
      <c r="O12" s="120" t="s">
        <v>39</v>
      </c>
      <c r="P12" s="43" t="s">
        <v>44</v>
      </c>
      <c r="Q12" s="43" t="s">
        <v>41</v>
      </c>
    </row>
    <row r="13" spans="1:17" x14ac:dyDescent="0.3">
      <c r="A13" s="85" t="s">
        <v>5</v>
      </c>
      <c r="B13" s="120">
        <v>378</v>
      </c>
      <c r="C13" s="7">
        <v>3335</v>
      </c>
      <c r="D13" s="121">
        <v>8881</v>
      </c>
      <c r="E13" s="120" t="s">
        <v>12</v>
      </c>
      <c r="F13" s="121" t="s">
        <v>11</v>
      </c>
      <c r="G13" s="165">
        <v>5586.1668904524386</v>
      </c>
      <c r="H13" s="64">
        <v>56.388000000225553</v>
      </c>
      <c r="I13" s="166">
        <v>27.432000000109731</v>
      </c>
      <c r="J13" s="120" t="s">
        <v>23</v>
      </c>
      <c r="K13" s="7">
        <v>3</v>
      </c>
      <c r="L13" s="43" t="s">
        <v>27</v>
      </c>
      <c r="M13" s="198">
        <v>203.2</v>
      </c>
      <c r="N13" s="215">
        <f t="shared" si="0"/>
        <v>7.9999999918399993</v>
      </c>
      <c r="O13" s="120" t="s">
        <v>28</v>
      </c>
      <c r="P13" s="43" t="s">
        <v>29</v>
      </c>
      <c r="Q13" s="43" t="s">
        <v>42</v>
      </c>
    </row>
    <row r="14" spans="1:17" x14ac:dyDescent="0.3">
      <c r="A14" s="85" t="s">
        <v>5</v>
      </c>
      <c r="B14" s="120">
        <v>378</v>
      </c>
      <c r="C14" s="7">
        <v>3335</v>
      </c>
      <c r="D14" s="121">
        <v>8881</v>
      </c>
      <c r="E14" s="120" t="s">
        <v>12</v>
      </c>
      <c r="F14" s="121" t="s">
        <v>11</v>
      </c>
      <c r="G14" s="165">
        <v>5586.1668904524386</v>
      </c>
      <c r="H14" s="64">
        <v>56.388000000225553</v>
      </c>
      <c r="I14" s="166">
        <v>27.432000000109731</v>
      </c>
      <c r="J14" s="120" t="s">
        <v>23</v>
      </c>
      <c r="K14" s="7">
        <v>4</v>
      </c>
      <c r="L14" s="43" t="s">
        <v>30</v>
      </c>
      <c r="M14" s="198">
        <v>88.9</v>
      </c>
      <c r="N14" s="215">
        <f t="shared" si="0"/>
        <v>3.4999999964300001</v>
      </c>
      <c r="O14" s="120" t="s">
        <v>30</v>
      </c>
      <c r="P14" s="43" t="s">
        <v>31</v>
      </c>
      <c r="Q14" s="43" t="s">
        <v>43</v>
      </c>
    </row>
    <row r="15" spans="1:17" x14ac:dyDescent="0.3">
      <c r="A15" s="86" t="s">
        <v>5</v>
      </c>
      <c r="B15" s="122">
        <v>378</v>
      </c>
      <c r="C15" s="8">
        <v>3371</v>
      </c>
      <c r="D15" s="123">
        <v>8640</v>
      </c>
      <c r="E15" s="122" t="s">
        <v>13</v>
      </c>
      <c r="F15" s="123" t="s">
        <v>11</v>
      </c>
      <c r="G15" s="167">
        <v>8553.5828911211793</v>
      </c>
      <c r="H15" s="65">
        <v>28.65120000011461</v>
      </c>
      <c r="I15" s="168">
        <v>15.24</v>
      </c>
      <c r="J15" s="122" t="s">
        <v>23</v>
      </c>
      <c r="K15" s="8">
        <v>2</v>
      </c>
      <c r="L15" s="44" t="s">
        <v>38</v>
      </c>
      <c r="M15" s="199">
        <v>152.4</v>
      </c>
      <c r="N15" s="216">
        <f t="shared" si="0"/>
        <v>5.9999999938800004</v>
      </c>
      <c r="O15" s="122" t="s">
        <v>39</v>
      </c>
      <c r="P15" s="44" t="s">
        <v>40</v>
      </c>
      <c r="Q15" s="44" t="s">
        <v>41</v>
      </c>
    </row>
    <row r="16" spans="1:17" x14ac:dyDescent="0.3">
      <c r="A16" s="86" t="s">
        <v>5</v>
      </c>
      <c r="B16" s="122">
        <v>378</v>
      </c>
      <c r="C16" s="8">
        <v>3371</v>
      </c>
      <c r="D16" s="123">
        <v>8640</v>
      </c>
      <c r="E16" s="122" t="s">
        <v>13</v>
      </c>
      <c r="F16" s="123" t="s">
        <v>11</v>
      </c>
      <c r="G16" s="167">
        <v>8553.5828911211793</v>
      </c>
      <c r="H16" s="65">
        <v>28.65120000011461</v>
      </c>
      <c r="I16" s="168">
        <v>15.24</v>
      </c>
      <c r="J16" s="122" t="s">
        <v>23</v>
      </c>
      <c r="K16" s="8">
        <v>3</v>
      </c>
      <c r="L16" s="44" t="s">
        <v>27</v>
      </c>
      <c r="M16" s="199">
        <v>203.2</v>
      </c>
      <c r="N16" s="216">
        <f t="shared" si="0"/>
        <v>7.9999999918399993</v>
      </c>
      <c r="O16" s="122" t="s">
        <v>28</v>
      </c>
      <c r="P16" s="44" t="s">
        <v>29</v>
      </c>
      <c r="Q16" s="44" t="s">
        <v>42</v>
      </c>
    </row>
    <row r="17" spans="1:17" x14ac:dyDescent="0.3">
      <c r="A17" s="86" t="s">
        <v>5</v>
      </c>
      <c r="B17" s="122">
        <v>378</v>
      </c>
      <c r="C17" s="8">
        <v>3371</v>
      </c>
      <c r="D17" s="123">
        <v>8640</v>
      </c>
      <c r="E17" s="122" t="s">
        <v>13</v>
      </c>
      <c r="F17" s="123" t="s">
        <v>11</v>
      </c>
      <c r="G17" s="167">
        <v>8553.5828911211793</v>
      </c>
      <c r="H17" s="65">
        <v>28.65120000011461</v>
      </c>
      <c r="I17" s="168">
        <v>15.24</v>
      </c>
      <c r="J17" s="122" t="s">
        <v>23</v>
      </c>
      <c r="K17" s="8">
        <v>4</v>
      </c>
      <c r="L17" s="44" t="s">
        <v>30</v>
      </c>
      <c r="M17" s="199">
        <v>88.9</v>
      </c>
      <c r="N17" s="216">
        <f t="shared" si="0"/>
        <v>3.4999999964300001</v>
      </c>
      <c r="O17" s="122" t="s">
        <v>30</v>
      </c>
      <c r="P17" s="44" t="s">
        <v>31</v>
      </c>
      <c r="Q17" s="44" t="s">
        <v>43</v>
      </c>
    </row>
    <row r="18" spans="1:17" x14ac:dyDescent="0.3">
      <c r="A18" s="87" t="s">
        <v>5</v>
      </c>
      <c r="B18" s="124">
        <v>378</v>
      </c>
      <c r="C18" s="9">
        <v>3460</v>
      </c>
      <c r="D18" s="125">
        <v>8780</v>
      </c>
      <c r="E18" s="124" t="s">
        <v>14</v>
      </c>
      <c r="F18" s="125" t="s">
        <v>11</v>
      </c>
      <c r="G18" s="169">
        <v>5203.5921718493828</v>
      </c>
      <c r="H18" s="66">
        <v>53.340000000213358</v>
      </c>
      <c r="I18" s="170">
        <v>45.720000000182878</v>
      </c>
      <c r="J18" s="124" t="s">
        <v>23</v>
      </c>
      <c r="K18" s="9">
        <v>2</v>
      </c>
      <c r="L18" s="45" t="s">
        <v>38</v>
      </c>
      <c r="M18" s="200">
        <v>152.4</v>
      </c>
      <c r="N18" s="217">
        <f t="shared" si="0"/>
        <v>5.9999999938800004</v>
      </c>
      <c r="O18" s="124" t="s">
        <v>39</v>
      </c>
      <c r="P18" s="45" t="s">
        <v>40</v>
      </c>
      <c r="Q18" s="45" t="s">
        <v>41</v>
      </c>
    </row>
    <row r="19" spans="1:17" x14ac:dyDescent="0.3">
      <c r="A19" s="87" t="s">
        <v>5</v>
      </c>
      <c r="B19" s="124">
        <v>378</v>
      </c>
      <c r="C19" s="9">
        <v>3460</v>
      </c>
      <c r="D19" s="125">
        <v>8780</v>
      </c>
      <c r="E19" s="124" t="s">
        <v>14</v>
      </c>
      <c r="F19" s="125" t="s">
        <v>11</v>
      </c>
      <c r="G19" s="169">
        <v>5203.5921718493828</v>
      </c>
      <c r="H19" s="66">
        <v>53.340000000213358</v>
      </c>
      <c r="I19" s="170">
        <v>45.720000000182878</v>
      </c>
      <c r="J19" s="124" t="s">
        <v>23</v>
      </c>
      <c r="K19" s="9">
        <v>3</v>
      </c>
      <c r="L19" s="45" t="s">
        <v>27</v>
      </c>
      <c r="M19" s="200">
        <v>203.2</v>
      </c>
      <c r="N19" s="217">
        <f t="shared" si="0"/>
        <v>7.9999999918399993</v>
      </c>
      <c r="O19" s="124" t="s">
        <v>28</v>
      </c>
      <c r="P19" s="45" t="s">
        <v>29</v>
      </c>
      <c r="Q19" s="45" t="s">
        <v>42</v>
      </c>
    </row>
    <row r="20" spans="1:17" ht="15" thickBot="1" x14ac:dyDescent="0.35">
      <c r="A20" s="88" t="s">
        <v>5</v>
      </c>
      <c r="B20" s="126">
        <v>378</v>
      </c>
      <c r="C20" s="21">
        <v>3460</v>
      </c>
      <c r="D20" s="127">
        <v>8780</v>
      </c>
      <c r="E20" s="126" t="s">
        <v>14</v>
      </c>
      <c r="F20" s="127" t="s">
        <v>11</v>
      </c>
      <c r="G20" s="171">
        <v>5203.5921718493828</v>
      </c>
      <c r="H20" s="67">
        <v>53.340000000213358</v>
      </c>
      <c r="I20" s="172">
        <v>45.720000000182878</v>
      </c>
      <c r="J20" s="126" t="s">
        <v>23</v>
      </c>
      <c r="K20" s="21">
        <v>4</v>
      </c>
      <c r="L20" s="46" t="s">
        <v>30</v>
      </c>
      <c r="M20" s="201">
        <v>88.9</v>
      </c>
      <c r="N20" s="218">
        <f t="shared" si="0"/>
        <v>3.4999999964300001</v>
      </c>
      <c r="O20" s="126" t="s">
        <v>30</v>
      </c>
      <c r="P20" s="46" t="s">
        <v>31</v>
      </c>
      <c r="Q20" s="46" t="s">
        <v>43</v>
      </c>
    </row>
    <row r="21" spans="1:17" x14ac:dyDescent="0.3">
      <c r="A21" s="89" t="s">
        <v>4</v>
      </c>
      <c r="B21" s="128">
        <v>1017</v>
      </c>
      <c r="C21" s="22">
        <v>9167</v>
      </c>
      <c r="D21" s="129">
        <v>21222</v>
      </c>
      <c r="E21" s="128" t="s">
        <v>8</v>
      </c>
      <c r="F21" s="129" t="s">
        <v>9</v>
      </c>
      <c r="G21" s="173">
        <v>105571.7630173292</v>
      </c>
      <c r="H21" s="68">
        <v>2194.5600000087779</v>
      </c>
      <c r="I21" s="174">
        <v>45.720000000182878</v>
      </c>
      <c r="J21" s="128" t="s">
        <v>23</v>
      </c>
      <c r="K21" s="22">
        <v>3</v>
      </c>
      <c r="L21" s="47" t="s">
        <v>27</v>
      </c>
      <c r="M21" s="202">
        <v>609.6</v>
      </c>
      <c r="N21" s="219">
        <f t="shared" si="0"/>
        <v>23.999999975520002</v>
      </c>
      <c r="O21" s="128" t="s">
        <v>28</v>
      </c>
      <c r="P21" s="47" t="s">
        <v>29</v>
      </c>
      <c r="Q21" s="47" t="s">
        <v>45</v>
      </c>
    </row>
    <row r="22" spans="1:17" ht="15" thickBot="1" x14ac:dyDescent="0.35">
      <c r="A22" s="90" t="s">
        <v>4</v>
      </c>
      <c r="B22" s="130">
        <v>1017</v>
      </c>
      <c r="C22" s="23">
        <v>9167</v>
      </c>
      <c r="D22" s="131">
        <v>21222</v>
      </c>
      <c r="E22" s="130" t="s">
        <v>8</v>
      </c>
      <c r="F22" s="131" t="s">
        <v>9</v>
      </c>
      <c r="G22" s="175">
        <v>105571.7630173292</v>
      </c>
      <c r="H22" s="69">
        <v>2194.5600000087779</v>
      </c>
      <c r="I22" s="176">
        <v>45.720000000182878</v>
      </c>
      <c r="J22" s="130" t="s">
        <v>23</v>
      </c>
      <c r="K22" s="23">
        <v>4</v>
      </c>
      <c r="L22" s="48" t="s">
        <v>30</v>
      </c>
      <c r="M22" s="203">
        <v>63.5</v>
      </c>
      <c r="N22" s="220">
        <f t="shared" si="0"/>
        <v>2.4999999974499998</v>
      </c>
      <c r="O22" s="130" t="s">
        <v>30</v>
      </c>
      <c r="P22" s="48" t="s">
        <v>46</v>
      </c>
      <c r="Q22" s="48" t="s">
        <v>47</v>
      </c>
    </row>
    <row r="23" spans="1:17" x14ac:dyDescent="0.3">
      <c r="A23" s="91" t="s">
        <v>3</v>
      </c>
      <c r="B23" s="132">
        <v>1356</v>
      </c>
      <c r="C23" s="25">
        <v>12098</v>
      </c>
      <c r="D23" s="133">
        <v>28171</v>
      </c>
      <c r="E23" s="132" t="s">
        <v>19</v>
      </c>
      <c r="F23" s="133" t="s">
        <v>11</v>
      </c>
      <c r="G23" s="177">
        <v>19762.5204704756</v>
      </c>
      <c r="H23" s="70">
        <v>164.5920000006584</v>
      </c>
      <c r="I23" s="178">
        <v>10.668000000042669</v>
      </c>
      <c r="J23" s="132" t="s">
        <v>23</v>
      </c>
      <c r="K23" s="25">
        <v>3</v>
      </c>
      <c r="L23" s="49" t="s">
        <v>27</v>
      </c>
      <c r="M23" s="204">
        <v>203.2</v>
      </c>
      <c r="N23" s="221">
        <f t="shared" si="0"/>
        <v>7.9999999918399993</v>
      </c>
      <c r="O23" s="132" t="s">
        <v>28</v>
      </c>
      <c r="P23" s="49" t="s">
        <v>29</v>
      </c>
      <c r="Q23" s="49" t="s">
        <v>48</v>
      </c>
    </row>
    <row r="24" spans="1:17" ht="15" thickBot="1" x14ac:dyDescent="0.35">
      <c r="A24" s="249" t="s">
        <v>3</v>
      </c>
      <c r="B24" s="250">
        <v>1356</v>
      </c>
      <c r="C24" s="251">
        <v>12098</v>
      </c>
      <c r="D24" s="252">
        <v>28171</v>
      </c>
      <c r="E24" s="250" t="s">
        <v>19</v>
      </c>
      <c r="F24" s="252" t="s">
        <v>11</v>
      </c>
      <c r="G24" s="253">
        <v>19762.5204704756</v>
      </c>
      <c r="H24" s="254">
        <v>164.5920000006584</v>
      </c>
      <c r="I24" s="255">
        <v>10.668000000042669</v>
      </c>
      <c r="J24" s="250" t="s">
        <v>23</v>
      </c>
      <c r="K24" s="251">
        <v>4</v>
      </c>
      <c r="L24" s="256" t="s">
        <v>30</v>
      </c>
      <c r="M24" s="257">
        <v>63.5</v>
      </c>
      <c r="N24" s="258">
        <f t="shared" si="0"/>
        <v>2.4999999974499998</v>
      </c>
      <c r="O24" s="250" t="s">
        <v>30</v>
      </c>
      <c r="P24" s="256" t="s">
        <v>31</v>
      </c>
      <c r="Q24" s="256" t="s">
        <v>49</v>
      </c>
    </row>
    <row r="25" spans="1:17" x14ac:dyDescent="0.3">
      <c r="A25" s="240" t="s">
        <v>3</v>
      </c>
      <c r="B25" s="241">
        <v>1356</v>
      </c>
      <c r="C25" s="242">
        <v>12327</v>
      </c>
      <c r="D25" s="243">
        <v>27450</v>
      </c>
      <c r="E25" s="241" t="s">
        <v>20</v>
      </c>
      <c r="F25" s="248" t="s">
        <v>9</v>
      </c>
      <c r="G25" s="244">
        <v>41815.379583263668</v>
      </c>
      <c r="H25" s="245">
        <v>982.37040000392949</v>
      </c>
      <c r="I25" s="246">
        <v>30.480000000121919</v>
      </c>
      <c r="J25" s="269" t="s">
        <v>23</v>
      </c>
      <c r="K25" s="242">
        <v>3</v>
      </c>
      <c r="L25" s="272" t="s">
        <v>27</v>
      </c>
      <c r="M25" s="267">
        <v>228.6</v>
      </c>
      <c r="N25" s="243">
        <f t="shared" si="0"/>
        <v>8.9999999908199992</v>
      </c>
      <c r="O25" s="269" t="s">
        <v>28</v>
      </c>
      <c r="P25" s="247" t="s">
        <v>29</v>
      </c>
      <c r="Q25" s="280" t="s">
        <v>50</v>
      </c>
    </row>
    <row r="26" spans="1:17" ht="15" thickBot="1" x14ac:dyDescent="0.35">
      <c r="A26" s="231" t="s">
        <v>3</v>
      </c>
      <c r="B26" s="232">
        <v>1356</v>
      </c>
      <c r="C26" s="233">
        <v>12327</v>
      </c>
      <c r="D26" s="234">
        <v>27450</v>
      </c>
      <c r="E26" s="232" t="s">
        <v>20</v>
      </c>
      <c r="F26" s="239" t="s">
        <v>9</v>
      </c>
      <c r="G26" s="235">
        <v>41815.379583263668</v>
      </c>
      <c r="H26" s="236">
        <v>982.37040000392949</v>
      </c>
      <c r="I26" s="237">
        <v>30.480000000121919</v>
      </c>
      <c r="J26" s="270" t="s">
        <v>23</v>
      </c>
      <c r="K26" s="233">
        <v>4</v>
      </c>
      <c r="L26" s="273" t="s">
        <v>30</v>
      </c>
      <c r="M26" s="268">
        <v>76.2</v>
      </c>
      <c r="N26" s="234">
        <f t="shared" si="0"/>
        <v>2.9999999969400002</v>
      </c>
      <c r="O26" s="270" t="s">
        <v>30</v>
      </c>
      <c r="P26" s="238" t="s">
        <v>46</v>
      </c>
      <c r="Q26" s="281" t="s">
        <v>51</v>
      </c>
    </row>
    <row r="27" spans="1:17" x14ac:dyDescent="0.3">
      <c r="A27" s="259" t="s">
        <v>3</v>
      </c>
      <c r="B27" s="260">
        <v>1356</v>
      </c>
      <c r="C27" s="24">
        <v>12327</v>
      </c>
      <c r="D27" s="261">
        <v>27641</v>
      </c>
      <c r="E27" s="260" t="s">
        <v>20</v>
      </c>
      <c r="F27" s="266" t="s">
        <v>9</v>
      </c>
      <c r="G27" s="262">
        <v>41815.379583263668</v>
      </c>
      <c r="H27" s="263">
        <v>168.8592000006754</v>
      </c>
      <c r="I27" s="264">
        <v>30.480000000121919</v>
      </c>
      <c r="J27" s="271" t="s">
        <v>23</v>
      </c>
      <c r="K27" s="24">
        <v>3</v>
      </c>
      <c r="L27" s="274" t="s">
        <v>27</v>
      </c>
      <c r="M27" s="288">
        <v>203.2</v>
      </c>
      <c r="N27" s="261">
        <f t="shared" si="0"/>
        <v>7.9999999918399993</v>
      </c>
      <c r="O27" s="271" t="s">
        <v>28</v>
      </c>
      <c r="P27" s="265" t="s">
        <v>29</v>
      </c>
      <c r="Q27" s="282" t="s">
        <v>48</v>
      </c>
    </row>
    <row r="28" spans="1:17" ht="15" thickBot="1" x14ac:dyDescent="0.35">
      <c r="A28" s="92" t="s">
        <v>3</v>
      </c>
      <c r="B28" s="134">
        <v>1356</v>
      </c>
      <c r="C28" s="27">
        <v>12327</v>
      </c>
      <c r="D28" s="135">
        <v>27641</v>
      </c>
      <c r="E28" s="134" t="s">
        <v>20</v>
      </c>
      <c r="F28" s="222" t="s">
        <v>9</v>
      </c>
      <c r="G28" s="179">
        <v>41815.379583263668</v>
      </c>
      <c r="H28" s="71">
        <v>168.8592000006754</v>
      </c>
      <c r="I28" s="180">
        <v>30.480000000121919</v>
      </c>
      <c r="J28" s="97" t="s">
        <v>23</v>
      </c>
      <c r="K28" s="27">
        <v>4</v>
      </c>
      <c r="L28" s="275" t="s">
        <v>30</v>
      </c>
      <c r="M28" s="26">
        <v>76.2</v>
      </c>
      <c r="N28" s="135">
        <f t="shared" si="0"/>
        <v>2.9999999969400002</v>
      </c>
      <c r="O28" s="97" t="s">
        <v>30</v>
      </c>
      <c r="P28" s="50" t="s">
        <v>46</v>
      </c>
      <c r="Q28" s="283" t="s">
        <v>51</v>
      </c>
    </row>
    <row r="29" spans="1:17" x14ac:dyDescent="0.3">
      <c r="A29" s="93" t="s">
        <v>2</v>
      </c>
      <c r="B29" s="136">
        <v>1863</v>
      </c>
      <c r="C29" s="29">
        <v>17511</v>
      </c>
      <c r="D29" s="137">
        <v>37325</v>
      </c>
      <c r="E29" s="136" t="s">
        <v>18</v>
      </c>
      <c r="F29" s="223" t="s">
        <v>9</v>
      </c>
      <c r="G29" s="181">
        <v>251021.2269164545</v>
      </c>
      <c r="H29" s="72">
        <v>2438.400000009754</v>
      </c>
      <c r="I29" s="182">
        <v>15.240000000060959</v>
      </c>
      <c r="J29" s="98" t="s">
        <v>23</v>
      </c>
      <c r="K29" s="29">
        <v>2</v>
      </c>
      <c r="L29" s="276" t="s">
        <v>38</v>
      </c>
      <c r="M29" s="28">
        <v>304.8</v>
      </c>
      <c r="N29" s="137">
        <f t="shared" si="0"/>
        <v>11.999999987760001</v>
      </c>
      <c r="O29" s="98" t="s">
        <v>52</v>
      </c>
      <c r="P29" s="51" t="s">
        <v>53</v>
      </c>
      <c r="Q29" s="284"/>
    </row>
    <row r="30" spans="1:17" x14ac:dyDescent="0.3">
      <c r="A30" s="94" t="s">
        <v>2</v>
      </c>
      <c r="B30" s="138">
        <v>1863</v>
      </c>
      <c r="C30" s="10">
        <v>17511</v>
      </c>
      <c r="D30" s="139">
        <v>37325</v>
      </c>
      <c r="E30" s="138" t="s">
        <v>18</v>
      </c>
      <c r="F30" s="224" t="s">
        <v>9</v>
      </c>
      <c r="G30" s="183">
        <v>251021.2269164545</v>
      </c>
      <c r="H30" s="73">
        <v>2438.400000009754</v>
      </c>
      <c r="I30" s="184">
        <v>15.240000000060959</v>
      </c>
      <c r="J30" s="99" t="s">
        <v>23</v>
      </c>
      <c r="K30" s="10">
        <v>3</v>
      </c>
      <c r="L30" s="277" t="s">
        <v>27</v>
      </c>
      <c r="M30" s="30">
        <v>152.4</v>
      </c>
      <c r="N30" s="139">
        <f t="shared" si="0"/>
        <v>5.9999999938800004</v>
      </c>
      <c r="O30" s="99" t="s">
        <v>28</v>
      </c>
      <c r="P30" s="52" t="s">
        <v>29</v>
      </c>
      <c r="Q30" s="285"/>
    </row>
    <row r="31" spans="1:17" x14ac:dyDescent="0.3">
      <c r="A31" s="94" t="s">
        <v>2</v>
      </c>
      <c r="B31" s="138">
        <v>1863</v>
      </c>
      <c r="C31" s="10">
        <v>17511</v>
      </c>
      <c r="D31" s="139">
        <v>37325</v>
      </c>
      <c r="E31" s="138" t="s">
        <v>18</v>
      </c>
      <c r="F31" s="224" t="s">
        <v>9</v>
      </c>
      <c r="G31" s="183">
        <v>251021.2269164545</v>
      </c>
      <c r="H31" s="73">
        <v>2438.400000009754</v>
      </c>
      <c r="I31" s="184">
        <v>15.240000000060959</v>
      </c>
      <c r="J31" s="99" t="s">
        <v>23</v>
      </c>
      <c r="K31" s="10">
        <v>4</v>
      </c>
      <c r="L31" s="277" t="s">
        <v>30</v>
      </c>
      <c r="M31" s="30">
        <v>50.8</v>
      </c>
      <c r="N31" s="139">
        <f t="shared" si="0"/>
        <v>1.9999999979599998</v>
      </c>
      <c r="O31" s="99" t="s">
        <v>30</v>
      </c>
      <c r="P31" s="52" t="s">
        <v>46</v>
      </c>
      <c r="Q31" s="285"/>
    </row>
    <row r="32" spans="1:17" x14ac:dyDescent="0.3">
      <c r="A32" s="95" t="s">
        <v>2</v>
      </c>
      <c r="B32" s="140">
        <v>1863</v>
      </c>
      <c r="C32" s="11">
        <v>17511</v>
      </c>
      <c r="D32" s="141">
        <v>37508</v>
      </c>
      <c r="E32" s="140" t="s">
        <v>18</v>
      </c>
      <c r="F32" s="225" t="s">
        <v>9</v>
      </c>
      <c r="G32" s="185">
        <v>251021.2269164545</v>
      </c>
      <c r="H32" s="74">
        <v>2438.400000009754</v>
      </c>
      <c r="I32" s="186">
        <v>45.720000000182878</v>
      </c>
      <c r="J32" s="100" t="s">
        <v>23</v>
      </c>
      <c r="K32" s="11">
        <v>2</v>
      </c>
      <c r="L32" s="278" t="s">
        <v>38</v>
      </c>
      <c r="M32" s="31">
        <v>304.8</v>
      </c>
      <c r="N32" s="141">
        <f t="shared" si="0"/>
        <v>11.999999987760001</v>
      </c>
      <c r="O32" s="100" t="s">
        <v>52</v>
      </c>
      <c r="P32" s="53" t="s">
        <v>53</v>
      </c>
      <c r="Q32" s="286"/>
    </row>
    <row r="33" spans="1:17" x14ac:dyDescent="0.3">
      <c r="A33" s="95" t="s">
        <v>2</v>
      </c>
      <c r="B33" s="140">
        <v>1863</v>
      </c>
      <c r="C33" s="11">
        <v>17511</v>
      </c>
      <c r="D33" s="141">
        <v>37508</v>
      </c>
      <c r="E33" s="140" t="s">
        <v>18</v>
      </c>
      <c r="F33" s="225" t="s">
        <v>9</v>
      </c>
      <c r="G33" s="185">
        <v>251021.2269164545</v>
      </c>
      <c r="H33" s="74">
        <v>2438.400000009754</v>
      </c>
      <c r="I33" s="186">
        <v>45.720000000182878</v>
      </c>
      <c r="J33" s="100" t="s">
        <v>23</v>
      </c>
      <c r="K33" s="11">
        <v>3</v>
      </c>
      <c r="L33" s="278" t="s">
        <v>27</v>
      </c>
      <c r="M33" s="31">
        <v>152.4</v>
      </c>
      <c r="N33" s="141">
        <f t="shared" si="0"/>
        <v>5.9999999938800004</v>
      </c>
      <c r="O33" s="100" t="s">
        <v>28</v>
      </c>
      <c r="P33" s="53" t="s">
        <v>29</v>
      </c>
      <c r="Q33" s="286"/>
    </row>
    <row r="34" spans="1:17" ht="15" thickBot="1" x14ac:dyDescent="0.35">
      <c r="A34" s="96" t="s">
        <v>2</v>
      </c>
      <c r="B34" s="142">
        <v>1863</v>
      </c>
      <c r="C34" s="33">
        <v>17511</v>
      </c>
      <c r="D34" s="143">
        <v>37508</v>
      </c>
      <c r="E34" s="142" t="s">
        <v>18</v>
      </c>
      <c r="F34" s="226" t="s">
        <v>9</v>
      </c>
      <c r="G34" s="187">
        <v>251021.2269164545</v>
      </c>
      <c r="H34" s="75">
        <v>2438.400000009754</v>
      </c>
      <c r="I34" s="188">
        <v>45.720000000182878</v>
      </c>
      <c r="J34" s="101" t="s">
        <v>23</v>
      </c>
      <c r="K34" s="33">
        <v>4</v>
      </c>
      <c r="L34" s="279" t="s">
        <v>30</v>
      </c>
      <c r="M34" s="32">
        <v>50.8</v>
      </c>
      <c r="N34" s="143">
        <f t="shared" si="0"/>
        <v>1.9999999979599998</v>
      </c>
      <c r="O34" s="101" t="s">
        <v>30</v>
      </c>
      <c r="P34" s="54" t="s">
        <v>46</v>
      </c>
      <c r="Q34" s="28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E254-4B43-4E5A-A027-A21EA7B7437F}">
  <dimension ref="A1:H218"/>
  <sheetViews>
    <sheetView workbookViewId="0">
      <selection activeCell="H6" sqref="H6"/>
    </sheetView>
  </sheetViews>
  <sheetFormatPr defaultRowHeight="14.4" x14ac:dyDescent="0.3"/>
  <cols>
    <col min="1" max="1" width="15.109375" customWidth="1"/>
    <col min="3" max="3" width="13.5546875" hidden="1" customWidth="1"/>
    <col min="4" max="4" width="9.5546875" customWidth="1"/>
  </cols>
  <sheetData>
    <row r="1" spans="1:8" x14ac:dyDescent="0.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x14ac:dyDescent="0.3">
      <c r="A2" t="s">
        <v>62</v>
      </c>
      <c r="B2">
        <v>2016</v>
      </c>
      <c r="C2" t="s">
        <v>63</v>
      </c>
      <c r="D2" t="s">
        <v>64</v>
      </c>
      <c r="E2" t="s">
        <v>65</v>
      </c>
      <c r="F2">
        <v>50044</v>
      </c>
      <c r="G2" t="s">
        <v>66</v>
      </c>
      <c r="H2">
        <v>1</v>
      </c>
    </row>
    <row r="3" spans="1:8" x14ac:dyDescent="0.3">
      <c r="A3" t="s">
        <v>67</v>
      </c>
      <c r="B3">
        <v>2014</v>
      </c>
      <c r="C3" t="s">
        <v>63</v>
      </c>
      <c r="D3" t="s">
        <v>64</v>
      </c>
      <c r="E3" t="s">
        <v>65</v>
      </c>
      <c r="F3">
        <v>2400</v>
      </c>
      <c r="G3" t="s">
        <v>66</v>
      </c>
      <c r="H3">
        <v>1</v>
      </c>
    </row>
    <row r="4" spans="1:8" x14ac:dyDescent="0.3">
      <c r="A4" t="s">
        <v>67</v>
      </c>
      <c r="B4">
        <v>2015</v>
      </c>
      <c r="C4" t="s">
        <v>63</v>
      </c>
      <c r="D4" t="s">
        <v>64</v>
      </c>
      <c r="E4" t="s">
        <v>65</v>
      </c>
      <c r="F4">
        <v>2400</v>
      </c>
      <c r="G4" t="s">
        <v>66</v>
      </c>
      <c r="H4">
        <v>1</v>
      </c>
    </row>
    <row r="5" spans="1:8" x14ac:dyDescent="0.3">
      <c r="A5" t="s">
        <v>67</v>
      </c>
      <c r="B5">
        <v>2017</v>
      </c>
      <c r="C5" t="s">
        <v>63</v>
      </c>
      <c r="D5" t="s">
        <v>64</v>
      </c>
      <c r="E5" t="s">
        <v>65</v>
      </c>
      <c r="F5">
        <v>2400</v>
      </c>
      <c r="G5" t="s">
        <v>66</v>
      </c>
      <c r="H5">
        <v>1</v>
      </c>
    </row>
    <row r="6" spans="1:8" x14ac:dyDescent="0.3">
      <c r="A6" t="s">
        <v>67</v>
      </c>
      <c r="B6">
        <v>2018</v>
      </c>
      <c r="C6" t="s">
        <v>63</v>
      </c>
      <c r="D6" t="s">
        <v>64</v>
      </c>
      <c r="E6" t="s">
        <v>65</v>
      </c>
      <c r="F6">
        <v>2400</v>
      </c>
      <c r="G6" t="s">
        <v>66</v>
      </c>
      <c r="H6">
        <v>2</v>
      </c>
    </row>
    <row r="7" spans="1:8" x14ac:dyDescent="0.3">
      <c r="A7" t="s">
        <v>68</v>
      </c>
      <c r="B7">
        <v>2017</v>
      </c>
      <c r="C7" t="s">
        <v>63</v>
      </c>
      <c r="D7" t="s">
        <v>64</v>
      </c>
      <c r="E7" t="s">
        <v>65</v>
      </c>
      <c r="F7">
        <v>3262</v>
      </c>
      <c r="G7" t="s">
        <v>66</v>
      </c>
      <c r="H7">
        <v>1</v>
      </c>
    </row>
    <row r="8" spans="1:8" x14ac:dyDescent="0.3">
      <c r="A8" t="s">
        <v>69</v>
      </c>
      <c r="B8">
        <v>2019</v>
      </c>
      <c r="C8" t="s">
        <v>63</v>
      </c>
      <c r="D8" t="s">
        <v>64</v>
      </c>
      <c r="E8" t="s">
        <v>65</v>
      </c>
      <c r="F8">
        <v>10700</v>
      </c>
      <c r="G8" t="s">
        <v>66</v>
      </c>
      <c r="H8">
        <v>1</v>
      </c>
    </row>
    <row r="9" spans="1:8" x14ac:dyDescent="0.3">
      <c r="A9" t="s">
        <v>70</v>
      </c>
      <c r="B9">
        <v>2014</v>
      </c>
      <c r="C9" t="s">
        <v>63</v>
      </c>
      <c r="D9" t="s">
        <v>64</v>
      </c>
      <c r="E9" t="s">
        <v>65</v>
      </c>
      <c r="F9">
        <v>6850</v>
      </c>
      <c r="G9" t="s">
        <v>66</v>
      </c>
      <c r="H9">
        <v>2</v>
      </c>
    </row>
    <row r="10" spans="1:8" x14ac:dyDescent="0.3">
      <c r="A10" t="s">
        <v>70</v>
      </c>
      <c r="B10">
        <v>2016</v>
      </c>
      <c r="C10" t="s">
        <v>63</v>
      </c>
      <c r="D10" t="s">
        <v>64</v>
      </c>
      <c r="E10" t="s">
        <v>65</v>
      </c>
      <c r="F10">
        <v>6850</v>
      </c>
      <c r="G10" t="s">
        <v>66</v>
      </c>
      <c r="H10">
        <v>1</v>
      </c>
    </row>
    <row r="11" spans="1:8" x14ac:dyDescent="0.3">
      <c r="A11" t="s">
        <v>71</v>
      </c>
      <c r="B11">
        <v>2015</v>
      </c>
      <c r="C11" t="s">
        <v>63</v>
      </c>
      <c r="D11" t="s">
        <v>64</v>
      </c>
      <c r="E11" t="s">
        <v>65</v>
      </c>
      <c r="F11">
        <v>12500</v>
      </c>
      <c r="G11" t="s">
        <v>72</v>
      </c>
      <c r="H11">
        <v>1</v>
      </c>
    </row>
    <row r="12" spans="1:8" x14ac:dyDescent="0.3">
      <c r="A12" t="s">
        <v>71</v>
      </c>
      <c r="B12">
        <v>2016</v>
      </c>
      <c r="C12" t="s">
        <v>63</v>
      </c>
      <c r="D12" t="s">
        <v>64</v>
      </c>
      <c r="E12" t="s">
        <v>65</v>
      </c>
      <c r="F12">
        <v>12500</v>
      </c>
      <c r="G12" t="s">
        <v>72</v>
      </c>
      <c r="H12">
        <v>3</v>
      </c>
    </row>
    <row r="13" spans="1:8" x14ac:dyDescent="0.3">
      <c r="A13" t="s">
        <v>71</v>
      </c>
      <c r="B13">
        <v>2017</v>
      </c>
      <c r="C13" t="s">
        <v>63</v>
      </c>
      <c r="D13" t="s">
        <v>64</v>
      </c>
      <c r="E13" t="s">
        <v>65</v>
      </c>
      <c r="F13">
        <v>12500</v>
      </c>
      <c r="G13" t="s">
        <v>72</v>
      </c>
      <c r="H13">
        <v>4</v>
      </c>
    </row>
    <row r="14" spans="1:8" x14ac:dyDescent="0.3">
      <c r="A14" t="s">
        <v>71</v>
      </c>
      <c r="B14">
        <v>2018</v>
      </c>
      <c r="C14" t="s">
        <v>63</v>
      </c>
      <c r="D14" t="s">
        <v>64</v>
      </c>
      <c r="E14" t="s">
        <v>65</v>
      </c>
      <c r="F14">
        <v>12500</v>
      </c>
      <c r="G14" t="s">
        <v>72</v>
      </c>
      <c r="H14">
        <v>3</v>
      </c>
    </row>
    <row r="15" spans="1:8" x14ac:dyDescent="0.3">
      <c r="A15" t="s">
        <v>73</v>
      </c>
      <c r="B15">
        <v>2015</v>
      </c>
      <c r="C15" t="s">
        <v>63</v>
      </c>
      <c r="D15" t="s">
        <v>64</v>
      </c>
      <c r="E15" t="s">
        <v>65</v>
      </c>
      <c r="F15">
        <v>3500</v>
      </c>
      <c r="G15" t="s">
        <v>66</v>
      </c>
      <c r="H15">
        <v>4</v>
      </c>
    </row>
    <row r="16" spans="1:8" x14ac:dyDescent="0.3">
      <c r="A16" t="s">
        <v>73</v>
      </c>
      <c r="B16">
        <v>2016</v>
      </c>
      <c r="C16" t="s">
        <v>63</v>
      </c>
      <c r="D16" t="s">
        <v>64</v>
      </c>
      <c r="E16" t="s">
        <v>65</v>
      </c>
      <c r="F16">
        <v>3500</v>
      </c>
      <c r="G16" t="s">
        <v>66</v>
      </c>
      <c r="H16">
        <v>1</v>
      </c>
    </row>
    <row r="17" spans="1:8" x14ac:dyDescent="0.3">
      <c r="A17" t="s">
        <v>73</v>
      </c>
      <c r="B17">
        <v>2019</v>
      </c>
      <c r="C17" t="s">
        <v>63</v>
      </c>
      <c r="D17" t="s">
        <v>64</v>
      </c>
      <c r="E17" t="s">
        <v>65</v>
      </c>
      <c r="F17">
        <v>3500</v>
      </c>
      <c r="G17" t="s">
        <v>66</v>
      </c>
      <c r="H17">
        <v>2</v>
      </c>
    </row>
    <row r="18" spans="1:8" x14ac:dyDescent="0.3">
      <c r="A18" t="s">
        <v>74</v>
      </c>
      <c r="B18">
        <v>2014</v>
      </c>
      <c r="C18" t="s">
        <v>63</v>
      </c>
      <c r="D18" t="s">
        <v>64</v>
      </c>
      <c r="E18" t="s">
        <v>65</v>
      </c>
      <c r="F18">
        <v>3400</v>
      </c>
      <c r="G18" t="s">
        <v>66</v>
      </c>
      <c r="H18">
        <v>3</v>
      </c>
    </row>
    <row r="19" spans="1:8" x14ac:dyDescent="0.3">
      <c r="A19" t="s">
        <v>74</v>
      </c>
      <c r="B19">
        <v>2015</v>
      </c>
      <c r="C19" t="s">
        <v>63</v>
      </c>
      <c r="D19" t="s">
        <v>64</v>
      </c>
      <c r="E19" t="s">
        <v>65</v>
      </c>
      <c r="F19">
        <v>3400</v>
      </c>
      <c r="G19" t="s">
        <v>66</v>
      </c>
      <c r="H19">
        <v>1</v>
      </c>
    </row>
    <row r="20" spans="1:8" x14ac:dyDescent="0.3">
      <c r="A20" t="s">
        <v>74</v>
      </c>
      <c r="B20">
        <v>2016</v>
      </c>
      <c r="C20" t="s">
        <v>63</v>
      </c>
      <c r="D20" t="s">
        <v>64</v>
      </c>
      <c r="E20" t="s">
        <v>65</v>
      </c>
      <c r="F20">
        <v>3400</v>
      </c>
      <c r="G20" t="s">
        <v>66</v>
      </c>
      <c r="H20">
        <v>2</v>
      </c>
    </row>
    <row r="21" spans="1:8" x14ac:dyDescent="0.3">
      <c r="A21" t="s">
        <v>74</v>
      </c>
      <c r="B21">
        <v>2017</v>
      </c>
      <c r="C21" t="s">
        <v>63</v>
      </c>
      <c r="D21" t="s">
        <v>64</v>
      </c>
      <c r="E21" t="s">
        <v>65</v>
      </c>
      <c r="F21">
        <v>3400</v>
      </c>
      <c r="G21" t="s">
        <v>66</v>
      </c>
      <c r="H21">
        <v>1</v>
      </c>
    </row>
    <row r="22" spans="1:8" x14ac:dyDescent="0.3">
      <c r="A22" t="s">
        <v>74</v>
      </c>
      <c r="B22">
        <v>2018</v>
      </c>
      <c r="C22" t="s">
        <v>63</v>
      </c>
      <c r="D22" t="s">
        <v>64</v>
      </c>
      <c r="E22" t="s">
        <v>65</v>
      </c>
      <c r="F22">
        <v>3400</v>
      </c>
      <c r="G22" t="s">
        <v>66</v>
      </c>
      <c r="H22">
        <v>1</v>
      </c>
    </row>
    <row r="23" spans="1:8" x14ac:dyDescent="0.3">
      <c r="A23" t="s">
        <v>74</v>
      </c>
      <c r="B23">
        <v>2019</v>
      </c>
      <c r="C23" t="s">
        <v>63</v>
      </c>
      <c r="D23" t="s">
        <v>64</v>
      </c>
      <c r="E23" t="s">
        <v>65</v>
      </c>
      <c r="F23">
        <v>3400</v>
      </c>
      <c r="G23" t="s">
        <v>66</v>
      </c>
      <c r="H23">
        <v>5</v>
      </c>
    </row>
    <row r="24" spans="1:8" x14ac:dyDescent="0.3">
      <c r="A24" t="s">
        <v>74</v>
      </c>
      <c r="B24">
        <v>2020</v>
      </c>
      <c r="C24" t="s">
        <v>63</v>
      </c>
      <c r="D24" t="s">
        <v>64</v>
      </c>
      <c r="E24" t="s">
        <v>65</v>
      </c>
      <c r="F24">
        <v>3400</v>
      </c>
      <c r="G24" t="s">
        <v>66</v>
      </c>
      <c r="H24">
        <v>2</v>
      </c>
    </row>
    <row r="25" spans="1:8" x14ac:dyDescent="0.3">
      <c r="A25" t="s">
        <v>74</v>
      </c>
      <c r="B25">
        <v>2021</v>
      </c>
      <c r="C25" t="s">
        <v>63</v>
      </c>
      <c r="D25" t="s">
        <v>64</v>
      </c>
      <c r="E25" t="s">
        <v>65</v>
      </c>
      <c r="F25">
        <v>3400</v>
      </c>
      <c r="G25" t="s">
        <v>66</v>
      </c>
      <c r="H25">
        <v>1</v>
      </c>
    </row>
    <row r="26" spans="1:8" x14ac:dyDescent="0.3">
      <c r="A26" t="s">
        <v>75</v>
      </c>
      <c r="B26">
        <v>2014</v>
      </c>
      <c r="C26" t="s">
        <v>63</v>
      </c>
      <c r="D26" t="s">
        <v>64</v>
      </c>
      <c r="E26" t="s">
        <v>65</v>
      </c>
      <c r="F26">
        <v>3650</v>
      </c>
      <c r="G26" t="s">
        <v>66</v>
      </c>
      <c r="H26">
        <v>1</v>
      </c>
    </row>
    <row r="27" spans="1:8" x14ac:dyDescent="0.3">
      <c r="A27" t="s">
        <v>75</v>
      </c>
      <c r="B27">
        <v>2015</v>
      </c>
      <c r="C27" t="s">
        <v>63</v>
      </c>
      <c r="D27" t="s">
        <v>64</v>
      </c>
      <c r="E27" t="s">
        <v>65</v>
      </c>
      <c r="F27">
        <v>3650</v>
      </c>
      <c r="G27" t="s">
        <v>66</v>
      </c>
      <c r="H27">
        <v>1</v>
      </c>
    </row>
    <row r="28" spans="1:8" x14ac:dyDescent="0.3">
      <c r="A28" t="s">
        <v>75</v>
      </c>
      <c r="B28">
        <v>2016</v>
      </c>
      <c r="C28" t="s">
        <v>63</v>
      </c>
      <c r="D28" t="s">
        <v>64</v>
      </c>
      <c r="E28" t="s">
        <v>65</v>
      </c>
      <c r="F28">
        <v>3650</v>
      </c>
      <c r="G28" t="s">
        <v>66</v>
      </c>
      <c r="H28">
        <v>4</v>
      </c>
    </row>
    <row r="29" spans="1:8" x14ac:dyDescent="0.3">
      <c r="A29" t="s">
        <v>75</v>
      </c>
      <c r="B29">
        <v>2017</v>
      </c>
      <c r="C29" t="s">
        <v>63</v>
      </c>
      <c r="D29" t="s">
        <v>64</v>
      </c>
      <c r="E29" t="s">
        <v>65</v>
      </c>
      <c r="F29">
        <v>3650</v>
      </c>
      <c r="G29" t="s">
        <v>66</v>
      </c>
      <c r="H29">
        <v>2</v>
      </c>
    </row>
    <row r="30" spans="1:8" x14ac:dyDescent="0.3">
      <c r="A30" t="s">
        <v>75</v>
      </c>
      <c r="B30">
        <v>2018</v>
      </c>
      <c r="C30" t="s">
        <v>63</v>
      </c>
      <c r="D30" t="s">
        <v>64</v>
      </c>
      <c r="E30" t="s">
        <v>65</v>
      </c>
      <c r="F30">
        <v>3650</v>
      </c>
      <c r="G30" t="s">
        <v>66</v>
      </c>
      <c r="H30">
        <v>3</v>
      </c>
    </row>
    <row r="31" spans="1:8" x14ac:dyDescent="0.3">
      <c r="A31" t="s">
        <v>75</v>
      </c>
      <c r="B31">
        <v>2021</v>
      </c>
      <c r="C31" t="s">
        <v>63</v>
      </c>
      <c r="D31" t="s">
        <v>64</v>
      </c>
      <c r="E31" t="s">
        <v>65</v>
      </c>
      <c r="F31">
        <v>3650</v>
      </c>
      <c r="G31" t="s">
        <v>66</v>
      </c>
      <c r="H31">
        <v>1</v>
      </c>
    </row>
    <row r="32" spans="1:8" x14ac:dyDescent="0.3">
      <c r="A32" t="s">
        <v>76</v>
      </c>
      <c r="B32">
        <v>2014</v>
      </c>
      <c r="C32" t="s">
        <v>63</v>
      </c>
      <c r="D32" t="s">
        <v>64</v>
      </c>
      <c r="E32" t="s">
        <v>65</v>
      </c>
      <c r="F32">
        <v>5300</v>
      </c>
      <c r="G32" t="s">
        <v>66</v>
      </c>
      <c r="H32">
        <v>1</v>
      </c>
    </row>
    <row r="33" spans="1:8" x14ac:dyDescent="0.3">
      <c r="A33" t="s">
        <v>76</v>
      </c>
      <c r="B33">
        <v>2021</v>
      </c>
      <c r="C33" t="s">
        <v>63</v>
      </c>
      <c r="D33" t="s">
        <v>64</v>
      </c>
      <c r="E33" t="s">
        <v>65</v>
      </c>
      <c r="F33">
        <v>5300</v>
      </c>
      <c r="G33" t="s">
        <v>66</v>
      </c>
      <c r="H33">
        <v>1</v>
      </c>
    </row>
    <row r="34" spans="1:8" x14ac:dyDescent="0.3">
      <c r="A34" t="s">
        <v>77</v>
      </c>
      <c r="B34">
        <v>2017</v>
      </c>
      <c r="C34" t="s">
        <v>63</v>
      </c>
      <c r="D34" t="s">
        <v>64</v>
      </c>
      <c r="E34" t="s">
        <v>65</v>
      </c>
      <c r="F34">
        <v>5500</v>
      </c>
      <c r="G34" t="s">
        <v>66</v>
      </c>
      <c r="H34">
        <v>2</v>
      </c>
    </row>
    <row r="35" spans="1:8" x14ac:dyDescent="0.3">
      <c r="A35" t="s">
        <v>77</v>
      </c>
      <c r="B35">
        <v>2020</v>
      </c>
      <c r="C35" t="s">
        <v>63</v>
      </c>
      <c r="D35" t="s">
        <v>64</v>
      </c>
      <c r="E35" t="s">
        <v>65</v>
      </c>
      <c r="F35">
        <v>5500</v>
      </c>
      <c r="G35" t="s">
        <v>66</v>
      </c>
      <c r="H35">
        <v>1</v>
      </c>
    </row>
    <row r="36" spans="1:8" x14ac:dyDescent="0.3">
      <c r="A36" t="s">
        <v>78</v>
      </c>
      <c r="B36">
        <v>2018</v>
      </c>
      <c r="C36" t="s">
        <v>63</v>
      </c>
      <c r="D36" t="s">
        <v>64</v>
      </c>
      <c r="E36" t="s">
        <v>65</v>
      </c>
      <c r="F36">
        <v>6775</v>
      </c>
      <c r="G36" t="s">
        <v>66</v>
      </c>
      <c r="H36">
        <v>1</v>
      </c>
    </row>
    <row r="37" spans="1:8" x14ac:dyDescent="0.3">
      <c r="A37" t="s">
        <v>79</v>
      </c>
      <c r="B37">
        <v>2017</v>
      </c>
      <c r="C37" t="s">
        <v>63</v>
      </c>
      <c r="D37" t="s">
        <v>64</v>
      </c>
      <c r="E37" t="s">
        <v>65</v>
      </c>
      <c r="F37">
        <v>10097</v>
      </c>
      <c r="G37" t="s">
        <v>66</v>
      </c>
      <c r="H37">
        <v>1</v>
      </c>
    </row>
    <row r="38" spans="1:8" x14ac:dyDescent="0.3">
      <c r="A38" t="s">
        <v>80</v>
      </c>
      <c r="B38">
        <v>2014</v>
      </c>
      <c r="C38" t="s">
        <v>63</v>
      </c>
      <c r="D38" t="s">
        <v>64</v>
      </c>
      <c r="E38" t="s">
        <v>65</v>
      </c>
      <c r="F38">
        <v>10097</v>
      </c>
      <c r="G38" t="s">
        <v>72</v>
      </c>
      <c r="H38">
        <v>1</v>
      </c>
    </row>
    <row r="39" spans="1:8" x14ac:dyDescent="0.3">
      <c r="A39" t="s">
        <v>80</v>
      </c>
      <c r="B39">
        <v>2015</v>
      </c>
      <c r="C39" t="s">
        <v>63</v>
      </c>
      <c r="D39" t="s">
        <v>64</v>
      </c>
      <c r="E39" t="s">
        <v>65</v>
      </c>
      <c r="F39">
        <v>10097</v>
      </c>
      <c r="G39" t="s">
        <v>72</v>
      </c>
      <c r="H39">
        <v>1</v>
      </c>
    </row>
    <row r="40" spans="1:8" x14ac:dyDescent="0.3">
      <c r="A40" t="s">
        <v>80</v>
      </c>
      <c r="B40">
        <v>2016</v>
      </c>
      <c r="C40" t="s">
        <v>63</v>
      </c>
      <c r="D40" t="s">
        <v>64</v>
      </c>
      <c r="E40" t="s">
        <v>65</v>
      </c>
      <c r="F40">
        <v>10097</v>
      </c>
      <c r="G40" t="s">
        <v>72</v>
      </c>
      <c r="H40">
        <v>2</v>
      </c>
    </row>
    <row r="41" spans="1:8" x14ac:dyDescent="0.3">
      <c r="A41" t="s">
        <v>80</v>
      </c>
      <c r="B41">
        <v>2017</v>
      </c>
      <c r="C41" t="s">
        <v>63</v>
      </c>
      <c r="D41" t="s">
        <v>64</v>
      </c>
      <c r="E41" t="s">
        <v>65</v>
      </c>
      <c r="F41">
        <v>10097</v>
      </c>
      <c r="G41" t="s">
        <v>72</v>
      </c>
      <c r="H41">
        <v>4</v>
      </c>
    </row>
    <row r="42" spans="1:8" x14ac:dyDescent="0.3">
      <c r="A42" t="s">
        <v>80</v>
      </c>
      <c r="B42">
        <v>2018</v>
      </c>
      <c r="C42" t="s">
        <v>63</v>
      </c>
      <c r="D42" t="s">
        <v>64</v>
      </c>
      <c r="E42" t="s">
        <v>65</v>
      </c>
      <c r="F42">
        <v>10097</v>
      </c>
      <c r="G42" t="s">
        <v>72</v>
      </c>
      <c r="H42">
        <v>2</v>
      </c>
    </row>
    <row r="43" spans="1:8" x14ac:dyDescent="0.3">
      <c r="A43" t="s">
        <v>81</v>
      </c>
      <c r="B43">
        <v>2014</v>
      </c>
      <c r="C43" t="s">
        <v>63</v>
      </c>
      <c r="D43" t="s">
        <v>64</v>
      </c>
      <c r="E43" t="s">
        <v>65</v>
      </c>
      <c r="F43">
        <v>3325</v>
      </c>
      <c r="G43" t="s">
        <v>66</v>
      </c>
      <c r="H43">
        <v>2</v>
      </c>
    </row>
    <row r="44" spans="1:8" x14ac:dyDescent="0.3">
      <c r="A44" t="s">
        <v>81</v>
      </c>
      <c r="B44">
        <v>2015</v>
      </c>
      <c r="C44" t="s">
        <v>63</v>
      </c>
      <c r="D44" t="s">
        <v>64</v>
      </c>
      <c r="E44" t="s">
        <v>65</v>
      </c>
      <c r="F44">
        <v>3325</v>
      </c>
      <c r="G44" t="s">
        <v>66</v>
      </c>
      <c r="H44">
        <v>1</v>
      </c>
    </row>
    <row r="45" spans="1:8" x14ac:dyDescent="0.3">
      <c r="A45" t="s">
        <v>81</v>
      </c>
      <c r="B45">
        <v>2017</v>
      </c>
      <c r="C45" t="s">
        <v>63</v>
      </c>
      <c r="D45" t="s">
        <v>64</v>
      </c>
      <c r="E45" t="s">
        <v>65</v>
      </c>
      <c r="F45">
        <v>3325</v>
      </c>
      <c r="G45" t="s">
        <v>66</v>
      </c>
      <c r="H45">
        <v>1</v>
      </c>
    </row>
    <row r="46" spans="1:8" x14ac:dyDescent="0.3">
      <c r="A46" t="s">
        <v>82</v>
      </c>
      <c r="B46">
        <v>2016</v>
      </c>
      <c r="C46" t="s">
        <v>63</v>
      </c>
      <c r="D46" t="s">
        <v>64</v>
      </c>
      <c r="E46" t="s">
        <v>65</v>
      </c>
      <c r="F46">
        <v>155000</v>
      </c>
      <c r="G46" t="s">
        <v>83</v>
      </c>
      <c r="H46">
        <v>1</v>
      </c>
    </row>
    <row r="47" spans="1:8" x14ac:dyDescent="0.3">
      <c r="A47" t="s">
        <v>82</v>
      </c>
      <c r="B47">
        <v>2018</v>
      </c>
      <c r="C47" t="s">
        <v>63</v>
      </c>
      <c r="D47" t="s">
        <v>64</v>
      </c>
      <c r="E47" t="s">
        <v>65</v>
      </c>
      <c r="F47">
        <v>155000</v>
      </c>
      <c r="G47" t="s">
        <v>83</v>
      </c>
      <c r="H47">
        <v>2</v>
      </c>
    </row>
    <row r="48" spans="1:8" x14ac:dyDescent="0.3">
      <c r="A48" t="s">
        <v>82</v>
      </c>
      <c r="B48">
        <v>2019</v>
      </c>
      <c r="C48" t="s">
        <v>63</v>
      </c>
      <c r="D48" t="s">
        <v>64</v>
      </c>
      <c r="E48" t="s">
        <v>65</v>
      </c>
      <c r="F48">
        <v>155000</v>
      </c>
      <c r="G48" t="s">
        <v>83</v>
      </c>
      <c r="H48">
        <v>2</v>
      </c>
    </row>
    <row r="49" spans="1:8" x14ac:dyDescent="0.3">
      <c r="A49" t="s">
        <v>84</v>
      </c>
      <c r="B49">
        <v>2014</v>
      </c>
      <c r="C49" t="s">
        <v>63</v>
      </c>
      <c r="D49" t="s">
        <v>64</v>
      </c>
      <c r="E49" t="s">
        <v>65</v>
      </c>
      <c r="F49">
        <v>1543</v>
      </c>
      <c r="G49" t="s">
        <v>66</v>
      </c>
      <c r="H49">
        <v>1</v>
      </c>
    </row>
    <row r="50" spans="1:8" x14ac:dyDescent="0.3">
      <c r="A50" t="s">
        <v>84</v>
      </c>
      <c r="B50">
        <v>2018</v>
      </c>
      <c r="C50" t="s">
        <v>63</v>
      </c>
      <c r="D50" t="s">
        <v>64</v>
      </c>
      <c r="E50" t="s">
        <v>65</v>
      </c>
      <c r="F50">
        <v>1543</v>
      </c>
      <c r="G50" t="s">
        <v>66</v>
      </c>
      <c r="H50">
        <v>1</v>
      </c>
    </row>
    <row r="51" spans="1:8" x14ac:dyDescent="0.3">
      <c r="A51" t="s">
        <v>84</v>
      </c>
      <c r="B51">
        <v>2019</v>
      </c>
      <c r="C51" t="s">
        <v>63</v>
      </c>
      <c r="D51" t="s">
        <v>64</v>
      </c>
      <c r="E51" t="s">
        <v>65</v>
      </c>
      <c r="F51">
        <v>1543</v>
      </c>
      <c r="G51" t="s">
        <v>66</v>
      </c>
      <c r="H51">
        <v>1</v>
      </c>
    </row>
    <row r="52" spans="1:8" x14ac:dyDescent="0.3">
      <c r="A52" t="s">
        <v>84</v>
      </c>
      <c r="B52">
        <v>2021</v>
      </c>
      <c r="C52" t="s">
        <v>63</v>
      </c>
      <c r="D52" t="s">
        <v>64</v>
      </c>
      <c r="E52" t="s">
        <v>65</v>
      </c>
      <c r="F52">
        <v>1543</v>
      </c>
      <c r="G52" t="s">
        <v>66</v>
      </c>
      <c r="H52">
        <v>1</v>
      </c>
    </row>
    <row r="53" spans="1:8" x14ac:dyDescent="0.3">
      <c r="A53" t="s">
        <v>85</v>
      </c>
      <c r="B53">
        <v>2014</v>
      </c>
      <c r="C53" t="s">
        <v>63</v>
      </c>
      <c r="D53" t="s">
        <v>64</v>
      </c>
      <c r="E53" t="s">
        <v>65</v>
      </c>
      <c r="F53">
        <v>5732</v>
      </c>
      <c r="G53" t="s">
        <v>66</v>
      </c>
      <c r="H53">
        <v>1</v>
      </c>
    </row>
    <row r="54" spans="1:8" x14ac:dyDescent="0.3">
      <c r="A54" t="s">
        <v>86</v>
      </c>
      <c r="B54">
        <v>2014</v>
      </c>
      <c r="C54" t="s">
        <v>63</v>
      </c>
      <c r="D54" t="s">
        <v>64</v>
      </c>
      <c r="E54" t="s">
        <v>65</v>
      </c>
      <c r="F54">
        <v>2450</v>
      </c>
      <c r="G54" t="s">
        <v>66</v>
      </c>
      <c r="H54">
        <v>30</v>
      </c>
    </row>
    <row r="55" spans="1:8" x14ac:dyDescent="0.3">
      <c r="A55" t="s">
        <v>86</v>
      </c>
      <c r="B55">
        <v>2015</v>
      </c>
      <c r="C55" t="s">
        <v>63</v>
      </c>
      <c r="D55" t="s">
        <v>64</v>
      </c>
      <c r="E55" t="s">
        <v>65</v>
      </c>
      <c r="F55">
        <v>2450</v>
      </c>
      <c r="G55" t="s">
        <v>66</v>
      </c>
      <c r="H55">
        <v>37</v>
      </c>
    </row>
    <row r="56" spans="1:8" x14ac:dyDescent="0.3">
      <c r="A56" t="s">
        <v>86</v>
      </c>
      <c r="B56">
        <v>2016</v>
      </c>
      <c r="C56" t="s">
        <v>63</v>
      </c>
      <c r="D56" t="s">
        <v>64</v>
      </c>
      <c r="E56" t="s">
        <v>65</v>
      </c>
      <c r="F56">
        <v>2450</v>
      </c>
      <c r="G56" t="s">
        <v>66</v>
      </c>
      <c r="H56">
        <v>30</v>
      </c>
    </row>
    <row r="57" spans="1:8" x14ac:dyDescent="0.3">
      <c r="A57" t="s">
        <v>86</v>
      </c>
      <c r="B57">
        <v>2017</v>
      </c>
      <c r="C57" t="s">
        <v>63</v>
      </c>
      <c r="D57" t="s">
        <v>64</v>
      </c>
      <c r="E57" t="s">
        <v>65</v>
      </c>
      <c r="F57">
        <v>2450</v>
      </c>
      <c r="G57" t="s">
        <v>66</v>
      </c>
      <c r="H57">
        <v>40</v>
      </c>
    </row>
    <row r="58" spans="1:8" x14ac:dyDescent="0.3">
      <c r="A58" t="s">
        <v>86</v>
      </c>
      <c r="B58">
        <v>2018</v>
      </c>
      <c r="C58" t="s">
        <v>63</v>
      </c>
      <c r="D58" t="s">
        <v>64</v>
      </c>
      <c r="E58" t="s">
        <v>65</v>
      </c>
      <c r="F58">
        <v>2450</v>
      </c>
      <c r="G58" t="s">
        <v>66</v>
      </c>
      <c r="H58">
        <v>16</v>
      </c>
    </row>
    <row r="59" spans="1:8" x14ac:dyDescent="0.3">
      <c r="A59" t="s">
        <v>86</v>
      </c>
      <c r="B59">
        <v>2019</v>
      </c>
      <c r="C59" t="s">
        <v>63</v>
      </c>
      <c r="D59" t="s">
        <v>64</v>
      </c>
      <c r="E59" t="s">
        <v>65</v>
      </c>
      <c r="F59">
        <v>2450</v>
      </c>
      <c r="G59" t="s">
        <v>66</v>
      </c>
      <c r="H59">
        <v>18</v>
      </c>
    </row>
    <row r="60" spans="1:8" x14ac:dyDescent="0.3">
      <c r="A60" t="s">
        <v>86</v>
      </c>
      <c r="B60">
        <v>2020</v>
      </c>
      <c r="C60" t="s">
        <v>63</v>
      </c>
      <c r="D60" t="s">
        <v>64</v>
      </c>
      <c r="E60" t="s">
        <v>65</v>
      </c>
      <c r="F60">
        <v>2450</v>
      </c>
      <c r="G60" t="s">
        <v>66</v>
      </c>
      <c r="H60">
        <v>2</v>
      </c>
    </row>
    <row r="61" spans="1:8" x14ac:dyDescent="0.3">
      <c r="A61" t="s">
        <v>86</v>
      </c>
      <c r="B61">
        <v>2021</v>
      </c>
      <c r="C61" t="s">
        <v>63</v>
      </c>
      <c r="D61" t="s">
        <v>64</v>
      </c>
      <c r="E61" t="s">
        <v>65</v>
      </c>
      <c r="F61">
        <v>2450</v>
      </c>
      <c r="G61" t="s">
        <v>66</v>
      </c>
      <c r="H61">
        <v>4</v>
      </c>
    </row>
    <row r="62" spans="1:8" x14ac:dyDescent="0.3">
      <c r="A62" t="s">
        <v>87</v>
      </c>
      <c r="B62">
        <v>2014</v>
      </c>
      <c r="C62" t="s">
        <v>63</v>
      </c>
      <c r="D62" t="s">
        <v>64</v>
      </c>
      <c r="E62" t="s">
        <v>65</v>
      </c>
      <c r="F62">
        <v>2500</v>
      </c>
      <c r="G62" t="s">
        <v>66</v>
      </c>
      <c r="H62">
        <v>2</v>
      </c>
    </row>
    <row r="63" spans="1:8" x14ac:dyDescent="0.3">
      <c r="A63" t="s">
        <v>87</v>
      </c>
      <c r="B63">
        <v>2015</v>
      </c>
      <c r="C63" t="s">
        <v>63</v>
      </c>
      <c r="D63" t="s">
        <v>64</v>
      </c>
      <c r="E63" t="s">
        <v>65</v>
      </c>
      <c r="F63">
        <v>2500</v>
      </c>
      <c r="G63" t="s">
        <v>66</v>
      </c>
      <c r="H63">
        <v>2</v>
      </c>
    </row>
    <row r="64" spans="1:8" x14ac:dyDescent="0.3">
      <c r="A64" t="s">
        <v>87</v>
      </c>
      <c r="B64">
        <v>2016</v>
      </c>
      <c r="C64" t="s">
        <v>63</v>
      </c>
      <c r="D64" t="s">
        <v>64</v>
      </c>
      <c r="E64" t="s">
        <v>65</v>
      </c>
      <c r="F64">
        <v>2500</v>
      </c>
      <c r="G64" t="s">
        <v>66</v>
      </c>
      <c r="H64">
        <v>1</v>
      </c>
    </row>
    <row r="65" spans="1:8" x14ac:dyDescent="0.3">
      <c r="A65" t="s">
        <v>87</v>
      </c>
      <c r="B65">
        <v>2017</v>
      </c>
      <c r="C65" t="s">
        <v>63</v>
      </c>
      <c r="D65" t="s">
        <v>64</v>
      </c>
      <c r="E65" t="s">
        <v>65</v>
      </c>
      <c r="F65">
        <v>2500</v>
      </c>
      <c r="G65" t="s">
        <v>66</v>
      </c>
      <c r="H65">
        <v>5</v>
      </c>
    </row>
    <row r="66" spans="1:8" x14ac:dyDescent="0.3">
      <c r="A66" t="s">
        <v>87</v>
      </c>
      <c r="B66">
        <v>2019</v>
      </c>
      <c r="C66" t="s">
        <v>63</v>
      </c>
      <c r="D66" t="s">
        <v>64</v>
      </c>
      <c r="E66" t="s">
        <v>65</v>
      </c>
      <c r="F66">
        <v>2500</v>
      </c>
      <c r="G66" t="s">
        <v>66</v>
      </c>
      <c r="H66">
        <v>2</v>
      </c>
    </row>
    <row r="67" spans="1:8" x14ac:dyDescent="0.3">
      <c r="A67" t="s">
        <v>87</v>
      </c>
      <c r="B67">
        <v>2020</v>
      </c>
      <c r="C67" t="s">
        <v>63</v>
      </c>
      <c r="D67" t="s">
        <v>64</v>
      </c>
      <c r="E67" t="s">
        <v>65</v>
      </c>
      <c r="F67">
        <v>2500</v>
      </c>
      <c r="G67" t="s">
        <v>66</v>
      </c>
      <c r="H67">
        <v>1</v>
      </c>
    </row>
    <row r="68" spans="1:8" x14ac:dyDescent="0.3">
      <c r="A68" t="s">
        <v>87</v>
      </c>
      <c r="B68">
        <v>2021</v>
      </c>
      <c r="C68" t="s">
        <v>63</v>
      </c>
      <c r="D68" t="s">
        <v>64</v>
      </c>
      <c r="E68" t="s">
        <v>65</v>
      </c>
      <c r="F68">
        <v>2500</v>
      </c>
      <c r="G68" t="s">
        <v>66</v>
      </c>
      <c r="H68">
        <v>1</v>
      </c>
    </row>
    <row r="69" spans="1:8" x14ac:dyDescent="0.3">
      <c r="A69" t="s">
        <v>88</v>
      </c>
      <c r="B69">
        <v>2014</v>
      </c>
      <c r="C69" t="s">
        <v>63</v>
      </c>
      <c r="D69" t="s">
        <v>64</v>
      </c>
      <c r="E69" t="s">
        <v>65</v>
      </c>
      <c r="F69">
        <v>2550</v>
      </c>
      <c r="G69" t="s">
        <v>66</v>
      </c>
      <c r="H69">
        <v>6</v>
      </c>
    </row>
    <row r="70" spans="1:8" x14ac:dyDescent="0.3">
      <c r="A70" t="s">
        <v>88</v>
      </c>
      <c r="B70">
        <v>2015</v>
      </c>
      <c r="C70" t="s">
        <v>63</v>
      </c>
      <c r="D70" t="s">
        <v>64</v>
      </c>
      <c r="E70" t="s">
        <v>65</v>
      </c>
      <c r="F70">
        <v>2550</v>
      </c>
      <c r="G70" t="s">
        <v>66</v>
      </c>
      <c r="H70">
        <v>7</v>
      </c>
    </row>
    <row r="71" spans="1:8" x14ac:dyDescent="0.3">
      <c r="A71" t="s">
        <v>88</v>
      </c>
      <c r="B71">
        <v>2016</v>
      </c>
      <c r="C71" t="s">
        <v>63</v>
      </c>
      <c r="D71" t="s">
        <v>64</v>
      </c>
      <c r="E71" t="s">
        <v>65</v>
      </c>
      <c r="F71">
        <v>2550</v>
      </c>
      <c r="G71" t="s">
        <v>66</v>
      </c>
      <c r="H71">
        <v>9</v>
      </c>
    </row>
    <row r="72" spans="1:8" x14ac:dyDescent="0.3">
      <c r="A72" t="s">
        <v>88</v>
      </c>
      <c r="B72">
        <v>2017</v>
      </c>
      <c r="C72" t="s">
        <v>63</v>
      </c>
      <c r="D72" t="s">
        <v>64</v>
      </c>
      <c r="E72" t="s">
        <v>65</v>
      </c>
      <c r="F72">
        <v>2550</v>
      </c>
      <c r="G72" t="s">
        <v>66</v>
      </c>
      <c r="H72">
        <v>5</v>
      </c>
    </row>
    <row r="73" spans="1:8" x14ac:dyDescent="0.3">
      <c r="A73" t="s">
        <v>88</v>
      </c>
      <c r="B73">
        <v>2018</v>
      </c>
      <c r="C73" t="s">
        <v>63</v>
      </c>
      <c r="D73" t="s">
        <v>64</v>
      </c>
      <c r="E73" t="s">
        <v>65</v>
      </c>
      <c r="F73">
        <v>2550</v>
      </c>
      <c r="G73" t="s">
        <v>66</v>
      </c>
      <c r="H73">
        <v>7</v>
      </c>
    </row>
    <row r="74" spans="1:8" x14ac:dyDescent="0.3">
      <c r="A74" t="s">
        <v>88</v>
      </c>
      <c r="B74">
        <v>2019</v>
      </c>
      <c r="C74" t="s">
        <v>63</v>
      </c>
      <c r="D74" t="s">
        <v>64</v>
      </c>
      <c r="E74" t="s">
        <v>65</v>
      </c>
      <c r="F74">
        <v>2550</v>
      </c>
      <c r="G74" t="s">
        <v>66</v>
      </c>
      <c r="H74">
        <v>5</v>
      </c>
    </row>
    <row r="75" spans="1:8" x14ac:dyDescent="0.3">
      <c r="A75" t="s">
        <v>88</v>
      </c>
      <c r="B75">
        <v>2020</v>
      </c>
      <c r="C75" t="s">
        <v>63</v>
      </c>
      <c r="D75" t="s">
        <v>64</v>
      </c>
      <c r="E75" t="s">
        <v>65</v>
      </c>
      <c r="F75">
        <v>2550</v>
      </c>
      <c r="G75" t="s">
        <v>66</v>
      </c>
      <c r="H75">
        <v>4</v>
      </c>
    </row>
    <row r="76" spans="1:8" x14ac:dyDescent="0.3">
      <c r="A76" t="s">
        <v>88</v>
      </c>
      <c r="B76">
        <v>2021</v>
      </c>
      <c r="C76" t="s">
        <v>63</v>
      </c>
      <c r="D76" t="s">
        <v>64</v>
      </c>
      <c r="E76" t="s">
        <v>65</v>
      </c>
      <c r="F76">
        <v>2550</v>
      </c>
      <c r="G76" t="s">
        <v>66</v>
      </c>
      <c r="H76">
        <v>5</v>
      </c>
    </row>
    <row r="77" spans="1:8" x14ac:dyDescent="0.3">
      <c r="A77" t="s">
        <v>89</v>
      </c>
      <c r="B77">
        <v>2015</v>
      </c>
      <c r="C77" t="s">
        <v>63</v>
      </c>
      <c r="D77" t="s">
        <v>64</v>
      </c>
      <c r="E77" t="s">
        <v>65</v>
      </c>
      <c r="F77">
        <v>3348</v>
      </c>
      <c r="G77" t="s">
        <v>66</v>
      </c>
      <c r="H77">
        <v>1</v>
      </c>
    </row>
    <row r="78" spans="1:8" x14ac:dyDescent="0.3">
      <c r="A78" t="s">
        <v>89</v>
      </c>
      <c r="B78">
        <v>2016</v>
      </c>
      <c r="C78" t="s">
        <v>63</v>
      </c>
      <c r="D78" t="s">
        <v>64</v>
      </c>
      <c r="E78" t="s">
        <v>65</v>
      </c>
      <c r="F78">
        <v>3348</v>
      </c>
      <c r="G78" t="s">
        <v>66</v>
      </c>
      <c r="H78">
        <v>1</v>
      </c>
    </row>
    <row r="79" spans="1:8" x14ac:dyDescent="0.3">
      <c r="A79" t="s">
        <v>89</v>
      </c>
      <c r="B79">
        <v>2017</v>
      </c>
      <c r="C79" t="s">
        <v>63</v>
      </c>
      <c r="D79" t="s">
        <v>64</v>
      </c>
      <c r="E79" t="s">
        <v>65</v>
      </c>
      <c r="F79">
        <v>3348</v>
      </c>
      <c r="G79" t="s">
        <v>66</v>
      </c>
      <c r="H79">
        <v>1</v>
      </c>
    </row>
    <row r="80" spans="1:8" x14ac:dyDescent="0.3">
      <c r="A80" t="s">
        <v>89</v>
      </c>
      <c r="B80">
        <v>2018</v>
      </c>
      <c r="C80" t="s">
        <v>63</v>
      </c>
      <c r="D80" t="s">
        <v>64</v>
      </c>
      <c r="E80" t="s">
        <v>65</v>
      </c>
      <c r="F80">
        <v>3348</v>
      </c>
      <c r="G80" t="s">
        <v>66</v>
      </c>
      <c r="H80">
        <v>1</v>
      </c>
    </row>
    <row r="81" spans="1:8" x14ac:dyDescent="0.3">
      <c r="A81" t="s">
        <v>89</v>
      </c>
      <c r="B81">
        <v>2019</v>
      </c>
      <c r="C81" t="s">
        <v>63</v>
      </c>
      <c r="D81" t="s">
        <v>64</v>
      </c>
      <c r="E81" t="s">
        <v>65</v>
      </c>
      <c r="F81">
        <v>3348</v>
      </c>
      <c r="G81" t="s">
        <v>66</v>
      </c>
      <c r="H81">
        <v>1</v>
      </c>
    </row>
    <row r="82" spans="1:8" x14ac:dyDescent="0.3">
      <c r="A82" t="s">
        <v>89</v>
      </c>
      <c r="B82">
        <v>2020</v>
      </c>
      <c r="C82" t="s">
        <v>63</v>
      </c>
      <c r="D82" t="s">
        <v>64</v>
      </c>
      <c r="E82" t="s">
        <v>65</v>
      </c>
      <c r="F82">
        <v>3348</v>
      </c>
      <c r="G82" t="s">
        <v>66</v>
      </c>
      <c r="H82">
        <v>1</v>
      </c>
    </row>
    <row r="83" spans="1:8" x14ac:dyDescent="0.3">
      <c r="A83" t="s">
        <v>90</v>
      </c>
      <c r="B83">
        <v>2014</v>
      </c>
      <c r="C83" t="s">
        <v>63</v>
      </c>
      <c r="D83" t="s">
        <v>64</v>
      </c>
      <c r="E83" t="s">
        <v>65</v>
      </c>
      <c r="F83">
        <v>3600</v>
      </c>
      <c r="G83" t="s">
        <v>66</v>
      </c>
      <c r="H83">
        <v>3</v>
      </c>
    </row>
    <row r="84" spans="1:8" x14ac:dyDescent="0.3">
      <c r="A84" t="s">
        <v>90</v>
      </c>
      <c r="B84">
        <v>2015</v>
      </c>
      <c r="C84" t="s">
        <v>63</v>
      </c>
      <c r="D84" t="s">
        <v>64</v>
      </c>
      <c r="E84" t="s">
        <v>65</v>
      </c>
      <c r="F84">
        <v>3600</v>
      </c>
      <c r="G84" t="s">
        <v>66</v>
      </c>
      <c r="H84">
        <v>1</v>
      </c>
    </row>
    <row r="85" spans="1:8" x14ac:dyDescent="0.3">
      <c r="A85" t="s">
        <v>90</v>
      </c>
      <c r="B85">
        <v>2016</v>
      </c>
      <c r="C85" t="s">
        <v>63</v>
      </c>
      <c r="D85" t="s">
        <v>64</v>
      </c>
      <c r="E85" t="s">
        <v>65</v>
      </c>
      <c r="F85">
        <v>3600</v>
      </c>
      <c r="G85" t="s">
        <v>66</v>
      </c>
      <c r="H85">
        <v>1</v>
      </c>
    </row>
    <row r="86" spans="1:8" x14ac:dyDescent="0.3">
      <c r="A86" t="s">
        <v>91</v>
      </c>
      <c r="B86">
        <v>2014</v>
      </c>
      <c r="C86" t="s">
        <v>63</v>
      </c>
      <c r="D86" t="s">
        <v>64</v>
      </c>
      <c r="E86" t="s">
        <v>65</v>
      </c>
      <c r="F86">
        <v>7800</v>
      </c>
      <c r="G86" t="s">
        <v>66</v>
      </c>
      <c r="H86">
        <v>1</v>
      </c>
    </row>
    <row r="87" spans="1:8" x14ac:dyDescent="0.3">
      <c r="A87" t="s">
        <v>91</v>
      </c>
      <c r="B87">
        <v>2015</v>
      </c>
      <c r="C87" t="s">
        <v>63</v>
      </c>
      <c r="D87" t="s">
        <v>64</v>
      </c>
      <c r="E87" t="s">
        <v>65</v>
      </c>
      <c r="F87">
        <v>7800</v>
      </c>
      <c r="G87" t="s">
        <v>66</v>
      </c>
      <c r="H87">
        <v>1</v>
      </c>
    </row>
    <row r="88" spans="1:8" x14ac:dyDescent="0.3">
      <c r="A88" t="s">
        <v>92</v>
      </c>
      <c r="B88">
        <v>2014</v>
      </c>
      <c r="C88" t="s">
        <v>63</v>
      </c>
      <c r="D88" t="s">
        <v>64</v>
      </c>
      <c r="E88" t="s">
        <v>65</v>
      </c>
      <c r="F88">
        <v>3100</v>
      </c>
      <c r="G88" t="s">
        <v>66</v>
      </c>
      <c r="H88">
        <v>4</v>
      </c>
    </row>
    <row r="89" spans="1:8" x14ac:dyDescent="0.3">
      <c r="A89" t="s">
        <v>92</v>
      </c>
      <c r="B89">
        <v>2016</v>
      </c>
      <c r="C89" t="s">
        <v>63</v>
      </c>
      <c r="D89" t="s">
        <v>64</v>
      </c>
      <c r="E89" t="s">
        <v>65</v>
      </c>
      <c r="F89">
        <v>3100</v>
      </c>
      <c r="G89" t="s">
        <v>66</v>
      </c>
      <c r="H89">
        <v>4</v>
      </c>
    </row>
    <row r="90" spans="1:8" x14ac:dyDescent="0.3">
      <c r="A90" t="s">
        <v>92</v>
      </c>
      <c r="B90">
        <v>2017</v>
      </c>
      <c r="C90" t="s">
        <v>63</v>
      </c>
      <c r="D90" t="s">
        <v>64</v>
      </c>
      <c r="E90" t="s">
        <v>65</v>
      </c>
      <c r="F90">
        <v>3100</v>
      </c>
      <c r="G90" t="s">
        <v>66</v>
      </c>
      <c r="H90">
        <v>2</v>
      </c>
    </row>
    <row r="91" spans="1:8" x14ac:dyDescent="0.3">
      <c r="A91" t="s">
        <v>93</v>
      </c>
      <c r="B91">
        <v>2018</v>
      </c>
      <c r="C91" t="s">
        <v>63</v>
      </c>
      <c r="D91" t="s">
        <v>64</v>
      </c>
      <c r="E91" t="s">
        <v>65</v>
      </c>
      <c r="F91">
        <v>12125</v>
      </c>
      <c r="G91" t="s">
        <v>66</v>
      </c>
      <c r="H91">
        <v>4</v>
      </c>
    </row>
    <row r="92" spans="1:8" x14ac:dyDescent="0.3">
      <c r="A92" t="s">
        <v>93</v>
      </c>
      <c r="B92">
        <v>2019</v>
      </c>
      <c r="C92" t="s">
        <v>63</v>
      </c>
      <c r="D92" t="s">
        <v>64</v>
      </c>
      <c r="E92" t="s">
        <v>65</v>
      </c>
      <c r="F92">
        <v>12125</v>
      </c>
      <c r="G92" t="s">
        <v>66</v>
      </c>
      <c r="H92">
        <v>2</v>
      </c>
    </row>
    <row r="93" spans="1:8" x14ac:dyDescent="0.3">
      <c r="A93" t="s">
        <v>94</v>
      </c>
      <c r="B93">
        <v>2017</v>
      </c>
      <c r="C93" t="s">
        <v>63</v>
      </c>
      <c r="D93" t="s">
        <v>64</v>
      </c>
      <c r="E93" t="s">
        <v>65</v>
      </c>
      <c r="F93">
        <v>13870</v>
      </c>
      <c r="G93" t="s">
        <v>66</v>
      </c>
      <c r="H93">
        <v>1</v>
      </c>
    </row>
    <row r="94" spans="1:8" x14ac:dyDescent="0.3">
      <c r="A94" t="s">
        <v>94</v>
      </c>
      <c r="B94">
        <v>2018</v>
      </c>
      <c r="C94" t="s">
        <v>63</v>
      </c>
      <c r="D94" t="s">
        <v>64</v>
      </c>
      <c r="E94" t="s">
        <v>65</v>
      </c>
      <c r="F94">
        <v>13870</v>
      </c>
      <c r="G94" t="s">
        <v>66</v>
      </c>
      <c r="H94">
        <v>1</v>
      </c>
    </row>
    <row r="95" spans="1:8" x14ac:dyDescent="0.3">
      <c r="A95" t="s">
        <v>95</v>
      </c>
      <c r="B95">
        <v>2021</v>
      </c>
      <c r="C95" t="s">
        <v>63</v>
      </c>
      <c r="D95" t="s">
        <v>64</v>
      </c>
      <c r="E95" t="s">
        <v>65</v>
      </c>
      <c r="F95">
        <v>13870</v>
      </c>
      <c r="G95" t="s">
        <v>66</v>
      </c>
      <c r="H95">
        <v>1</v>
      </c>
    </row>
    <row r="96" spans="1:8" x14ac:dyDescent="0.3">
      <c r="A96" t="s">
        <v>96</v>
      </c>
      <c r="B96">
        <v>2015</v>
      </c>
      <c r="C96" t="s">
        <v>63</v>
      </c>
      <c r="D96" t="s">
        <v>64</v>
      </c>
      <c r="E96" t="s">
        <v>65</v>
      </c>
      <c r="F96">
        <v>4600</v>
      </c>
      <c r="G96" t="s">
        <v>66</v>
      </c>
      <c r="H96">
        <v>1</v>
      </c>
    </row>
    <row r="97" spans="1:8" x14ac:dyDescent="0.3">
      <c r="A97" t="s">
        <v>96</v>
      </c>
      <c r="B97">
        <v>2017</v>
      </c>
      <c r="C97" t="s">
        <v>63</v>
      </c>
      <c r="D97" t="s">
        <v>64</v>
      </c>
      <c r="E97" t="s">
        <v>65</v>
      </c>
      <c r="F97">
        <v>4600</v>
      </c>
      <c r="G97" t="s">
        <v>66</v>
      </c>
      <c r="H97">
        <v>1</v>
      </c>
    </row>
    <row r="98" spans="1:8" x14ac:dyDescent="0.3">
      <c r="A98" t="s">
        <v>96</v>
      </c>
      <c r="B98">
        <v>2018</v>
      </c>
      <c r="C98" t="s">
        <v>63</v>
      </c>
      <c r="D98" t="s">
        <v>64</v>
      </c>
      <c r="E98" t="s">
        <v>65</v>
      </c>
      <c r="F98">
        <v>4600</v>
      </c>
      <c r="G98" t="s">
        <v>66</v>
      </c>
      <c r="H98">
        <v>2</v>
      </c>
    </row>
    <row r="99" spans="1:8" x14ac:dyDescent="0.3">
      <c r="A99" t="s">
        <v>97</v>
      </c>
      <c r="B99">
        <v>2017</v>
      </c>
      <c r="C99" t="s">
        <v>63</v>
      </c>
      <c r="D99" t="s">
        <v>64</v>
      </c>
      <c r="E99" t="s">
        <v>65</v>
      </c>
      <c r="F99">
        <v>5974</v>
      </c>
      <c r="G99" t="s">
        <v>66</v>
      </c>
      <c r="H99">
        <v>1</v>
      </c>
    </row>
    <row r="100" spans="1:8" x14ac:dyDescent="0.3">
      <c r="A100" t="s">
        <v>97</v>
      </c>
      <c r="B100">
        <v>2018</v>
      </c>
      <c r="C100" t="s">
        <v>63</v>
      </c>
      <c r="D100" t="s">
        <v>64</v>
      </c>
      <c r="E100" t="s">
        <v>65</v>
      </c>
      <c r="F100">
        <v>5974</v>
      </c>
      <c r="G100" t="s">
        <v>66</v>
      </c>
      <c r="H100">
        <v>3</v>
      </c>
    </row>
    <row r="101" spans="1:8" x14ac:dyDescent="0.3">
      <c r="A101" t="s">
        <v>97</v>
      </c>
      <c r="B101">
        <v>2021</v>
      </c>
      <c r="C101" t="s">
        <v>63</v>
      </c>
      <c r="D101" t="s">
        <v>64</v>
      </c>
      <c r="E101" t="s">
        <v>65</v>
      </c>
      <c r="F101">
        <v>5974</v>
      </c>
      <c r="G101" t="s">
        <v>66</v>
      </c>
      <c r="H101">
        <v>1</v>
      </c>
    </row>
    <row r="102" spans="1:8" x14ac:dyDescent="0.3">
      <c r="A102" t="s">
        <v>98</v>
      </c>
      <c r="B102">
        <v>2015</v>
      </c>
      <c r="C102" t="s">
        <v>63</v>
      </c>
      <c r="D102" t="s">
        <v>64</v>
      </c>
      <c r="E102" t="s">
        <v>65</v>
      </c>
      <c r="F102">
        <v>6850</v>
      </c>
      <c r="G102" t="s">
        <v>66</v>
      </c>
      <c r="H102">
        <v>1</v>
      </c>
    </row>
    <row r="103" spans="1:8" x14ac:dyDescent="0.3">
      <c r="A103" t="s">
        <v>98</v>
      </c>
      <c r="B103">
        <v>2017</v>
      </c>
      <c r="C103" t="s">
        <v>63</v>
      </c>
      <c r="D103" t="s">
        <v>64</v>
      </c>
      <c r="E103" t="s">
        <v>65</v>
      </c>
      <c r="F103">
        <v>6850</v>
      </c>
      <c r="G103" t="s">
        <v>66</v>
      </c>
      <c r="H103">
        <v>1</v>
      </c>
    </row>
    <row r="104" spans="1:8" x14ac:dyDescent="0.3">
      <c r="A104" t="s">
        <v>99</v>
      </c>
      <c r="B104">
        <v>2017</v>
      </c>
      <c r="C104" t="s">
        <v>63</v>
      </c>
      <c r="D104" t="s">
        <v>64</v>
      </c>
      <c r="E104" t="s">
        <v>65</v>
      </c>
      <c r="F104">
        <v>8400</v>
      </c>
      <c r="G104" t="s">
        <v>66</v>
      </c>
      <c r="H104">
        <v>3</v>
      </c>
    </row>
    <row r="105" spans="1:8" x14ac:dyDescent="0.3">
      <c r="A105" t="s">
        <v>99</v>
      </c>
      <c r="B105">
        <v>2018</v>
      </c>
      <c r="C105" t="s">
        <v>63</v>
      </c>
      <c r="D105" t="s">
        <v>64</v>
      </c>
      <c r="E105" t="s">
        <v>65</v>
      </c>
      <c r="F105">
        <v>8400</v>
      </c>
      <c r="G105" t="s">
        <v>66</v>
      </c>
      <c r="H105">
        <v>1</v>
      </c>
    </row>
    <row r="106" spans="1:8" x14ac:dyDescent="0.3">
      <c r="A106" t="s">
        <v>100</v>
      </c>
      <c r="B106">
        <v>2016</v>
      </c>
      <c r="C106" t="s">
        <v>63</v>
      </c>
      <c r="D106" t="s">
        <v>64</v>
      </c>
      <c r="E106" t="s">
        <v>65</v>
      </c>
      <c r="F106">
        <v>6750</v>
      </c>
      <c r="G106" t="s">
        <v>66</v>
      </c>
      <c r="H106">
        <v>1</v>
      </c>
    </row>
    <row r="107" spans="1:8" x14ac:dyDescent="0.3">
      <c r="A107" t="s">
        <v>100</v>
      </c>
      <c r="B107">
        <v>2017</v>
      </c>
      <c r="C107" t="s">
        <v>63</v>
      </c>
      <c r="D107" t="s">
        <v>64</v>
      </c>
      <c r="E107" t="s">
        <v>65</v>
      </c>
      <c r="F107">
        <v>6750</v>
      </c>
      <c r="G107" t="s">
        <v>66</v>
      </c>
      <c r="H107">
        <v>1</v>
      </c>
    </row>
    <row r="108" spans="1:8" x14ac:dyDescent="0.3">
      <c r="A108" t="s">
        <v>101</v>
      </c>
      <c r="B108">
        <v>2018</v>
      </c>
      <c r="C108" t="s">
        <v>63</v>
      </c>
      <c r="D108" t="s">
        <v>64</v>
      </c>
      <c r="E108" t="s">
        <v>65</v>
      </c>
      <c r="F108">
        <v>7450</v>
      </c>
      <c r="G108" t="s">
        <v>66</v>
      </c>
      <c r="H108">
        <v>1</v>
      </c>
    </row>
    <row r="109" spans="1:8" x14ac:dyDescent="0.3">
      <c r="A109" t="s">
        <v>102</v>
      </c>
      <c r="B109">
        <v>2014</v>
      </c>
      <c r="C109" t="s">
        <v>63</v>
      </c>
      <c r="D109" t="s">
        <v>64</v>
      </c>
      <c r="E109" t="s">
        <v>65</v>
      </c>
      <c r="F109">
        <v>9850</v>
      </c>
      <c r="G109" t="s">
        <v>66</v>
      </c>
      <c r="H109">
        <v>1</v>
      </c>
    </row>
    <row r="110" spans="1:8" x14ac:dyDescent="0.3">
      <c r="A110" t="s">
        <v>103</v>
      </c>
      <c r="B110">
        <v>2018</v>
      </c>
      <c r="C110" t="s">
        <v>63</v>
      </c>
      <c r="D110" t="s">
        <v>64</v>
      </c>
      <c r="E110" t="s">
        <v>65</v>
      </c>
      <c r="F110">
        <v>10700</v>
      </c>
      <c r="G110" t="s">
        <v>66</v>
      </c>
      <c r="H110">
        <v>1</v>
      </c>
    </row>
    <row r="111" spans="1:8" x14ac:dyDescent="0.3">
      <c r="A111" t="s">
        <v>103</v>
      </c>
      <c r="B111">
        <v>2019</v>
      </c>
      <c r="C111" t="s">
        <v>63</v>
      </c>
      <c r="D111" t="s">
        <v>64</v>
      </c>
      <c r="E111" t="s">
        <v>65</v>
      </c>
      <c r="F111">
        <v>10700</v>
      </c>
      <c r="G111" t="s">
        <v>66</v>
      </c>
      <c r="H111">
        <v>1</v>
      </c>
    </row>
    <row r="112" spans="1:8" x14ac:dyDescent="0.3">
      <c r="A112" t="s">
        <v>104</v>
      </c>
      <c r="B112">
        <v>2018</v>
      </c>
      <c r="C112" t="s">
        <v>63</v>
      </c>
      <c r="D112" t="s">
        <v>64</v>
      </c>
      <c r="E112" t="s">
        <v>65</v>
      </c>
      <c r="F112">
        <v>14800</v>
      </c>
      <c r="G112" t="s">
        <v>66</v>
      </c>
      <c r="H112">
        <v>2</v>
      </c>
    </row>
    <row r="113" spans="1:8" x14ac:dyDescent="0.3">
      <c r="A113" t="s">
        <v>105</v>
      </c>
      <c r="B113">
        <v>2014</v>
      </c>
      <c r="C113" t="s">
        <v>63</v>
      </c>
      <c r="D113" t="s">
        <v>64</v>
      </c>
      <c r="E113" t="s">
        <v>65</v>
      </c>
      <c r="F113">
        <v>16300</v>
      </c>
      <c r="G113" t="s">
        <v>66</v>
      </c>
      <c r="H113">
        <v>1</v>
      </c>
    </row>
    <row r="114" spans="1:8" x14ac:dyDescent="0.3">
      <c r="A114" t="s">
        <v>105</v>
      </c>
      <c r="B114">
        <v>2018</v>
      </c>
      <c r="C114" t="s">
        <v>63</v>
      </c>
      <c r="D114" t="s">
        <v>64</v>
      </c>
      <c r="E114" t="s">
        <v>65</v>
      </c>
      <c r="F114">
        <v>16300</v>
      </c>
      <c r="G114" t="s">
        <v>66</v>
      </c>
      <c r="H114">
        <v>1</v>
      </c>
    </row>
    <row r="115" spans="1:8" x14ac:dyDescent="0.3">
      <c r="A115" t="s">
        <v>106</v>
      </c>
      <c r="B115">
        <v>2014</v>
      </c>
      <c r="C115" t="s">
        <v>63</v>
      </c>
      <c r="D115" t="s">
        <v>64</v>
      </c>
      <c r="E115" t="s">
        <v>65</v>
      </c>
      <c r="F115">
        <v>15000</v>
      </c>
      <c r="G115" t="s">
        <v>66</v>
      </c>
      <c r="H115">
        <v>1</v>
      </c>
    </row>
    <row r="116" spans="1:8" x14ac:dyDescent="0.3">
      <c r="A116" t="s">
        <v>106</v>
      </c>
      <c r="B116">
        <v>2018</v>
      </c>
      <c r="C116" t="s">
        <v>63</v>
      </c>
      <c r="D116" t="s">
        <v>64</v>
      </c>
      <c r="E116" t="s">
        <v>65</v>
      </c>
      <c r="F116">
        <v>15000</v>
      </c>
      <c r="G116" t="s">
        <v>66</v>
      </c>
      <c r="H116">
        <v>1</v>
      </c>
    </row>
    <row r="117" spans="1:8" x14ac:dyDescent="0.3">
      <c r="A117" t="s">
        <v>107</v>
      </c>
      <c r="B117">
        <v>2016</v>
      </c>
      <c r="C117" t="s">
        <v>63</v>
      </c>
      <c r="D117" t="s">
        <v>64</v>
      </c>
      <c r="E117" t="s">
        <v>65</v>
      </c>
      <c r="F117">
        <v>22002</v>
      </c>
      <c r="G117" t="s">
        <v>72</v>
      </c>
      <c r="H117">
        <v>1</v>
      </c>
    </row>
    <row r="118" spans="1:8" x14ac:dyDescent="0.3">
      <c r="A118" t="s">
        <v>108</v>
      </c>
      <c r="B118">
        <v>2020</v>
      </c>
      <c r="C118" t="s">
        <v>63</v>
      </c>
      <c r="D118" t="s">
        <v>64</v>
      </c>
      <c r="E118" t="s">
        <v>65</v>
      </c>
      <c r="F118">
        <v>37478</v>
      </c>
      <c r="G118" t="s">
        <v>72</v>
      </c>
      <c r="H118">
        <v>1</v>
      </c>
    </row>
    <row r="119" spans="1:8" x14ac:dyDescent="0.3">
      <c r="A119" t="s">
        <v>109</v>
      </c>
      <c r="B119">
        <v>2019</v>
      </c>
      <c r="C119" t="s">
        <v>63</v>
      </c>
      <c r="D119" t="s">
        <v>64</v>
      </c>
      <c r="E119" t="s">
        <v>65</v>
      </c>
      <c r="F119">
        <v>3600</v>
      </c>
      <c r="G119" t="s">
        <v>66</v>
      </c>
      <c r="H119">
        <v>1</v>
      </c>
    </row>
    <row r="120" spans="1:8" x14ac:dyDescent="0.3">
      <c r="A120" t="s">
        <v>109</v>
      </c>
      <c r="B120">
        <v>2021</v>
      </c>
      <c r="C120" t="s">
        <v>63</v>
      </c>
      <c r="D120" t="s">
        <v>64</v>
      </c>
      <c r="E120" t="s">
        <v>65</v>
      </c>
      <c r="F120">
        <v>3600</v>
      </c>
      <c r="G120" t="s">
        <v>66</v>
      </c>
      <c r="H120">
        <v>1</v>
      </c>
    </row>
    <row r="121" spans="1:8" x14ac:dyDescent="0.3">
      <c r="A121" t="s">
        <v>110</v>
      </c>
      <c r="B121">
        <v>2016</v>
      </c>
      <c r="C121" t="s">
        <v>63</v>
      </c>
      <c r="D121" t="s">
        <v>64</v>
      </c>
      <c r="E121" t="s">
        <v>65</v>
      </c>
      <c r="F121">
        <v>80500</v>
      </c>
      <c r="G121" t="s">
        <v>72</v>
      </c>
      <c r="H121">
        <v>1</v>
      </c>
    </row>
    <row r="122" spans="1:8" x14ac:dyDescent="0.3">
      <c r="A122" t="s">
        <v>111</v>
      </c>
      <c r="B122">
        <v>2015</v>
      </c>
      <c r="C122" t="s">
        <v>63</v>
      </c>
      <c r="D122" t="s">
        <v>64</v>
      </c>
      <c r="E122" t="s">
        <v>65</v>
      </c>
      <c r="F122">
        <v>1764</v>
      </c>
      <c r="G122" t="s">
        <v>66</v>
      </c>
      <c r="H122">
        <v>1</v>
      </c>
    </row>
    <row r="123" spans="1:8" x14ac:dyDescent="0.3">
      <c r="A123" t="s">
        <v>111</v>
      </c>
      <c r="B123">
        <v>2016</v>
      </c>
      <c r="C123" t="s">
        <v>63</v>
      </c>
      <c r="D123" t="s">
        <v>64</v>
      </c>
      <c r="E123" t="s">
        <v>65</v>
      </c>
      <c r="F123">
        <v>1764</v>
      </c>
      <c r="G123" t="s">
        <v>66</v>
      </c>
      <c r="H123">
        <v>2</v>
      </c>
    </row>
    <row r="124" spans="1:8" x14ac:dyDescent="0.3">
      <c r="A124" t="s">
        <v>111</v>
      </c>
      <c r="B124">
        <v>2018</v>
      </c>
      <c r="C124" t="s">
        <v>63</v>
      </c>
      <c r="D124" t="s">
        <v>64</v>
      </c>
      <c r="E124" t="s">
        <v>65</v>
      </c>
      <c r="F124">
        <v>1764</v>
      </c>
      <c r="G124" t="s">
        <v>66</v>
      </c>
      <c r="H124">
        <v>1</v>
      </c>
    </row>
    <row r="125" spans="1:8" x14ac:dyDescent="0.3">
      <c r="A125" t="s">
        <v>111</v>
      </c>
      <c r="B125">
        <v>2019</v>
      </c>
      <c r="C125" t="s">
        <v>63</v>
      </c>
      <c r="D125" t="s">
        <v>64</v>
      </c>
      <c r="E125" t="s">
        <v>65</v>
      </c>
      <c r="F125">
        <v>1764</v>
      </c>
      <c r="G125" t="s">
        <v>66</v>
      </c>
      <c r="H125">
        <v>3</v>
      </c>
    </row>
    <row r="126" spans="1:8" x14ac:dyDescent="0.3">
      <c r="A126" t="s">
        <v>112</v>
      </c>
      <c r="B126">
        <v>2016</v>
      </c>
      <c r="C126" t="s">
        <v>63</v>
      </c>
      <c r="D126" t="s">
        <v>64</v>
      </c>
      <c r="E126" t="s">
        <v>65</v>
      </c>
      <c r="F126">
        <v>2888</v>
      </c>
      <c r="G126" t="s">
        <v>66</v>
      </c>
      <c r="H126">
        <v>2</v>
      </c>
    </row>
    <row r="127" spans="1:8" x14ac:dyDescent="0.3">
      <c r="A127" t="s">
        <v>112</v>
      </c>
      <c r="B127">
        <v>2017</v>
      </c>
      <c r="C127" t="s">
        <v>63</v>
      </c>
      <c r="D127" t="s">
        <v>64</v>
      </c>
      <c r="E127" t="s">
        <v>65</v>
      </c>
      <c r="F127">
        <v>2888</v>
      </c>
      <c r="G127" t="s">
        <v>66</v>
      </c>
      <c r="H127">
        <v>1</v>
      </c>
    </row>
    <row r="128" spans="1:8" x14ac:dyDescent="0.3">
      <c r="A128" t="s">
        <v>112</v>
      </c>
      <c r="B128">
        <v>2018</v>
      </c>
      <c r="C128" t="s">
        <v>63</v>
      </c>
      <c r="D128" t="s">
        <v>64</v>
      </c>
      <c r="E128" t="s">
        <v>65</v>
      </c>
      <c r="F128">
        <v>2888</v>
      </c>
      <c r="G128" t="s">
        <v>66</v>
      </c>
      <c r="H128">
        <v>3</v>
      </c>
    </row>
    <row r="129" spans="1:8" x14ac:dyDescent="0.3">
      <c r="A129" t="s">
        <v>112</v>
      </c>
      <c r="B129">
        <v>2019</v>
      </c>
      <c r="C129" t="s">
        <v>63</v>
      </c>
      <c r="D129" t="s">
        <v>64</v>
      </c>
      <c r="E129" t="s">
        <v>65</v>
      </c>
      <c r="F129">
        <v>2888</v>
      </c>
      <c r="G129" t="s">
        <v>66</v>
      </c>
      <c r="H129">
        <v>4</v>
      </c>
    </row>
    <row r="130" spans="1:8" x14ac:dyDescent="0.3">
      <c r="A130" t="s">
        <v>113</v>
      </c>
      <c r="B130">
        <v>2019</v>
      </c>
      <c r="C130" t="s">
        <v>63</v>
      </c>
      <c r="D130" t="s">
        <v>64</v>
      </c>
      <c r="E130" t="s">
        <v>65</v>
      </c>
      <c r="F130">
        <v>4407</v>
      </c>
      <c r="G130" t="s">
        <v>66</v>
      </c>
      <c r="H130">
        <v>1</v>
      </c>
    </row>
    <row r="131" spans="1:8" x14ac:dyDescent="0.3">
      <c r="A131" t="s">
        <v>114</v>
      </c>
      <c r="B131">
        <v>2014</v>
      </c>
      <c r="C131" t="s">
        <v>63</v>
      </c>
      <c r="D131" t="s">
        <v>64</v>
      </c>
      <c r="E131" t="s">
        <v>65</v>
      </c>
      <c r="F131">
        <v>12500</v>
      </c>
      <c r="G131" t="s">
        <v>66</v>
      </c>
      <c r="H131">
        <v>1</v>
      </c>
    </row>
    <row r="132" spans="1:8" x14ac:dyDescent="0.3">
      <c r="A132" t="s">
        <v>114</v>
      </c>
      <c r="B132">
        <v>2017</v>
      </c>
      <c r="C132" t="s">
        <v>63</v>
      </c>
      <c r="D132" t="s">
        <v>64</v>
      </c>
      <c r="E132" t="s">
        <v>65</v>
      </c>
      <c r="F132">
        <v>12500</v>
      </c>
      <c r="G132" t="s">
        <v>66</v>
      </c>
      <c r="H132">
        <v>2</v>
      </c>
    </row>
    <row r="133" spans="1:8" x14ac:dyDescent="0.3">
      <c r="A133" t="s">
        <v>114</v>
      </c>
      <c r="B133">
        <v>2018</v>
      </c>
      <c r="C133" t="s">
        <v>63</v>
      </c>
      <c r="D133" t="s">
        <v>64</v>
      </c>
      <c r="E133" t="s">
        <v>65</v>
      </c>
      <c r="F133">
        <v>12500</v>
      </c>
      <c r="G133" t="s">
        <v>66</v>
      </c>
      <c r="H133">
        <v>2</v>
      </c>
    </row>
    <row r="134" spans="1:8" x14ac:dyDescent="0.3">
      <c r="A134" t="s">
        <v>115</v>
      </c>
      <c r="B134">
        <v>2014</v>
      </c>
      <c r="C134" t="s">
        <v>63</v>
      </c>
      <c r="D134" t="s">
        <v>64</v>
      </c>
      <c r="E134" t="s">
        <v>65</v>
      </c>
      <c r="F134">
        <v>1764</v>
      </c>
      <c r="G134" t="s">
        <v>66</v>
      </c>
      <c r="H134">
        <v>337</v>
      </c>
    </row>
    <row r="135" spans="1:8" x14ac:dyDescent="0.3">
      <c r="A135" t="s">
        <v>115</v>
      </c>
      <c r="B135">
        <v>2015</v>
      </c>
      <c r="C135" t="s">
        <v>63</v>
      </c>
      <c r="D135" t="s">
        <v>64</v>
      </c>
      <c r="E135" t="s">
        <v>65</v>
      </c>
      <c r="F135">
        <v>1764</v>
      </c>
      <c r="G135" t="s">
        <v>66</v>
      </c>
      <c r="H135">
        <v>301</v>
      </c>
    </row>
    <row r="136" spans="1:8" x14ac:dyDescent="0.3">
      <c r="A136" t="s">
        <v>115</v>
      </c>
      <c r="B136">
        <v>2016</v>
      </c>
      <c r="C136" t="s">
        <v>63</v>
      </c>
      <c r="D136" t="s">
        <v>64</v>
      </c>
      <c r="E136" t="s">
        <v>65</v>
      </c>
      <c r="F136">
        <v>1764</v>
      </c>
      <c r="G136" t="s">
        <v>66</v>
      </c>
      <c r="H136">
        <v>600</v>
      </c>
    </row>
    <row r="137" spans="1:8" x14ac:dyDescent="0.3">
      <c r="A137" t="s">
        <v>115</v>
      </c>
      <c r="B137">
        <v>2017</v>
      </c>
      <c r="C137" t="s">
        <v>63</v>
      </c>
      <c r="D137" t="s">
        <v>64</v>
      </c>
      <c r="E137" t="s">
        <v>65</v>
      </c>
      <c r="F137">
        <v>1764</v>
      </c>
      <c r="G137" t="s">
        <v>66</v>
      </c>
      <c r="H137">
        <v>652</v>
      </c>
    </row>
    <row r="138" spans="1:8" x14ac:dyDescent="0.3">
      <c r="A138" t="s">
        <v>115</v>
      </c>
      <c r="B138">
        <v>2018</v>
      </c>
      <c r="C138" t="s">
        <v>63</v>
      </c>
      <c r="D138" t="s">
        <v>64</v>
      </c>
      <c r="E138" t="s">
        <v>65</v>
      </c>
      <c r="F138">
        <v>1764</v>
      </c>
      <c r="G138" t="s">
        <v>66</v>
      </c>
      <c r="H138">
        <v>767</v>
      </c>
    </row>
    <row r="139" spans="1:8" x14ac:dyDescent="0.3">
      <c r="A139" t="s">
        <v>115</v>
      </c>
      <c r="B139">
        <v>2019</v>
      </c>
      <c r="C139" t="s">
        <v>63</v>
      </c>
      <c r="D139" t="s">
        <v>64</v>
      </c>
      <c r="E139" t="s">
        <v>65</v>
      </c>
      <c r="F139">
        <v>1764</v>
      </c>
      <c r="G139" t="s">
        <v>66</v>
      </c>
      <c r="H139">
        <v>257</v>
      </c>
    </row>
    <row r="140" spans="1:8" x14ac:dyDescent="0.3">
      <c r="A140" t="s">
        <v>115</v>
      </c>
      <c r="B140">
        <v>2020</v>
      </c>
      <c r="C140" t="s">
        <v>63</v>
      </c>
      <c r="D140" t="s">
        <v>64</v>
      </c>
      <c r="E140" t="s">
        <v>65</v>
      </c>
      <c r="F140">
        <v>1764</v>
      </c>
      <c r="G140" t="s">
        <v>66</v>
      </c>
      <c r="H140">
        <v>14</v>
      </c>
    </row>
    <row r="141" spans="1:8" x14ac:dyDescent="0.3">
      <c r="A141" t="s">
        <v>115</v>
      </c>
      <c r="B141">
        <v>2021</v>
      </c>
      <c r="C141" t="s">
        <v>63</v>
      </c>
      <c r="D141" t="s">
        <v>64</v>
      </c>
      <c r="E141" t="s">
        <v>65</v>
      </c>
      <c r="F141">
        <v>1764</v>
      </c>
      <c r="G141" t="s">
        <v>66</v>
      </c>
      <c r="H141">
        <v>12</v>
      </c>
    </row>
    <row r="142" spans="1:8" x14ac:dyDescent="0.3">
      <c r="A142" t="s">
        <v>116</v>
      </c>
      <c r="B142">
        <v>2017</v>
      </c>
      <c r="C142" t="s">
        <v>63</v>
      </c>
      <c r="D142" t="s">
        <v>64</v>
      </c>
      <c r="E142" t="s">
        <v>65</v>
      </c>
      <c r="F142">
        <v>10471</v>
      </c>
      <c r="G142" t="s">
        <v>66</v>
      </c>
      <c r="H142">
        <v>2</v>
      </c>
    </row>
    <row r="143" spans="1:8" x14ac:dyDescent="0.3">
      <c r="A143" t="s">
        <v>117</v>
      </c>
      <c r="B143">
        <v>2016</v>
      </c>
      <c r="C143" t="s">
        <v>63</v>
      </c>
      <c r="D143" t="s">
        <v>64</v>
      </c>
      <c r="E143" t="s">
        <v>65</v>
      </c>
      <c r="F143">
        <v>39595</v>
      </c>
      <c r="G143" t="s">
        <v>66</v>
      </c>
      <c r="H143">
        <v>2</v>
      </c>
    </row>
    <row r="144" spans="1:8" x14ac:dyDescent="0.3">
      <c r="A144" t="s">
        <v>117</v>
      </c>
      <c r="B144">
        <v>2017</v>
      </c>
      <c r="C144" t="s">
        <v>63</v>
      </c>
      <c r="D144" t="s">
        <v>64</v>
      </c>
      <c r="E144" t="s">
        <v>65</v>
      </c>
      <c r="F144">
        <v>39595</v>
      </c>
      <c r="G144" t="s">
        <v>66</v>
      </c>
      <c r="H144">
        <v>4</v>
      </c>
    </row>
    <row r="145" spans="1:8" x14ac:dyDescent="0.3">
      <c r="A145" t="s">
        <v>117</v>
      </c>
      <c r="B145">
        <v>2019</v>
      </c>
      <c r="C145" t="s">
        <v>63</v>
      </c>
      <c r="D145" t="s">
        <v>64</v>
      </c>
      <c r="E145" t="s">
        <v>65</v>
      </c>
      <c r="F145">
        <v>39595</v>
      </c>
      <c r="G145" t="s">
        <v>66</v>
      </c>
      <c r="H145">
        <v>1</v>
      </c>
    </row>
    <row r="146" spans="1:8" x14ac:dyDescent="0.3">
      <c r="A146" t="s">
        <v>118</v>
      </c>
      <c r="B146">
        <v>2014</v>
      </c>
      <c r="C146" t="s">
        <v>63</v>
      </c>
      <c r="D146" t="s">
        <v>64</v>
      </c>
      <c r="E146" t="s">
        <v>65</v>
      </c>
      <c r="F146">
        <v>3306</v>
      </c>
      <c r="G146" t="s">
        <v>66</v>
      </c>
      <c r="H146">
        <v>1</v>
      </c>
    </row>
    <row r="147" spans="1:8" x14ac:dyDescent="0.3">
      <c r="A147" t="s">
        <v>118</v>
      </c>
      <c r="B147">
        <v>2015</v>
      </c>
      <c r="C147" t="s">
        <v>63</v>
      </c>
      <c r="D147" t="s">
        <v>64</v>
      </c>
      <c r="E147" t="s">
        <v>65</v>
      </c>
      <c r="F147">
        <v>3306</v>
      </c>
      <c r="G147" t="s">
        <v>66</v>
      </c>
      <c r="H147">
        <v>1</v>
      </c>
    </row>
    <row r="148" spans="1:8" x14ac:dyDescent="0.3">
      <c r="A148" t="s">
        <v>118</v>
      </c>
      <c r="B148">
        <v>2016</v>
      </c>
      <c r="C148" t="s">
        <v>63</v>
      </c>
      <c r="D148" t="s">
        <v>64</v>
      </c>
      <c r="E148" t="s">
        <v>65</v>
      </c>
      <c r="F148">
        <v>3306</v>
      </c>
      <c r="G148" t="s">
        <v>66</v>
      </c>
      <c r="H148">
        <v>1</v>
      </c>
    </row>
    <row r="149" spans="1:8" x14ac:dyDescent="0.3">
      <c r="A149" t="s">
        <v>118</v>
      </c>
      <c r="B149">
        <v>2018</v>
      </c>
      <c r="C149" t="s">
        <v>63</v>
      </c>
      <c r="D149" t="s">
        <v>64</v>
      </c>
      <c r="E149" t="s">
        <v>65</v>
      </c>
      <c r="F149">
        <v>3306</v>
      </c>
      <c r="G149" t="s">
        <v>66</v>
      </c>
      <c r="H149">
        <v>1</v>
      </c>
    </row>
    <row r="150" spans="1:8" x14ac:dyDescent="0.3">
      <c r="A150" t="s">
        <v>118</v>
      </c>
      <c r="B150">
        <v>2019</v>
      </c>
      <c r="C150" t="s">
        <v>63</v>
      </c>
      <c r="D150" t="s">
        <v>64</v>
      </c>
      <c r="E150" t="s">
        <v>65</v>
      </c>
      <c r="F150">
        <v>3306</v>
      </c>
      <c r="G150" t="s">
        <v>66</v>
      </c>
      <c r="H150">
        <v>1</v>
      </c>
    </row>
    <row r="151" spans="1:8" x14ac:dyDescent="0.3">
      <c r="A151" t="s">
        <v>119</v>
      </c>
      <c r="B151">
        <v>2014</v>
      </c>
      <c r="C151" t="s">
        <v>63</v>
      </c>
      <c r="D151" t="s">
        <v>64</v>
      </c>
      <c r="E151" t="s">
        <v>65</v>
      </c>
      <c r="F151">
        <v>34833</v>
      </c>
      <c r="G151" t="s">
        <v>72</v>
      </c>
      <c r="H151">
        <v>1</v>
      </c>
    </row>
    <row r="152" spans="1:8" x14ac:dyDescent="0.3">
      <c r="A152" t="s">
        <v>120</v>
      </c>
      <c r="B152">
        <v>2018</v>
      </c>
      <c r="C152" t="s">
        <v>63</v>
      </c>
      <c r="D152" t="s">
        <v>64</v>
      </c>
      <c r="E152" t="s">
        <v>65</v>
      </c>
      <c r="F152">
        <v>28000</v>
      </c>
      <c r="G152" t="s">
        <v>72</v>
      </c>
      <c r="H152">
        <v>1</v>
      </c>
    </row>
    <row r="153" spans="1:8" x14ac:dyDescent="0.3">
      <c r="A153" t="s">
        <v>121</v>
      </c>
      <c r="B153">
        <v>2014</v>
      </c>
      <c r="C153" t="s">
        <v>63</v>
      </c>
      <c r="D153" t="s">
        <v>64</v>
      </c>
      <c r="E153" t="s">
        <v>65</v>
      </c>
      <c r="F153">
        <v>21500</v>
      </c>
      <c r="G153" t="s">
        <v>72</v>
      </c>
      <c r="H153">
        <v>1</v>
      </c>
    </row>
    <row r="154" spans="1:8" x14ac:dyDescent="0.3">
      <c r="A154" t="s">
        <v>122</v>
      </c>
      <c r="B154">
        <v>2016</v>
      </c>
      <c r="C154" t="s">
        <v>63</v>
      </c>
      <c r="D154" t="s">
        <v>64</v>
      </c>
      <c r="E154" t="s">
        <v>65</v>
      </c>
      <c r="F154">
        <v>3086</v>
      </c>
      <c r="G154" t="s">
        <v>66</v>
      </c>
      <c r="H154">
        <v>1</v>
      </c>
    </row>
    <row r="155" spans="1:8" x14ac:dyDescent="0.3">
      <c r="A155" t="s">
        <v>122</v>
      </c>
      <c r="B155">
        <v>2017</v>
      </c>
      <c r="C155" t="s">
        <v>63</v>
      </c>
      <c r="D155" t="s">
        <v>64</v>
      </c>
      <c r="E155" t="s">
        <v>65</v>
      </c>
      <c r="F155">
        <v>3086</v>
      </c>
      <c r="G155" t="s">
        <v>66</v>
      </c>
      <c r="H155">
        <v>1</v>
      </c>
    </row>
    <row r="156" spans="1:8" x14ac:dyDescent="0.3">
      <c r="A156" t="s">
        <v>123</v>
      </c>
      <c r="B156">
        <v>2014</v>
      </c>
      <c r="C156" t="s">
        <v>63</v>
      </c>
      <c r="D156" t="s">
        <v>64</v>
      </c>
      <c r="E156" t="s">
        <v>65</v>
      </c>
      <c r="F156">
        <v>2579</v>
      </c>
      <c r="G156" t="s">
        <v>66</v>
      </c>
      <c r="H156">
        <v>3</v>
      </c>
    </row>
    <row r="157" spans="1:8" x14ac:dyDescent="0.3">
      <c r="A157" t="s">
        <v>123</v>
      </c>
      <c r="B157">
        <v>2015</v>
      </c>
      <c r="C157" t="s">
        <v>63</v>
      </c>
      <c r="D157" t="s">
        <v>64</v>
      </c>
      <c r="E157" t="s">
        <v>65</v>
      </c>
      <c r="F157">
        <v>2579</v>
      </c>
      <c r="G157" t="s">
        <v>66</v>
      </c>
      <c r="H157">
        <v>2</v>
      </c>
    </row>
    <row r="158" spans="1:8" x14ac:dyDescent="0.3">
      <c r="A158" t="s">
        <v>123</v>
      </c>
      <c r="B158">
        <v>2016</v>
      </c>
      <c r="C158" t="s">
        <v>63</v>
      </c>
      <c r="D158" t="s">
        <v>64</v>
      </c>
      <c r="E158" t="s">
        <v>65</v>
      </c>
      <c r="F158">
        <v>2579</v>
      </c>
      <c r="G158" t="s">
        <v>66</v>
      </c>
      <c r="H158">
        <v>4</v>
      </c>
    </row>
    <row r="159" spans="1:8" x14ac:dyDescent="0.3">
      <c r="A159" t="s">
        <v>123</v>
      </c>
      <c r="B159">
        <v>2017</v>
      </c>
      <c r="C159" t="s">
        <v>63</v>
      </c>
      <c r="D159" t="s">
        <v>64</v>
      </c>
      <c r="E159" t="s">
        <v>65</v>
      </c>
      <c r="F159">
        <v>2579</v>
      </c>
      <c r="G159" t="s">
        <v>66</v>
      </c>
      <c r="H159">
        <v>1</v>
      </c>
    </row>
    <row r="160" spans="1:8" x14ac:dyDescent="0.3">
      <c r="A160" t="s">
        <v>123</v>
      </c>
      <c r="B160">
        <v>2018</v>
      </c>
      <c r="C160" t="s">
        <v>63</v>
      </c>
      <c r="D160" t="s">
        <v>64</v>
      </c>
      <c r="E160" t="s">
        <v>65</v>
      </c>
      <c r="F160">
        <v>2579</v>
      </c>
      <c r="G160" t="s">
        <v>66</v>
      </c>
      <c r="H160">
        <v>1</v>
      </c>
    </row>
    <row r="161" spans="1:8" x14ac:dyDescent="0.3">
      <c r="A161" t="s">
        <v>124</v>
      </c>
      <c r="B161">
        <v>2014</v>
      </c>
      <c r="C161" t="s">
        <v>63</v>
      </c>
      <c r="D161" t="s">
        <v>64</v>
      </c>
      <c r="E161" t="s">
        <v>65</v>
      </c>
      <c r="F161">
        <v>12500</v>
      </c>
      <c r="G161" t="s">
        <v>66</v>
      </c>
      <c r="H161">
        <v>1</v>
      </c>
    </row>
    <row r="162" spans="1:8" x14ac:dyDescent="0.3">
      <c r="A162" t="s">
        <v>124</v>
      </c>
      <c r="B162">
        <v>2016</v>
      </c>
      <c r="C162" t="s">
        <v>63</v>
      </c>
      <c r="D162" t="s">
        <v>64</v>
      </c>
      <c r="E162" t="s">
        <v>65</v>
      </c>
      <c r="F162">
        <v>12500</v>
      </c>
      <c r="G162" t="s">
        <v>66</v>
      </c>
      <c r="H162">
        <v>1</v>
      </c>
    </row>
    <row r="163" spans="1:8" x14ac:dyDescent="0.3">
      <c r="A163" t="s">
        <v>125</v>
      </c>
      <c r="B163">
        <v>2015</v>
      </c>
      <c r="C163" t="s">
        <v>63</v>
      </c>
      <c r="D163" t="s">
        <v>64</v>
      </c>
      <c r="E163" t="s">
        <v>65</v>
      </c>
      <c r="F163">
        <v>12100</v>
      </c>
      <c r="G163" t="s">
        <v>66</v>
      </c>
      <c r="H163">
        <v>1</v>
      </c>
    </row>
    <row r="164" spans="1:8" x14ac:dyDescent="0.3">
      <c r="A164" t="s">
        <v>126</v>
      </c>
      <c r="B164">
        <v>2014</v>
      </c>
      <c r="C164" t="s">
        <v>63</v>
      </c>
      <c r="D164" t="s">
        <v>64</v>
      </c>
      <c r="E164" t="s">
        <v>65</v>
      </c>
      <c r="F164">
        <v>2548</v>
      </c>
      <c r="G164" t="s">
        <v>66</v>
      </c>
      <c r="H164">
        <v>1</v>
      </c>
    </row>
    <row r="165" spans="1:8" x14ac:dyDescent="0.3">
      <c r="A165" t="s">
        <v>126</v>
      </c>
      <c r="B165">
        <v>2016</v>
      </c>
      <c r="C165" t="s">
        <v>63</v>
      </c>
      <c r="D165" t="s">
        <v>64</v>
      </c>
      <c r="E165" t="s">
        <v>65</v>
      </c>
      <c r="F165">
        <v>2548</v>
      </c>
      <c r="G165" t="s">
        <v>66</v>
      </c>
      <c r="H165">
        <v>3</v>
      </c>
    </row>
    <row r="166" spans="1:8" x14ac:dyDescent="0.3">
      <c r="A166" t="s">
        <v>126</v>
      </c>
      <c r="B166">
        <v>2017</v>
      </c>
      <c r="C166" t="s">
        <v>63</v>
      </c>
      <c r="D166" t="s">
        <v>64</v>
      </c>
      <c r="E166" t="s">
        <v>65</v>
      </c>
      <c r="F166">
        <v>2548</v>
      </c>
      <c r="G166" t="s">
        <v>66</v>
      </c>
      <c r="H166">
        <v>3</v>
      </c>
    </row>
    <row r="167" spans="1:8" x14ac:dyDescent="0.3">
      <c r="A167" t="s">
        <v>126</v>
      </c>
      <c r="B167">
        <v>2018</v>
      </c>
      <c r="C167" t="s">
        <v>63</v>
      </c>
      <c r="D167" t="s">
        <v>64</v>
      </c>
      <c r="E167" t="s">
        <v>65</v>
      </c>
      <c r="F167">
        <v>2548</v>
      </c>
      <c r="G167" t="s">
        <v>66</v>
      </c>
      <c r="H167">
        <v>1</v>
      </c>
    </row>
    <row r="168" spans="1:8" x14ac:dyDescent="0.3">
      <c r="A168" t="s">
        <v>126</v>
      </c>
      <c r="B168">
        <v>2019</v>
      </c>
      <c r="C168" t="s">
        <v>63</v>
      </c>
      <c r="D168" t="s">
        <v>64</v>
      </c>
      <c r="E168" t="s">
        <v>65</v>
      </c>
      <c r="F168">
        <v>2548</v>
      </c>
      <c r="G168" t="s">
        <v>66</v>
      </c>
      <c r="H168">
        <v>5</v>
      </c>
    </row>
    <row r="169" spans="1:8" x14ac:dyDescent="0.3">
      <c r="A169" t="s">
        <v>126</v>
      </c>
      <c r="B169">
        <v>2020</v>
      </c>
      <c r="C169" t="s">
        <v>63</v>
      </c>
      <c r="D169" t="s">
        <v>64</v>
      </c>
      <c r="E169" t="s">
        <v>65</v>
      </c>
      <c r="F169">
        <v>2548</v>
      </c>
      <c r="G169" t="s">
        <v>66</v>
      </c>
      <c r="H169">
        <v>2</v>
      </c>
    </row>
    <row r="170" spans="1:8" x14ac:dyDescent="0.3">
      <c r="A170" t="s">
        <v>127</v>
      </c>
      <c r="B170">
        <v>2015</v>
      </c>
      <c r="C170" t="s">
        <v>63</v>
      </c>
      <c r="D170" t="s">
        <v>64</v>
      </c>
      <c r="E170" t="s">
        <v>65</v>
      </c>
      <c r="F170">
        <v>2150</v>
      </c>
      <c r="G170" t="s">
        <v>66</v>
      </c>
      <c r="H170">
        <v>1</v>
      </c>
    </row>
    <row r="171" spans="1:8" x14ac:dyDescent="0.3">
      <c r="A171" t="s">
        <v>128</v>
      </c>
      <c r="B171">
        <v>2014</v>
      </c>
      <c r="C171" t="s">
        <v>63</v>
      </c>
      <c r="D171" t="s">
        <v>64</v>
      </c>
      <c r="E171" t="s">
        <v>65</v>
      </c>
      <c r="F171">
        <v>2866</v>
      </c>
      <c r="G171" t="s">
        <v>66</v>
      </c>
      <c r="H171">
        <v>1</v>
      </c>
    </row>
    <row r="172" spans="1:8" x14ac:dyDescent="0.3">
      <c r="A172" t="s">
        <v>128</v>
      </c>
      <c r="B172">
        <v>2015</v>
      </c>
      <c r="C172" t="s">
        <v>63</v>
      </c>
      <c r="D172" t="s">
        <v>64</v>
      </c>
      <c r="E172" t="s">
        <v>65</v>
      </c>
      <c r="F172">
        <v>2866</v>
      </c>
      <c r="G172" t="s">
        <v>66</v>
      </c>
      <c r="H172">
        <v>1</v>
      </c>
    </row>
    <row r="173" spans="1:8" x14ac:dyDescent="0.3">
      <c r="A173" t="s">
        <v>128</v>
      </c>
      <c r="B173">
        <v>2017</v>
      </c>
      <c r="C173" t="s">
        <v>63</v>
      </c>
      <c r="D173" t="s">
        <v>64</v>
      </c>
      <c r="E173" t="s">
        <v>65</v>
      </c>
      <c r="F173">
        <v>2866</v>
      </c>
      <c r="G173" t="s">
        <v>66</v>
      </c>
      <c r="H173">
        <v>2</v>
      </c>
    </row>
    <row r="174" spans="1:8" x14ac:dyDescent="0.3">
      <c r="A174" t="s">
        <v>128</v>
      </c>
      <c r="B174">
        <v>2018</v>
      </c>
      <c r="C174" t="s">
        <v>63</v>
      </c>
      <c r="D174" t="s">
        <v>64</v>
      </c>
      <c r="E174" t="s">
        <v>65</v>
      </c>
      <c r="F174">
        <v>2866</v>
      </c>
      <c r="G174" t="s">
        <v>66</v>
      </c>
      <c r="H174">
        <v>1</v>
      </c>
    </row>
    <row r="175" spans="1:8" x14ac:dyDescent="0.3">
      <c r="A175" t="s">
        <v>129</v>
      </c>
      <c r="B175">
        <v>2019</v>
      </c>
      <c r="C175" t="s">
        <v>63</v>
      </c>
      <c r="D175" t="s">
        <v>64</v>
      </c>
      <c r="E175" t="s">
        <v>65</v>
      </c>
      <c r="F175">
        <v>3615</v>
      </c>
      <c r="G175" t="s">
        <v>66</v>
      </c>
      <c r="H175">
        <v>1</v>
      </c>
    </row>
    <row r="176" spans="1:8" x14ac:dyDescent="0.3">
      <c r="A176" t="s">
        <v>130</v>
      </c>
      <c r="B176">
        <v>2018</v>
      </c>
      <c r="C176" t="s">
        <v>63</v>
      </c>
      <c r="D176" t="s">
        <v>64</v>
      </c>
      <c r="E176" t="s">
        <v>65</v>
      </c>
      <c r="F176">
        <v>4850</v>
      </c>
      <c r="G176" t="s">
        <v>66</v>
      </c>
      <c r="H176">
        <v>1</v>
      </c>
    </row>
    <row r="177" spans="1:8" x14ac:dyDescent="0.3">
      <c r="A177" t="s">
        <v>131</v>
      </c>
      <c r="B177">
        <v>2015</v>
      </c>
      <c r="C177" t="s">
        <v>63</v>
      </c>
      <c r="D177" t="s">
        <v>64</v>
      </c>
      <c r="E177" t="s">
        <v>65</v>
      </c>
      <c r="F177">
        <v>1950</v>
      </c>
      <c r="G177" t="s">
        <v>66</v>
      </c>
      <c r="H177">
        <v>1</v>
      </c>
    </row>
    <row r="178" spans="1:8" x14ac:dyDescent="0.3">
      <c r="A178" t="s">
        <v>131</v>
      </c>
      <c r="B178">
        <v>2016</v>
      </c>
      <c r="C178" t="s">
        <v>63</v>
      </c>
      <c r="D178" t="s">
        <v>64</v>
      </c>
      <c r="E178" t="s">
        <v>65</v>
      </c>
      <c r="F178">
        <v>1950</v>
      </c>
      <c r="G178" t="s">
        <v>66</v>
      </c>
      <c r="H178">
        <v>1</v>
      </c>
    </row>
    <row r="179" spans="1:8" x14ac:dyDescent="0.3">
      <c r="A179" t="s">
        <v>132</v>
      </c>
      <c r="B179">
        <v>2015</v>
      </c>
      <c r="C179" t="s">
        <v>63</v>
      </c>
      <c r="D179" t="s">
        <v>64</v>
      </c>
      <c r="E179" t="s">
        <v>65</v>
      </c>
      <c r="F179">
        <v>3200</v>
      </c>
      <c r="G179" t="s">
        <v>66</v>
      </c>
      <c r="H179">
        <v>1</v>
      </c>
    </row>
    <row r="180" spans="1:8" x14ac:dyDescent="0.3">
      <c r="A180" t="s">
        <v>132</v>
      </c>
      <c r="B180">
        <v>2016</v>
      </c>
      <c r="C180" t="s">
        <v>63</v>
      </c>
      <c r="D180" t="s">
        <v>64</v>
      </c>
      <c r="E180" t="s">
        <v>65</v>
      </c>
      <c r="F180">
        <v>3200</v>
      </c>
      <c r="G180" t="s">
        <v>66</v>
      </c>
      <c r="H180">
        <v>1</v>
      </c>
    </row>
    <row r="181" spans="1:8" x14ac:dyDescent="0.3">
      <c r="A181" t="s">
        <v>132</v>
      </c>
      <c r="B181">
        <v>2017</v>
      </c>
      <c r="C181" t="s">
        <v>63</v>
      </c>
      <c r="D181" t="s">
        <v>64</v>
      </c>
      <c r="E181" t="s">
        <v>65</v>
      </c>
      <c r="F181">
        <v>3200</v>
      </c>
      <c r="G181" t="s">
        <v>66</v>
      </c>
      <c r="H181">
        <v>2</v>
      </c>
    </row>
    <row r="182" spans="1:8" x14ac:dyDescent="0.3">
      <c r="A182" t="s">
        <v>132</v>
      </c>
      <c r="B182">
        <v>2020</v>
      </c>
      <c r="C182" t="s">
        <v>63</v>
      </c>
      <c r="D182" t="s">
        <v>64</v>
      </c>
      <c r="E182" t="s">
        <v>65</v>
      </c>
      <c r="F182">
        <v>3200</v>
      </c>
      <c r="G182" t="s">
        <v>66</v>
      </c>
      <c r="H182">
        <v>2</v>
      </c>
    </row>
    <row r="183" spans="1:8" x14ac:dyDescent="0.3">
      <c r="A183" t="s">
        <v>133</v>
      </c>
      <c r="B183">
        <v>2014</v>
      </c>
      <c r="C183" t="s">
        <v>63</v>
      </c>
      <c r="D183" t="s">
        <v>64</v>
      </c>
      <c r="E183" t="s">
        <v>65</v>
      </c>
      <c r="F183">
        <v>2150</v>
      </c>
      <c r="G183" t="s">
        <v>66</v>
      </c>
      <c r="H183">
        <v>1</v>
      </c>
    </row>
    <row r="184" spans="1:8" x14ac:dyDescent="0.3">
      <c r="A184" t="s">
        <v>133</v>
      </c>
      <c r="B184">
        <v>2015</v>
      </c>
      <c r="C184" t="s">
        <v>63</v>
      </c>
      <c r="D184" t="s">
        <v>64</v>
      </c>
      <c r="E184" t="s">
        <v>65</v>
      </c>
      <c r="F184">
        <v>2150</v>
      </c>
      <c r="G184" t="s">
        <v>66</v>
      </c>
      <c r="H184">
        <v>2</v>
      </c>
    </row>
    <row r="185" spans="1:8" x14ac:dyDescent="0.3">
      <c r="A185" t="s">
        <v>133</v>
      </c>
      <c r="B185">
        <v>2016</v>
      </c>
      <c r="C185" t="s">
        <v>63</v>
      </c>
      <c r="D185" t="s">
        <v>64</v>
      </c>
      <c r="E185" t="s">
        <v>65</v>
      </c>
      <c r="F185">
        <v>2150</v>
      </c>
      <c r="G185" t="s">
        <v>66</v>
      </c>
      <c r="H185">
        <v>4</v>
      </c>
    </row>
    <row r="186" spans="1:8" x14ac:dyDescent="0.3">
      <c r="A186" t="s">
        <v>133</v>
      </c>
      <c r="B186">
        <v>2017</v>
      </c>
      <c r="C186" t="s">
        <v>63</v>
      </c>
      <c r="D186" t="s">
        <v>64</v>
      </c>
      <c r="E186" t="s">
        <v>65</v>
      </c>
      <c r="F186">
        <v>2150</v>
      </c>
      <c r="G186" t="s">
        <v>66</v>
      </c>
      <c r="H186">
        <v>4</v>
      </c>
    </row>
    <row r="187" spans="1:8" x14ac:dyDescent="0.3">
      <c r="A187" t="s">
        <v>133</v>
      </c>
      <c r="B187">
        <v>2018</v>
      </c>
      <c r="C187" t="s">
        <v>63</v>
      </c>
      <c r="D187" t="s">
        <v>64</v>
      </c>
      <c r="E187" t="s">
        <v>65</v>
      </c>
      <c r="F187">
        <v>2150</v>
      </c>
      <c r="G187" t="s">
        <v>66</v>
      </c>
      <c r="H187">
        <v>7</v>
      </c>
    </row>
    <row r="188" spans="1:8" x14ac:dyDescent="0.3">
      <c r="A188" t="s">
        <v>133</v>
      </c>
      <c r="B188">
        <v>2019</v>
      </c>
      <c r="C188" t="s">
        <v>63</v>
      </c>
      <c r="D188" t="s">
        <v>64</v>
      </c>
      <c r="E188" t="s">
        <v>65</v>
      </c>
      <c r="F188">
        <v>2150</v>
      </c>
      <c r="G188" t="s">
        <v>66</v>
      </c>
      <c r="H188">
        <v>3</v>
      </c>
    </row>
    <row r="189" spans="1:8" x14ac:dyDescent="0.3">
      <c r="A189" t="s">
        <v>133</v>
      </c>
      <c r="B189">
        <v>2020</v>
      </c>
      <c r="C189" t="s">
        <v>63</v>
      </c>
      <c r="D189" t="s">
        <v>64</v>
      </c>
      <c r="E189" t="s">
        <v>65</v>
      </c>
      <c r="F189">
        <v>2150</v>
      </c>
      <c r="G189" t="s">
        <v>66</v>
      </c>
      <c r="H189">
        <v>2</v>
      </c>
    </row>
    <row r="190" spans="1:8" x14ac:dyDescent="0.3">
      <c r="A190" t="s">
        <v>133</v>
      </c>
      <c r="B190">
        <v>2021</v>
      </c>
      <c r="C190" t="s">
        <v>63</v>
      </c>
      <c r="D190" t="s">
        <v>64</v>
      </c>
      <c r="E190" t="s">
        <v>65</v>
      </c>
      <c r="F190">
        <v>2150</v>
      </c>
      <c r="G190" t="s">
        <v>66</v>
      </c>
      <c r="H190">
        <v>2</v>
      </c>
    </row>
    <row r="191" spans="1:8" x14ac:dyDescent="0.3">
      <c r="A191" t="s">
        <v>134</v>
      </c>
      <c r="B191">
        <v>2017</v>
      </c>
      <c r="C191" t="s">
        <v>63</v>
      </c>
      <c r="D191" t="s">
        <v>64</v>
      </c>
      <c r="E191" t="s">
        <v>65</v>
      </c>
      <c r="F191">
        <v>3725</v>
      </c>
      <c r="G191" t="s">
        <v>66</v>
      </c>
      <c r="H191">
        <v>2</v>
      </c>
    </row>
    <row r="192" spans="1:8" x14ac:dyDescent="0.3">
      <c r="A192" t="s">
        <v>134</v>
      </c>
      <c r="B192">
        <v>2019</v>
      </c>
      <c r="C192" t="s">
        <v>63</v>
      </c>
      <c r="D192" t="s">
        <v>64</v>
      </c>
      <c r="E192" t="s">
        <v>65</v>
      </c>
      <c r="F192">
        <v>3725</v>
      </c>
      <c r="G192" t="s">
        <v>66</v>
      </c>
      <c r="H192">
        <v>1</v>
      </c>
    </row>
    <row r="193" spans="1:8" x14ac:dyDescent="0.3">
      <c r="A193" t="s">
        <v>135</v>
      </c>
      <c r="B193">
        <v>2014</v>
      </c>
      <c r="C193" t="s">
        <v>63</v>
      </c>
      <c r="D193" t="s">
        <v>64</v>
      </c>
      <c r="E193" t="s">
        <v>65</v>
      </c>
      <c r="F193">
        <v>3400</v>
      </c>
      <c r="G193" t="s">
        <v>66</v>
      </c>
      <c r="H193">
        <v>3</v>
      </c>
    </row>
    <row r="194" spans="1:8" x14ac:dyDescent="0.3">
      <c r="A194" t="s">
        <v>135</v>
      </c>
      <c r="B194">
        <v>2015</v>
      </c>
      <c r="C194" t="s">
        <v>63</v>
      </c>
      <c r="D194" t="s">
        <v>64</v>
      </c>
      <c r="E194" t="s">
        <v>65</v>
      </c>
      <c r="F194">
        <v>3400</v>
      </c>
      <c r="G194" t="s">
        <v>66</v>
      </c>
      <c r="H194">
        <v>2</v>
      </c>
    </row>
    <row r="195" spans="1:8" x14ac:dyDescent="0.3">
      <c r="A195" t="s">
        <v>135</v>
      </c>
      <c r="B195">
        <v>2018</v>
      </c>
      <c r="C195" t="s">
        <v>63</v>
      </c>
      <c r="D195" t="s">
        <v>64</v>
      </c>
      <c r="E195" t="s">
        <v>65</v>
      </c>
      <c r="F195">
        <v>3400</v>
      </c>
      <c r="G195" t="s">
        <v>66</v>
      </c>
      <c r="H195">
        <v>2</v>
      </c>
    </row>
    <row r="196" spans="1:8" x14ac:dyDescent="0.3">
      <c r="A196" t="s">
        <v>136</v>
      </c>
      <c r="B196">
        <v>2015</v>
      </c>
      <c r="C196" t="s">
        <v>63</v>
      </c>
      <c r="D196" t="s">
        <v>64</v>
      </c>
      <c r="E196" t="s">
        <v>65</v>
      </c>
      <c r="F196">
        <v>4629</v>
      </c>
      <c r="G196" t="s">
        <v>66</v>
      </c>
      <c r="H196">
        <v>1</v>
      </c>
    </row>
    <row r="197" spans="1:8" x14ac:dyDescent="0.3">
      <c r="A197" t="s">
        <v>137</v>
      </c>
      <c r="B197">
        <v>2015</v>
      </c>
      <c r="C197" t="s">
        <v>63</v>
      </c>
      <c r="D197" t="s">
        <v>64</v>
      </c>
      <c r="E197" t="s">
        <v>65</v>
      </c>
      <c r="F197">
        <v>4299</v>
      </c>
      <c r="G197" t="s">
        <v>66</v>
      </c>
      <c r="H197">
        <v>2</v>
      </c>
    </row>
    <row r="198" spans="1:8" x14ac:dyDescent="0.3">
      <c r="A198" t="s">
        <v>137</v>
      </c>
      <c r="B198">
        <v>2016</v>
      </c>
      <c r="C198" t="s">
        <v>63</v>
      </c>
      <c r="D198" t="s">
        <v>64</v>
      </c>
      <c r="E198" t="s">
        <v>65</v>
      </c>
      <c r="F198">
        <v>4299</v>
      </c>
      <c r="G198" t="s">
        <v>66</v>
      </c>
      <c r="H198">
        <v>1</v>
      </c>
    </row>
    <row r="199" spans="1:8" x14ac:dyDescent="0.3">
      <c r="A199" t="s">
        <v>137</v>
      </c>
      <c r="B199">
        <v>2017</v>
      </c>
      <c r="C199" t="s">
        <v>63</v>
      </c>
      <c r="D199" t="s">
        <v>64</v>
      </c>
      <c r="E199" t="s">
        <v>65</v>
      </c>
      <c r="F199">
        <v>4299</v>
      </c>
      <c r="G199" t="s">
        <v>66</v>
      </c>
      <c r="H199">
        <v>4</v>
      </c>
    </row>
    <row r="200" spans="1:8" x14ac:dyDescent="0.3">
      <c r="A200" t="s">
        <v>138</v>
      </c>
      <c r="B200">
        <v>2015</v>
      </c>
      <c r="C200" t="s">
        <v>63</v>
      </c>
      <c r="D200" t="s">
        <v>64</v>
      </c>
      <c r="E200" t="s">
        <v>65</v>
      </c>
      <c r="F200">
        <v>9479</v>
      </c>
      <c r="G200" t="s">
        <v>66</v>
      </c>
      <c r="H200">
        <v>1</v>
      </c>
    </row>
    <row r="201" spans="1:8" x14ac:dyDescent="0.3">
      <c r="A201" t="s">
        <v>139</v>
      </c>
      <c r="B201">
        <v>2014</v>
      </c>
      <c r="C201" t="s">
        <v>63</v>
      </c>
      <c r="D201" t="s">
        <v>64</v>
      </c>
      <c r="E201" t="s">
        <v>65</v>
      </c>
      <c r="F201">
        <v>9039</v>
      </c>
      <c r="G201" t="s">
        <v>66</v>
      </c>
      <c r="H201">
        <v>2</v>
      </c>
    </row>
    <row r="202" spans="1:8" x14ac:dyDescent="0.3">
      <c r="A202" t="s">
        <v>139</v>
      </c>
      <c r="B202">
        <v>2019</v>
      </c>
      <c r="C202" t="s">
        <v>63</v>
      </c>
      <c r="D202" t="s">
        <v>64</v>
      </c>
      <c r="E202" t="s">
        <v>65</v>
      </c>
      <c r="F202">
        <v>9039</v>
      </c>
      <c r="G202" t="s">
        <v>66</v>
      </c>
      <c r="H202">
        <v>1</v>
      </c>
    </row>
    <row r="203" spans="1:8" x14ac:dyDescent="0.3">
      <c r="A203" t="s">
        <v>139</v>
      </c>
      <c r="B203">
        <v>2021</v>
      </c>
      <c r="C203" t="s">
        <v>63</v>
      </c>
      <c r="D203" t="s">
        <v>64</v>
      </c>
      <c r="E203" t="s">
        <v>65</v>
      </c>
      <c r="F203">
        <v>9039</v>
      </c>
      <c r="G203" t="s">
        <v>66</v>
      </c>
      <c r="H203">
        <v>1</v>
      </c>
    </row>
    <row r="204" spans="1:8" x14ac:dyDescent="0.3">
      <c r="A204" t="s">
        <v>140</v>
      </c>
      <c r="B204">
        <v>2019</v>
      </c>
      <c r="C204" t="s">
        <v>63</v>
      </c>
      <c r="D204" t="s">
        <v>64</v>
      </c>
      <c r="E204" t="s">
        <v>65</v>
      </c>
      <c r="F204">
        <v>1650</v>
      </c>
      <c r="G204" t="s">
        <v>66</v>
      </c>
      <c r="H204">
        <v>1</v>
      </c>
    </row>
    <row r="205" spans="1:8" x14ac:dyDescent="0.3">
      <c r="A205" t="s">
        <v>141</v>
      </c>
      <c r="B205">
        <v>2018</v>
      </c>
      <c r="C205" t="s">
        <v>63</v>
      </c>
      <c r="D205" t="s">
        <v>64</v>
      </c>
      <c r="E205" t="s">
        <v>65</v>
      </c>
      <c r="F205">
        <v>1600</v>
      </c>
      <c r="G205" t="s">
        <v>66</v>
      </c>
      <c r="H205">
        <v>1</v>
      </c>
    </row>
    <row r="206" spans="1:8" x14ac:dyDescent="0.3">
      <c r="A206" t="s">
        <v>142</v>
      </c>
      <c r="B206">
        <v>2014</v>
      </c>
      <c r="C206" t="s">
        <v>63</v>
      </c>
      <c r="D206" t="s">
        <v>64</v>
      </c>
      <c r="E206" t="s">
        <v>65</v>
      </c>
      <c r="F206">
        <v>3000</v>
      </c>
      <c r="G206" t="s">
        <v>66</v>
      </c>
      <c r="H206">
        <v>4</v>
      </c>
    </row>
    <row r="207" spans="1:8" x14ac:dyDescent="0.3">
      <c r="A207" t="s">
        <v>142</v>
      </c>
      <c r="B207">
        <v>2015</v>
      </c>
      <c r="C207" t="s">
        <v>63</v>
      </c>
      <c r="D207" t="s">
        <v>64</v>
      </c>
      <c r="E207" t="s">
        <v>65</v>
      </c>
      <c r="F207">
        <v>3000</v>
      </c>
      <c r="G207" t="s">
        <v>66</v>
      </c>
      <c r="H207">
        <v>2</v>
      </c>
    </row>
    <row r="208" spans="1:8" x14ac:dyDescent="0.3">
      <c r="A208" t="s">
        <v>142</v>
      </c>
      <c r="B208">
        <v>2016</v>
      </c>
      <c r="C208" t="s">
        <v>63</v>
      </c>
      <c r="D208" t="s">
        <v>64</v>
      </c>
      <c r="E208" t="s">
        <v>65</v>
      </c>
      <c r="F208">
        <v>3000</v>
      </c>
      <c r="G208" t="s">
        <v>66</v>
      </c>
      <c r="H208">
        <v>1</v>
      </c>
    </row>
    <row r="209" spans="1:8" x14ac:dyDescent="0.3">
      <c r="A209" t="s">
        <v>142</v>
      </c>
      <c r="B209">
        <v>2019</v>
      </c>
      <c r="C209" t="s">
        <v>63</v>
      </c>
      <c r="D209" t="s">
        <v>64</v>
      </c>
      <c r="E209" t="s">
        <v>65</v>
      </c>
      <c r="F209">
        <v>3000</v>
      </c>
      <c r="G209" t="s">
        <v>66</v>
      </c>
      <c r="H209">
        <v>1</v>
      </c>
    </row>
    <row r="210" spans="1:8" x14ac:dyDescent="0.3">
      <c r="A210" t="s">
        <v>143</v>
      </c>
      <c r="B210">
        <v>2014</v>
      </c>
      <c r="C210" t="s">
        <v>63</v>
      </c>
      <c r="D210" t="s">
        <v>64</v>
      </c>
      <c r="E210" t="s">
        <v>65</v>
      </c>
      <c r="F210">
        <v>14500</v>
      </c>
      <c r="G210" t="s">
        <v>72</v>
      </c>
      <c r="H210">
        <v>2</v>
      </c>
    </row>
    <row r="211" spans="1:8" x14ac:dyDescent="0.3">
      <c r="A211" t="s">
        <v>143</v>
      </c>
      <c r="B211">
        <v>2015</v>
      </c>
      <c r="C211" t="s">
        <v>63</v>
      </c>
      <c r="D211" t="s">
        <v>64</v>
      </c>
      <c r="E211" t="s">
        <v>65</v>
      </c>
      <c r="F211">
        <v>14500</v>
      </c>
      <c r="G211" t="s">
        <v>72</v>
      </c>
      <c r="H211">
        <v>10</v>
      </c>
    </row>
    <row r="212" spans="1:8" x14ac:dyDescent="0.3">
      <c r="A212" t="s">
        <v>143</v>
      </c>
      <c r="B212">
        <v>2017</v>
      </c>
      <c r="C212" t="s">
        <v>63</v>
      </c>
      <c r="D212" t="s">
        <v>64</v>
      </c>
      <c r="E212" t="s">
        <v>65</v>
      </c>
      <c r="F212">
        <v>14500</v>
      </c>
      <c r="G212" t="s">
        <v>72</v>
      </c>
      <c r="H212">
        <v>3</v>
      </c>
    </row>
    <row r="213" spans="1:8" x14ac:dyDescent="0.3">
      <c r="A213" t="s">
        <v>143</v>
      </c>
      <c r="B213">
        <v>2018</v>
      </c>
      <c r="C213" t="s">
        <v>63</v>
      </c>
      <c r="D213" t="s">
        <v>64</v>
      </c>
      <c r="E213" t="s">
        <v>65</v>
      </c>
      <c r="F213">
        <v>14500</v>
      </c>
      <c r="G213" t="s">
        <v>72</v>
      </c>
      <c r="H213">
        <v>8</v>
      </c>
    </row>
    <row r="214" spans="1:8" x14ac:dyDescent="0.3">
      <c r="A214" t="s">
        <v>144</v>
      </c>
      <c r="B214">
        <v>2016</v>
      </c>
      <c r="C214" t="s">
        <v>63</v>
      </c>
      <c r="D214" t="s">
        <v>64</v>
      </c>
      <c r="E214" t="s">
        <v>65</v>
      </c>
      <c r="F214">
        <v>5617</v>
      </c>
      <c r="G214" t="s">
        <v>66</v>
      </c>
      <c r="H214">
        <v>1</v>
      </c>
    </row>
    <row r="215" spans="1:8" x14ac:dyDescent="0.3">
      <c r="A215" t="s">
        <v>145</v>
      </c>
      <c r="B215">
        <v>2016</v>
      </c>
      <c r="C215" t="s">
        <v>63</v>
      </c>
      <c r="D215" t="s">
        <v>64</v>
      </c>
      <c r="E215" t="s">
        <v>65</v>
      </c>
      <c r="F215">
        <v>6613</v>
      </c>
      <c r="G215" t="s">
        <v>66</v>
      </c>
      <c r="H215">
        <v>1</v>
      </c>
    </row>
    <row r="216" spans="1:8" x14ac:dyDescent="0.3">
      <c r="A216" t="s">
        <v>145</v>
      </c>
      <c r="B216">
        <v>2018</v>
      </c>
      <c r="C216" t="s">
        <v>63</v>
      </c>
      <c r="D216" t="s">
        <v>64</v>
      </c>
      <c r="E216" t="s">
        <v>65</v>
      </c>
      <c r="F216">
        <v>6613</v>
      </c>
      <c r="G216" t="s">
        <v>66</v>
      </c>
      <c r="H216">
        <v>1</v>
      </c>
    </row>
    <row r="217" spans="1:8" x14ac:dyDescent="0.3">
      <c r="A217" t="s">
        <v>145</v>
      </c>
      <c r="B217">
        <v>2019</v>
      </c>
      <c r="C217" t="s">
        <v>63</v>
      </c>
      <c r="D217" t="s">
        <v>64</v>
      </c>
      <c r="E217" t="s">
        <v>65</v>
      </c>
      <c r="F217">
        <v>6613</v>
      </c>
      <c r="G217" t="s">
        <v>66</v>
      </c>
      <c r="H217">
        <v>1</v>
      </c>
    </row>
    <row r="218" spans="1:8" x14ac:dyDescent="0.3">
      <c r="A218" t="s">
        <v>146</v>
      </c>
      <c r="B218">
        <v>2014</v>
      </c>
      <c r="C218" t="s">
        <v>63</v>
      </c>
      <c r="D218" t="s">
        <v>64</v>
      </c>
      <c r="E218" t="s">
        <v>65</v>
      </c>
      <c r="F218">
        <v>7495</v>
      </c>
      <c r="G218" t="s">
        <v>66</v>
      </c>
      <c r="H21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C24E-649B-4DA8-973A-4A2E49007D0A}">
  <dimension ref="A1:H1230"/>
  <sheetViews>
    <sheetView workbookViewId="0">
      <selection activeCell="K23" sqref="K23"/>
    </sheetView>
  </sheetViews>
  <sheetFormatPr defaultRowHeight="14.4" x14ac:dyDescent="0.3"/>
  <sheetData>
    <row r="1" spans="1:8" x14ac:dyDescent="0.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x14ac:dyDescent="0.3">
      <c r="A2" t="s">
        <v>62</v>
      </c>
      <c r="B2">
        <v>2015</v>
      </c>
      <c r="C2" t="s">
        <v>147</v>
      </c>
      <c r="D2" t="s">
        <v>148</v>
      </c>
      <c r="E2" t="s">
        <v>65</v>
      </c>
      <c r="F2">
        <v>50044</v>
      </c>
      <c r="G2" t="s">
        <v>66</v>
      </c>
      <c r="H2">
        <v>1</v>
      </c>
    </row>
    <row r="3" spans="1:8" x14ac:dyDescent="0.3">
      <c r="A3" t="s">
        <v>62</v>
      </c>
      <c r="B3">
        <v>2016</v>
      </c>
      <c r="C3" t="s">
        <v>147</v>
      </c>
      <c r="D3" t="s">
        <v>148</v>
      </c>
      <c r="E3" t="s">
        <v>65</v>
      </c>
      <c r="F3">
        <v>50044</v>
      </c>
      <c r="G3" t="s">
        <v>66</v>
      </c>
      <c r="H3">
        <v>1</v>
      </c>
    </row>
    <row r="4" spans="1:8" x14ac:dyDescent="0.3">
      <c r="A4" t="s">
        <v>62</v>
      </c>
      <c r="B4">
        <v>2019</v>
      </c>
      <c r="C4" t="s">
        <v>147</v>
      </c>
      <c r="D4" t="s">
        <v>148</v>
      </c>
      <c r="E4" t="s">
        <v>65</v>
      </c>
      <c r="F4">
        <v>50044</v>
      </c>
      <c r="G4" t="s">
        <v>66</v>
      </c>
      <c r="H4">
        <v>2</v>
      </c>
    </row>
    <row r="5" spans="1:8" x14ac:dyDescent="0.3">
      <c r="A5" t="s">
        <v>62</v>
      </c>
      <c r="B5">
        <v>2020</v>
      </c>
      <c r="C5" t="s">
        <v>147</v>
      </c>
      <c r="D5" t="s">
        <v>148</v>
      </c>
      <c r="E5" t="s">
        <v>65</v>
      </c>
      <c r="F5">
        <v>50044</v>
      </c>
      <c r="G5" t="s">
        <v>66</v>
      </c>
      <c r="H5">
        <v>2</v>
      </c>
    </row>
    <row r="6" spans="1:8" x14ac:dyDescent="0.3">
      <c r="A6" t="s">
        <v>62</v>
      </c>
      <c r="B6">
        <v>2021</v>
      </c>
      <c r="C6" t="s">
        <v>147</v>
      </c>
      <c r="D6" t="s">
        <v>148</v>
      </c>
      <c r="E6" t="s">
        <v>65</v>
      </c>
      <c r="F6">
        <v>50044</v>
      </c>
      <c r="G6" t="s">
        <v>66</v>
      </c>
      <c r="H6">
        <v>4</v>
      </c>
    </row>
    <row r="7" spans="1:8" x14ac:dyDescent="0.3">
      <c r="A7" t="s">
        <v>149</v>
      </c>
      <c r="B7">
        <v>2014</v>
      </c>
      <c r="C7" t="s">
        <v>147</v>
      </c>
      <c r="D7" t="s">
        <v>148</v>
      </c>
      <c r="E7" t="s">
        <v>65</v>
      </c>
      <c r="F7">
        <v>168653</v>
      </c>
      <c r="G7" t="s">
        <v>72</v>
      </c>
      <c r="H7">
        <v>2</v>
      </c>
    </row>
    <row r="8" spans="1:8" x14ac:dyDescent="0.3">
      <c r="A8" t="s">
        <v>149</v>
      </c>
      <c r="B8">
        <v>2015</v>
      </c>
      <c r="C8" t="s">
        <v>147</v>
      </c>
      <c r="D8" t="s">
        <v>148</v>
      </c>
      <c r="E8" t="s">
        <v>65</v>
      </c>
      <c r="F8">
        <v>168653</v>
      </c>
      <c r="G8" t="s">
        <v>72</v>
      </c>
      <c r="H8">
        <v>2</v>
      </c>
    </row>
    <row r="9" spans="1:8" x14ac:dyDescent="0.3">
      <c r="A9" t="s">
        <v>149</v>
      </c>
      <c r="B9">
        <v>2018</v>
      </c>
      <c r="C9" t="s">
        <v>147</v>
      </c>
      <c r="D9" t="s">
        <v>148</v>
      </c>
      <c r="E9" t="s">
        <v>65</v>
      </c>
      <c r="F9">
        <v>168653</v>
      </c>
      <c r="G9" t="s">
        <v>72</v>
      </c>
      <c r="H9">
        <v>1</v>
      </c>
    </row>
    <row r="10" spans="1:8" x14ac:dyDescent="0.3">
      <c r="A10" t="s">
        <v>149</v>
      </c>
      <c r="B10">
        <v>2019</v>
      </c>
      <c r="C10" t="s">
        <v>147</v>
      </c>
      <c r="D10" t="s">
        <v>148</v>
      </c>
      <c r="E10" t="s">
        <v>65</v>
      </c>
      <c r="F10">
        <v>168653</v>
      </c>
      <c r="G10" t="s">
        <v>72</v>
      </c>
      <c r="H10">
        <v>2</v>
      </c>
    </row>
    <row r="11" spans="1:8" x14ac:dyDescent="0.3">
      <c r="A11" t="s">
        <v>150</v>
      </c>
      <c r="B11">
        <v>2014</v>
      </c>
      <c r="C11" t="s">
        <v>147</v>
      </c>
      <c r="D11" t="s">
        <v>148</v>
      </c>
      <c r="E11" t="s">
        <v>65</v>
      </c>
      <c r="F11">
        <v>174165</v>
      </c>
      <c r="G11" t="s">
        <v>72</v>
      </c>
      <c r="H11">
        <v>2</v>
      </c>
    </row>
    <row r="12" spans="1:8" x14ac:dyDescent="0.3">
      <c r="A12" t="s">
        <v>150</v>
      </c>
      <c r="B12">
        <v>2015</v>
      </c>
      <c r="C12" t="s">
        <v>147</v>
      </c>
      <c r="D12" t="s">
        <v>148</v>
      </c>
      <c r="E12" t="s">
        <v>65</v>
      </c>
      <c r="F12">
        <v>174165</v>
      </c>
      <c r="G12" t="s">
        <v>72</v>
      </c>
      <c r="H12">
        <v>1</v>
      </c>
    </row>
    <row r="13" spans="1:8" x14ac:dyDescent="0.3">
      <c r="A13" t="s">
        <v>150</v>
      </c>
      <c r="B13">
        <v>2017</v>
      </c>
      <c r="C13" t="s">
        <v>147</v>
      </c>
      <c r="D13" t="s">
        <v>148</v>
      </c>
      <c r="E13" t="s">
        <v>65</v>
      </c>
      <c r="F13">
        <v>174165</v>
      </c>
      <c r="G13" t="s">
        <v>72</v>
      </c>
      <c r="H13">
        <v>1</v>
      </c>
    </row>
    <row r="14" spans="1:8" x14ac:dyDescent="0.3">
      <c r="A14" t="s">
        <v>150</v>
      </c>
      <c r="B14">
        <v>2018</v>
      </c>
      <c r="C14" t="s">
        <v>147</v>
      </c>
      <c r="D14" t="s">
        <v>148</v>
      </c>
      <c r="E14" t="s">
        <v>65</v>
      </c>
      <c r="F14">
        <v>174165</v>
      </c>
      <c r="G14" t="s">
        <v>72</v>
      </c>
      <c r="H14">
        <v>2</v>
      </c>
    </row>
    <row r="15" spans="1:8" x14ac:dyDescent="0.3">
      <c r="A15" t="s">
        <v>150</v>
      </c>
      <c r="B15">
        <v>2019</v>
      </c>
      <c r="C15" t="s">
        <v>147</v>
      </c>
      <c r="D15" t="s">
        <v>148</v>
      </c>
      <c r="E15" t="s">
        <v>65</v>
      </c>
      <c r="F15">
        <v>174165</v>
      </c>
      <c r="G15" t="s">
        <v>72</v>
      </c>
      <c r="H15">
        <v>2</v>
      </c>
    </row>
    <row r="16" spans="1:8" x14ac:dyDescent="0.3">
      <c r="A16" t="s">
        <v>151</v>
      </c>
      <c r="B16">
        <v>2016</v>
      </c>
      <c r="C16" t="s">
        <v>147</v>
      </c>
      <c r="D16" t="s">
        <v>148</v>
      </c>
      <c r="E16" t="s">
        <v>65</v>
      </c>
      <c r="F16">
        <v>206132</v>
      </c>
      <c r="G16" t="s">
        <v>72</v>
      </c>
      <c r="H16">
        <v>1</v>
      </c>
    </row>
    <row r="17" spans="1:8" x14ac:dyDescent="0.3">
      <c r="A17" t="s">
        <v>151</v>
      </c>
      <c r="B17">
        <v>2019</v>
      </c>
      <c r="C17" t="s">
        <v>147</v>
      </c>
      <c r="D17" t="s">
        <v>148</v>
      </c>
      <c r="E17" t="s">
        <v>65</v>
      </c>
      <c r="F17">
        <v>206132</v>
      </c>
      <c r="G17" t="s">
        <v>72</v>
      </c>
      <c r="H17">
        <v>2</v>
      </c>
    </row>
    <row r="18" spans="1:8" x14ac:dyDescent="0.3">
      <c r="A18" t="s">
        <v>151</v>
      </c>
      <c r="B18">
        <v>2021</v>
      </c>
      <c r="C18" t="s">
        <v>147</v>
      </c>
      <c r="D18" t="s">
        <v>148</v>
      </c>
      <c r="E18" t="s">
        <v>65</v>
      </c>
      <c r="F18">
        <v>206132</v>
      </c>
      <c r="G18" t="s">
        <v>72</v>
      </c>
      <c r="H18">
        <v>1</v>
      </c>
    </row>
    <row r="19" spans="1:8" x14ac:dyDescent="0.3">
      <c r="A19" t="s">
        <v>67</v>
      </c>
      <c r="B19">
        <v>2015</v>
      </c>
      <c r="C19" t="s">
        <v>147</v>
      </c>
      <c r="D19" t="s">
        <v>148</v>
      </c>
      <c r="E19" t="s">
        <v>65</v>
      </c>
      <c r="F19">
        <v>2400</v>
      </c>
      <c r="G19" t="s">
        <v>66</v>
      </c>
      <c r="H19">
        <v>8</v>
      </c>
    </row>
    <row r="20" spans="1:8" x14ac:dyDescent="0.3">
      <c r="A20" t="s">
        <v>67</v>
      </c>
      <c r="B20">
        <v>2016</v>
      </c>
      <c r="C20" t="s">
        <v>147</v>
      </c>
      <c r="D20" t="s">
        <v>148</v>
      </c>
      <c r="E20" t="s">
        <v>65</v>
      </c>
      <c r="F20">
        <v>2400</v>
      </c>
      <c r="G20" t="s">
        <v>66</v>
      </c>
      <c r="H20">
        <v>13</v>
      </c>
    </row>
    <row r="21" spans="1:8" x14ac:dyDescent="0.3">
      <c r="A21" t="s">
        <v>67</v>
      </c>
      <c r="B21">
        <v>2017</v>
      </c>
      <c r="C21" t="s">
        <v>147</v>
      </c>
      <c r="D21" t="s">
        <v>148</v>
      </c>
      <c r="E21" t="s">
        <v>65</v>
      </c>
      <c r="F21">
        <v>2400</v>
      </c>
      <c r="G21" t="s">
        <v>66</v>
      </c>
      <c r="H21">
        <v>7</v>
      </c>
    </row>
    <row r="22" spans="1:8" x14ac:dyDescent="0.3">
      <c r="A22" t="s">
        <v>67</v>
      </c>
      <c r="B22">
        <v>2018</v>
      </c>
      <c r="C22" t="s">
        <v>147</v>
      </c>
      <c r="D22" t="s">
        <v>148</v>
      </c>
      <c r="E22" t="s">
        <v>65</v>
      </c>
      <c r="F22">
        <v>2400</v>
      </c>
      <c r="G22" t="s">
        <v>66</v>
      </c>
      <c r="H22">
        <v>13</v>
      </c>
    </row>
    <row r="23" spans="1:8" x14ac:dyDescent="0.3">
      <c r="A23" t="s">
        <v>67</v>
      </c>
      <c r="B23">
        <v>2019</v>
      </c>
      <c r="C23" t="s">
        <v>147</v>
      </c>
      <c r="D23" t="s">
        <v>148</v>
      </c>
      <c r="E23" t="s">
        <v>65</v>
      </c>
      <c r="F23">
        <v>2400</v>
      </c>
      <c r="G23" t="s">
        <v>66</v>
      </c>
      <c r="H23">
        <v>16</v>
      </c>
    </row>
    <row r="24" spans="1:8" x14ac:dyDescent="0.3">
      <c r="A24" t="s">
        <v>67</v>
      </c>
      <c r="B24">
        <v>2020</v>
      </c>
      <c r="C24" t="s">
        <v>147</v>
      </c>
      <c r="D24" t="s">
        <v>148</v>
      </c>
      <c r="E24" t="s">
        <v>65</v>
      </c>
      <c r="F24">
        <v>2400</v>
      </c>
      <c r="G24" t="s">
        <v>66</v>
      </c>
      <c r="H24">
        <v>11</v>
      </c>
    </row>
    <row r="25" spans="1:8" x14ac:dyDescent="0.3">
      <c r="A25" t="s">
        <v>67</v>
      </c>
      <c r="B25">
        <v>2021</v>
      </c>
      <c r="C25" t="s">
        <v>147</v>
      </c>
      <c r="D25" t="s">
        <v>148</v>
      </c>
      <c r="E25" t="s">
        <v>65</v>
      </c>
      <c r="F25">
        <v>2400</v>
      </c>
      <c r="G25" t="s">
        <v>66</v>
      </c>
      <c r="H25">
        <v>15</v>
      </c>
    </row>
    <row r="26" spans="1:8" x14ac:dyDescent="0.3">
      <c r="A26" t="s">
        <v>68</v>
      </c>
      <c r="B26">
        <v>2014</v>
      </c>
      <c r="C26" t="s">
        <v>147</v>
      </c>
      <c r="D26" t="s">
        <v>148</v>
      </c>
      <c r="E26" t="s">
        <v>65</v>
      </c>
      <c r="F26">
        <v>3262</v>
      </c>
      <c r="G26" t="s">
        <v>66</v>
      </c>
      <c r="H26">
        <v>3</v>
      </c>
    </row>
    <row r="27" spans="1:8" x14ac:dyDescent="0.3">
      <c r="A27" t="s">
        <v>68</v>
      </c>
      <c r="B27">
        <v>2015</v>
      </c>
      <c r="C27" t="s">
        <v>147</v>
      </c>
      <c r="D27" t="s">
        <v>148</v>
      </c>
      <c r="E27" t="s">
        <v>65</v>
      </c>
      <c r="F27">
        <v>3262</v>
      </c>
      <c r="G27" t="s">
        <v>66</v>
      </c>
      <c r="H27">
        <v>3</v>
      </c>
    </row>
    <row r="28" spans="1:8" x14ac:dyDescent="0.3">
      <c r="A28" t="s">
        <v>68</v>
      </c>
      <c r="B28">
        <v>2016</v>
      </c>
      <c r="C28" t="s">
        <v>147</v>
      </c>
      <c r="D28" t="s">
        <v>148</v>
      </c>
      <c r="E28" t="s">
        <v>65</v>
      </c>
      <c r="F28">
        <v>3262</v>
      </c>
      <c r="G28" t="s">
        <v>66</v>
      </c>
      <c r="H28">
        <v>2</v>
      </c>
    </row>
    <row r="29" spans="1:8" x14ac:dyDescent="0.3">
      <c r="A29" t="s">
        <v>68</v>
      </c>
      <c r="B29">
        <v>2017</v>
      </c>
      <c r="C29" t="s">
        <v>147</v>
      </c>
      <c r="D29" t="s">
        <v>148</v>
      </c>
      <c r="E29" t="s">
        <v>65</v>
      </c>
      <c r="F29">
        <v>3262</v>
      </c>
      <c r="G29" t="s">
        <v>66</v>
      </c>
      <c r="H29">
        <v>6</v>
      </c>
    </row>
    <row r="30" spans="1:8" x14ac:dyDescent="0.3">
      <c r="A30" t="s">
        <v>68</v>
      </c>
      <c r="B30">
        <v>2020</v>
      </c>
      <c r="C30" t="s">
        <v>147</v>
      </c>
      <c r="D30" t="s">
        <v>148</v>
      </c>
      <c r="E30" t="s">
        <v>65</v>
      </c>
      <c r="F30">
        <v>3262</v>
      </c>
      <c r="G30" t="s">
        <v>66</v>
      </c>
      <c r="H30">
        <v>1</v>
      </c>
    </row>
    <row r="31" spans="1:8" x14ac:dyDescent="0.3">
      <c r="A31" t="s">
        <v>152</v>
      </c>
      <c r="B31">
        <v>2014</v>
      </c>
      <c r="C31" t="s">
        <v>147</v>
      </c>
      <c r="D31" t="s">
        <v>148</v>
      </c>
      <c r="E31" t="s">
        <v>65</v>
      </c>
      <c r="F31">
        <v>6750</v>
      </c>
      <c r="G31" t="s">
        <v>66</v>
      </c>
      <c r="H31">
        <v>1</v>
      </c>
    </row>
    <row r="32" spans="1:8" x14ac:dyDescent="0.3">
      <c r="A32" t="s">
        <v>152</v>
      </c>
      <c r="B32">
        <v>2015</v>
      </c>
      <c r="C32" t="s">
        <v>147</v>
      </c>
      <c r="D32" t="s">
        <v>148</v>
      </c>
      <c r="E32" t="s">
        <v>65</v>
      </c>
      <c r="F32">
        <v>6750</v>
      </c>
      <c r="G32" t="s">
        <v>66</v>
      </c>
      <c r="H32">
        <v>1</v>
      </c>
    </row>
    <row r="33" spans="1:8" x14ac:dyDescent="0.3">
      <c r="A33" t="s">
        <v>152</v>
      </c>
      <c r="B33">
        <v>2016</v>
      </c>
      <c r="C33" t="s">
        <v>147</v>
      </c>
      <c r="D33" t="s">
        <v>148</v>
      </c>
      <c r="E33" t="s">
        <v>65</v>
      </c>
      <c r="F33">
        <v>6750</v>
      </c>
      <c r="G33" t="s">
        <v>66</v>
      </c>
      <c r="H33">
        <v>11</v>
      </c>
    </row>
    <row r="34" spans="1:8" x14ac:dyDescent="0.3">
      <c r="A34" t="s">
        <v>152</v>
      </c>
      <c r="B34">
        <v>2017</v>
      </c>
      <c r="C34" t="s">
        <v>147</v>
      </c>
      <c r="D34" t="s">
        <v>148</v>
      </c>
      <c r="E34" t="s">
        <v>65</v>
      </c>
      <c r="F34">
        <v>6750</v>
      </c>
      <c r="G34" t="s">
        <v>66</v>
      </c>
      <c r="H34">
        <v>2</v>
      </c>
    </row>
    <row r="35" spans="1:8" x14ac:dyDescent="0.3">
      <c r="A35" t="s">
        <v>152</v>
      </c>
      <c r="B35">
        <v>2018</v>
      </c>
      <c r="C35" t="s">
        <v>147</v>
      </c>
      <c r="D35" t="s">
        <v>148</v>
      </c>
      <c r="E35" t="s">
        <v>65</v>
      </c>
      <c r="F35">
        <v>6750</v>
      </c>
      <c r="G35" t="s">
        <v>66</v>
      </c>
      <c r="H35">
        <v>1</v>
      </c>
    </row>
    <row r="36" spans="1:8" x14ac:dyDescent="0.3">
      <c r="A36" t="s">
        <v>152</v>
      </c>
      <c r="B36">
        <v>2020</v>
      </c>
      <c r="C36" t="s">
        <v>147</v>
      </c>
      <c r="D36" t="s">
        <v>148</v>
      </c>
      <c r="E36" t="s">
        <v>65</v>
      </c>
      <c r="F36">
        <v>6750</v>
      </c>
      <c r="G36" t="s">
        <v>66</v>
      </c>
      <c r="H36">
        <v>3</v>
      </c>
    </row>
    <row r="37" spans="1:8" x14ac:dyDescent="0.3">
      <c r="A37" t="s">
        <v>153</v>
      </c>
      <c r="B37">
        <v>2017</v>
      </c>
      <c r="C37" t="s">
        <v>147</v>
      </c>
      <c r="D37" t="s">
        <v>148</v>
      </c>
      <c r="E37" t="s">
        <v>65</v>
      </c>
      <c r="F37">
        <v>8000</v>
      </c>
      <c r="G37" t="s">
        <v>66</v>
      </c>
      <c r="H37">
        <v>1</v>
      </c>
    </row>
    <row r="38" spans="1:8" x14ac:dyDescent="0.3">
      <c r="A38" t="s">
        <v>154</v>
      </c>
      <c r="B38">
        <v>2020</v>
      </c>
      <c r="C38" t="s">
        <v>147</v>
      </c>
      <c r="D38" t="s">
        <v>148</v>
      </c>
      <c r="E38" t="s">
        <v>65</v>
      </c>
      <c r="F38">
        <v>9400</v>
      </c>
      <c r="G38" t="s">
        <v>66</v>
      </c>
      <c r="H38">
        <v>4</v>
      </c>
    </row>
    <row r="39" spans="1:8" x14ac:dyDescent="0.3">
      <c r="A39" t="s">
        <v>69</v>
      </c>
      <c r="B39">
        <v>2014</v>
      </c>
      <c r="C39" t="s">
        <v>147</v>
      </c>
      <c r="D39" t="s">
        <v>148</v>
      </c>
      <c r="E39" t="s">
        <v>65</v>
      </c>
      <c r="F39">
        <v>10700</v>
      </c>
      <c r="G39" t="s">
        <v>66</v>
      </c>
      <c r="H39">
        <v>2</v>
      </c>
    </row>
    <row r="40" spans="1:8" x14ac:dyDescent="0.3">
      <c r="A40" t="s">
        <v>69</v>
      </c>
      <c r="B40">
        <v>2015</v>
      </c>
      <c r="C40" t="s">
        <v>147</v>
      </c>
      <c r="D40" t="s">
        <v>148</v>
      </c>
      <c r="E40" t="s">
        <v>65</v>
      </c>
      <c r="F40">
        <v>10700</v>
      </c>
      <c r="G40" t="s">
        <v>66</v>
      </c>
      <c r="H40">
        <v>5</v>
      </c>
    </row>
    <row r="41" spans="1:8" x14ac:dyDescent="0.3">
      <c r="A41" t="s">
        <v>69</v>
      </c>
      <c r="B41">
        <v>2016</v>
      </c>
      <c r="C41" t="s">
        <v>147</v>
      </c>
      <c r="D41" t="s">
        <v>148</v>
      </c>
      <c r="E41" t="s">
        <v>65</v>
      </c>
      <c r="F41">
        <v>10700</v>
      </c>
      <c r="G41" t="s">
        <v>66</v>
      </c>
      <c r="H41">
        <v>9</v>
      </c>
    </row>
    <row r="42" spans="1:8" x14ac:dyDescent="0.3">
      <c r="A42" t="s">
        <v>69</v>
      </c>
      <c r="B42">
        <v>2017</v>
      </c>
      <c r="C42" t="s">
        <v>147</v>
      </c>
      <c r="D42" t="s">
        <v>148</v>
      </c>
      <c r="E42" t="s">
        <v>65</v>
      </c>
      <c r="F42">
        <v>10700</v>
      </c>
      <c r="G42" t="s">
        <v>66</v>
      </c>
      <c r="H42">
        <v>3</v>
      </c>
    </row>
    <row r="43" spans="1:8" x14ac:dyDescent="0.3">
      <c r="A43" t="s">
        <v>69</v>
      </c>
      <c r="B43">
        <v>2018</v>
      </c>
      <c r="C43" t="s">
        <v>147</v>
      </c>
      <c r="D43" t="s">
        <v>148</v>
      </c>
      <c r="E43" t="s">
        <v>65</v>
      </c>
      <c r="F43">
        <v>10700</v>
      </c>
      <c r="G43" t="s">
        <v>66</v>
      </c>
      <c r="H43">
        <v>14</v>
      </c>
    </row>
    <row r="44" spans="1:8" x14ac:dyDescent="0.3">
      <c r="A44" t="s">
        <v>69</v>
      </c>
      <c r="B44">
        <v>2019</v>
      </c>
      <c r="C44" t="s">
        <v>147</v>
      </c>
      <c r="D44" t="s">
        <v>148</v>
      </c>
      <c r="E44" t="s">
        <v>65</v>
      </c>
      <c r="F44">
        <v>10700</v>
      </c>
      <c r="G44" t="s">
        <v>66</v>
      </c>
      <c r="H44">
        <v>10</v>
      </c>
    </row>
    <row r="45" spans="1:8" x14ac:dyDescent="0.3">
      <c r="A45" t="s">
        <v>69</v>
      </c>
      <c r="B45">
        <v>2020</v>
      </c>
      <c r="C45" t="s">
        <v>147</v>
      </c>
      <c r="D45" t="s">
        <v>148</v>
      </c>
      <c r="E45" t="s">
        <v>65</v>
      </c>
      <c r="F45">
        <v>10700</v>
      </c>
      <c r="G45" t="s">
        <v>66</v>
      </c>
      <c r="H45">
        <v>22</v>
      </c>
    </row>
    <row r="46" spans="1:8" x14ac:dyDescent="0.3">
      <c r="A46" t="s">
        <v>69</v>
      </c>
      <c r="B46">
        <v>2021</v>
      </c>
      <c r="C46" t="s">
        <v>147</v>
      </c>
      <c r="D46" t="s">
        <v>148</v>
      </c>
      <c r="E46" t="s">
        <v>65</v>
      </c>
      <c r="F46">
        <v>10700</v>
      </c>
      <c r="G46" t="s">
        <v>66</v>
      </c>
      <c r="H46">
        <v>4</v>
      </c>
    </row>
    <row r="47" spans="1:8" x14ac:dyDescent="0.3">
      <c r="A47" t="s">
        <v>155</v>
      </c>
      <c r="B47">
        <v>2014</v>
      </c>
      <c r="C47" t="s">
        <v>147</v>
      </c>
      <c r="D47" t="s">
        <v>148</v>
      </c>
      <c r="E47" t="s">
        <v>65</v>
      </c>
      <c r="F47">
        <v>11750</v>
      </c>
      <c r="G47" t="s">
        <v>66</v>
      </c>
      <c r="H47">
        <v>1</v>
      </c>
    </row>
    <row r="48" spans="1:8" x14ac:dyDescent="0.3">
      <c r="A48" t="s">
        <v>155</v>
      </c>
      <c r="B48">
        <v>2015</v>
      </c>
      <c r="C48" t="s">
        <v>147</v>
      </c>
      <c r="D48" t="s">
        <v>148</v>
      </c>
      <c r="E48" t="s">
        <v>65</v>
      </c>
      <c r="F48">
        <v>11750</v>
      </c>
      <c r="G48" t="s">
        <v>66</v>
      </c>
      <c r="H48">
        <v>1</v>
      </c>
    </row>
    <row r="49" spans="1:8" x14ac:dyDescent="0.3">
      <c r="A49" t="s">
        <v>155</v>
      </c>
      <c r="B49">
        <v>2016</v>
      </c>
      <c r="C49" t="s">
        <v>147</v>
      </c>
      <c r="D49" t="s">
        <v>148</v>
      </c>
      <c r="E49" t="s">
        <v>65</v>
      </c>
      <c r="F49">
        <v>11750</v>
      </c>
      <c r="G49" t="s">
        <v>66</v>
      </c>
      <c r="H49">
        <v>2</v>
      </c>
    </row>
    <row r="50" spans="1:8" x14ac:dyDescent="0.3">
      <c r="A50" t="s">
        <v>155</v>
      </c>
      <c r="B50">
        <v>2017</v>
      </c>
      <c r="C50" t="s">
        <v>147</v>
      </c>
      <c r="D50" t="s">
        <v>148</v>
      </c>
      <c r="E50" t="s">
        <v>65</v>
      </c>
      <c r="F50">
        <v>11750</v>
      </c>
      <c r="G50" t="s">
        <v>66</v>
      </c>
      <c r="H50">
        <v>3</v>
      </c>
    </row>
    <row r="51" spans="1:8" x14ac:dyDescent="0.3">
      <c r="A51" t="s">
        <v>155</v>
      </c>
      <c r="B51">
        <v>2018</v>
      </c>
      <c r="C51" t="s">
        <v>147</v>
      </c>
      <c r="D51" t="s">
        <v>148</v>
      </c>
      <c r="E51" t="s">
        <v>65</v>
      </c>
      <c r="F51">
        <v>11750</v>
      </c>
      <c r="G51" t="s">
        <v>66</v>
      </c>
      <c r="H51">
        <v>2</v>
      </c>
    </row>
    <row r="52" spans="1:8" x14ac:dyDescent="0.3">
      <c r="A52" t="s">
        <v>155</v>
      </c>
      <c r="B52">
        <v>2019</v>
      </c>
      <c r="C52" t="s">
        <v>147</v>
      </c>
      <c r="D52" t="s">
        <v>148</v>
      </c>
      <c r="E52" t="s">
        <v>65</v>
      </c>
      <c r="F52">
        <v>11750</v>
      </c>
      <c r="G52" t="s">
        <v>66</v>
      </c>
      <c r="H52">
        <v>1</v>
      </c>
    </row>
    <row r="53" spans="1:8" x14ac:dyDescent="0.3">
      <c r="A53" t="s">
        <v>155</v>
      </c>
      <c r="B53">
        <v>2020</v>
      </c>
      <c r="C53" t="s">
        <v>147</v>
      </c>
      <c r="D53" t="s">
        <v>148</v>
      </c>
      <c r="E53" t="s">
        <v>65</v>
      </c>
      <c r="F53">
        <v>11750</v>
      </c>
      <c r="G53" t="s">
        <v>66</v>
      </c>
      <c r="H53">
        <v>1</v>
      </c>
    </row>
    <row r="54" spans="1:8" x14ac:dyDescent="0.3">
      <c r="A54" t="s">
        <v>155</v>
      </c>
      <c r="B54">
        <v>2021</v>
      </c>
      <c r="C54" t="s">
        <v>147</v>
      </c>
      <c r="D54" t="s">
        <v>148</v>
      </c>
      <c r="E54" t="s">
        <v>65</v>
      </c>
      <c r="F54">
        <v>11750</v>
      </c>
      <c r="G54" t="s">
        <v>66</v>
      </c>
      <c r="H54">
        <v>2</v>
      </c>
    </row>
    <row r="55" spans="1:8" x14ac:dyDescent="0.3">
      <c r="A55" t="s">
        <v>70</v>
      </c>
      <c r="B55">
        <v>2014</v>
      </c>
      <c r="C55" t="s">
        <v>147</v>
      </c>
      <c r="D55" t="s">
        <v>148</v>
      </c>
      <c r="E55" t="s">
        <v>65</v>
      </c>
      <c r="F55">
        <v>6850</v>
      </c>
      <c r="G55" t="s">
        <v>66</v>
      </c>
      <c r="H55">
        <v>7</v>
      </c>
    </row>
    <row r="56" spans="1:8" x14ac:dyDescent="0.3">
      <c r="A56" t="s">
        <v>70</v>
      </c>
      <c r="B56">
        <v>2015</v>
      </c>
      <c r="C56" t="s">
        <v>147</v>
      </c>
      <c r="D56" t="s">
        <v>148</v>
      </c>
      <c r="E56" t="s">
        <v>65</v>
      </c>
      <c r="F56">
        <v>6850</v>
      </c>
      <c r="G56" t="s">
        <v>66</v>
      </c>
      <c r="H56">
        <v>5</v>
      </c>
    </row>
    <row r="57" spans="1:8" x14ac:dyDescent="0.3">
      <c r="A57" t="s">
        <v>70</v>
      </c>
      <c r="B57">
        <v>2016</v>
      </c>
      <c r="C57" t="s">
        <v>147</v>
      </c>
      <c r="D57" t="s">
        <v>148</v>
      </c>
      <c r="E57" t="s">
        <v>65</v>
      </c>
      <c r="F57">
        <v>6850</v>
      </c>
      <c r="G57" t="s">
        <v>66</v>
      </c>
      <c r="H57">
        <v>5</v>
      </c>
    </row>
    <row r="58" spans="1:8" x14ac:dyDescent="0.3">
      <c r="A58" t="s">
        <v>70</v>
      </c>
      <c r="B58">
        <v>2017</v>
      </c>
      <c r="C58" t="s">
        <v>147</v>
      </c>
      <c r="D58" t="s">
        <v>148</v>
      </c>
      <c r="E58" t="s">
        <v>65</v>
      </c>
      <c r="F58">
        <v>6850</v>
      </c>
      <c r="G58" t="s">
        <v>66</v>
      </c>
      <c r="H58">
        <v>4</v>
      </c>
    </row>
    <row r="59" spans="1:8" x14ac:dyDescent="0.3">
      <c r="A59" t="s">
        <v>70</v>
      </c>
      <c r="B59">
        <v>2018</v>
      </c>
      <c r="C59" t="s">
        <v>147</v>
      </c>
      <c r="D59" t="s">
        <v>148</v>
      </c>
      <c r="E59" t="s">
        <v>65</v>
      </c>
      <c r="F59">
        <v>6850</v>
      </c>
      <c r="G59" t="s">
        <v>66</v>
      </c>
      <c r="H59">
        <v>2</v>
      </c>
    </row>
    <row r="60" spans="1:8" x14ac:dyDescent="0.3">
      <c r="A60" t="s">
        <v>70</v>
      </c>
      <c r="B60">
        <v>2019</v>
      </c>
      <c r="C60" t="s">
        <v>147</v>
      </c>
      <c r="D60" t="s">
        <v>148</v>
      </c>
      <c r="E60" t="s">
        <v>65</v>
      </c>
      <c r="F60">
        <v>6850</v>
      </c>
      <c r="G60" t="s">
        <v>66</v>
      </c>
      <c r="H60">
        <v>3</v>
      </c>
    </row>
    <row r="61" spans="1:8" x14ac:dyDescent="0.3">
      <c r="A61" t="s">
        <v>70</v>
      </c>
      <c r="B61">
        <v>2020</v>
      </c>
      <c r="C61" t="s">
        <v>147</v>
      </c>
      <c r="D61" t="s">
        <v>148</v>
      </c>
      <c r="E61" t="s">
        <v>65</v>
      </c>
      <c r="F61">
        <v>6850</v>
      </c>
      <c r="G61" t="s">
        <v>66</v>
      </c>
      <c r="H61">
        <v>11</v>
      </c>
    </row>
    <row r="62" spans="1:8" x14ac:dyDescent="0.3">
      <c r="A62" t="s">
        <v>70</v>
      </c>
      <c r="B62">
        <v>2021</v>
      </c>
      <c r="C62" t="s">
        <v>147</v>
      </c>
      <c r="D62" t="s">
        <v>148</v>
      </c>
      <c r="E62" t="s">
        <v>65</v>
      </c>
      <c r="F62">
        <v>6850</v>
      </c>
      <c r="G62" t="s">
        <v>66</v>
      </c>
      <c r="H62">
        <v>7</v>
      </c>
    </row>
    <row r="63" spans="1:8" x14ac:dyDescent="0.3">
      <c r="A63" t="s">
        <v>156</v>
      </c>
      <c r="B63">
        <v>2015</v>
      </c>
      <c r="C63" t="s">
        <v>147</v>
      </c>
      <c r="D63" t="s">
        <v>148</v>
      </c>
      <c r="E63" t="s">
        <v>65</v>
      </c>
      <c r="F63">
        <v>35650</v>
      </c>
      <c r="G63" t="s">
        <v>72</v>
      </c>
      <c r="H63">
        <v>2</v>
      </c>
    </row>
    <row r="64" spans="1:8" x14ac:dyDescent="0.3">
      <c r="A64" t="s">
        <v>156</v>
      </c>
      <c r="B64">
        <v>2016</v>
      </c>
      <c r="C64" t="s">
        <v>147</v>
      </c>
      <c r="D64" t="s">
        <v>148</v>
      </c>
      <c r="E64" t="s">
        <v>65</v>
      </c>
      <c r="F64">
        <v>35650</v>
      </c>
      <c r="G64" t="s">
        <v>72</v>
      </c>
      <c r="H64">
        <v>3</v>
      </c>
    </row>
    <row r="65" spans="1:8" x14ac:dyDescent="0.3">
      <c r="A65" t="s">
        <v>156</v>
      </c>
      <c r="B65">
        <v>2017</v>
      </c>
      <c r="C65" t="s">
        <v>147</v>
      </c>
      <c r="D65" t="s">
        <v>148</v>
      </c>
      <c r="E65" t="s">
        <v>65</v>
      </c>
      <c r="F65">
        <v>35650</v>
      </c>
      <c r="G65" t="s">
        <v>72</v>
      </c>
      <c r="H65">
        <v>3</v>
      </c>
    </row>
    <row r="66" spans="1:8" x14ac:dyDescent="0.3">
      <c r="A66" t="s">
        <v>156</v>
      </c>
      <c r="B66">
        <v>2018</v>
      </c>
      <c r="C66" t="s">
        <v>147</v>
      </c>
      <c r="D66" t="s">
        <v>148</v>
      </c>
      <c r="E66" t="s">
        <v>65</v>
      </c>
      <c r="F66">
        <v>35650</v>
      </c>
      <c r="G66" t="s">
        <v>72</v>
      </c>
      <c r="H66">
        <v>5</v>
      </c>
    </row>
    <row r="67" spans="1:8" x14ac:dyDescent="0.3">
      <c r="A67" t="s">
        <v>156</v>
      </c>
      <c r="B67">
        <v>2019</v>
      </c>
      <c r="C67" t="s">
        <v>147</v>
      </c>
      <c r="D67" t="s">
        <v>148</v>
      </c>
      <c r="E67" t="s">
        <v>65</v>
      </c>
      <c r="F67">
        <v>35650</v>
      </c>
      <c r="G67" t="s">
        <v>72</v>
      </c>
      <c r="H67">
        <v>5</v>
      </c>
    </row>
    <row r="68" spans="1:8" x14ac:dyDescent="0.3">
      <c r="A68" t="s">
        <v>156</v>
      </c>
      <c r="B68">
        <v>2020</v>
      </c>
      <c r="C68" t="s">
        <v>147</v>
      </c>
      <c r="D68" t="s">
        <v>148</v>
      </c>
      <c r="E68" t="s">
        <v>65</v>
      </c>
      <c r="F68">
        <v>35650</v>
      </c>
      <c r="G68" t="s">
        <v>72</v>
      </c>
      <c r="H68">
        <v>6</v>
      </c>
    </row>
    <row r="69" spans="1:8" x14ac:dyDescent="0.3">
      <c r="A69" t="s">
        <v>156</v>
      </c>
      <c r="B69">
        <v>2021</v>
      </c>
      <c r="C69" t="s">
        <v>147</v>
      </c>
      <c r="D69" t="s">
        <v>148</v>
      </c>
      <c r="E69" t="s">
        <v>65</v>
      </c>
      <c r="F69">
        <v>35650</v>
      </c>
      <c r="G69" t="s">
        <v>72</v>
      </c>
      <c r="H69">
        <v>1</v>
      </c>
    </row>
    <row r="70" spans="1:8" x14ac:dyDescent="0.3">
      <c r="A70" t="s">
        <v>157</v>
      </c>
      <c r="B70">
        <v>2020</v>
      </c>
      <c r="C70" t="s">
        <v>147</v>
      </c>
      <c r="D70" t="s">
        <v>148</v>
      </c>
      <c r="E70" t="s">
        <v>65</v>
      </c>
      <c r="F70">
        <v>10480</v>
      </c>
      <c r="G70" t="s">
        <v>66</v>
      </c>
      <c r="H70">
        <v>1</v>
      </c>
    </row>
    <row r="71" spans="1:8" x14ac:dyDescent="0.3">
      <c r="A71" t="s">
        <v>158</v>
      </c>
      <c r="B71">
        <v>2014</v>
      </c>
      <c r="C71" t="s">
        <v>147</v>
      </c>
      <c r="D71" t="s">
        <v>148</v>
      </c>
      <c r="E71" t="s">
        <v>65</v>
      </c>
      <c r="F71">
        <v>16000</v>
      </c>
      <c r="G71" t="s">
        <v>66</v>
      </c>
      <c r="H71">
        <v>1</v>
      </c>
    </row>
    <row r="72" spans="1:8" x14ac:dyDescent="0.3">
      <c r="A72" t="s">
        <v>158</v>
      </c>
      <c r="B72">
        <v>2015</v>
      </c>
      <c r="C72" t="s">
        <v>147</v>
      </c>
      <c r="D72" t="s">
        <v>148</v>
      </c>
      <c r="E72" t="s">
        <v>65</v>
      </c>
      <c r="F72">
        <v>16000</v>
      </c>
      <c r="G72" t="s">
        <v>66</v>
      </c>
      <c r="H72">
        <v>2</v>
      </c>
    </row>
    <row r="73" spans="1:8" x14ac:dyDescent="0.3">
      <c r="A73" t="s">
        <v>158</v>
      </c>
      <c r="B73">
        <v>2017</v>
      </c>
      <c r="C73" t="s">
        <v>147</v>
      </c>
      <c r="D73" t="s">
        <v>148</v>
      </c>
      <c r="E73" t="s">
        <v>65</v>
      </c>
      <c r="F73">
        <v>16000</v>
      </c>
      <c r="G73" t="s">
        <v>66</v>
      </c>
      <c r="H73">
        <v>1</v>
      </c>
    </row>
    <row r="74" spans="1:8" x14ac:dyDescent="0.3">
      <c r="A74" t="s">
        <v>158</v>
      </c>
      <c r="B74">
        <v>2020</v>
      </c>
      <c r="C74" t="s">
        <v>147</v>
      </c>
      <c r="D74" t="s">
        <v>148</v>
      </c>
      <c r="E74" t="s">
        <v>65</v>
      </c>
      <c r="F74">
        <v>16000</v>
      </c>
      <c r="G74" t="s">
        <v>66</v>
      </c>
      <c r="H74">
        <v>1</v>
      </c>
    </row>
    <row r="75" spans="1:8" x14ac:dyDescent="0.3">
      <c r="A75" t="s">
        <v>159</v>
      </c>
      <c r="B75">
        <v>2014</v>
      </c>
      <c r="C75" t="s">
        <v>147</v>
      </c>
      <c r="D75" t="s">
        <v>148</v>
      </c>
      <c r="E75" t="s">
        <v>65</v>
      </c>
      <c r="F75">
        <v>17120</v>
      </c>
      <c r="G75" t="s">
        <v>72</v>
      </c>
      <c r="H75">
        <v>5</v>
      </c>
    </row>
    <row r="76" spans="1:8" x14ac:dyDescent="0.3">
      <c r="A76" t="s">
        <v>159</v>
      </c>
      <c r="B76">
        <v>2015</v>
      </c>
      <c r="C76" t="s">
        <v>147</v>
      </c>
      <c r="D76" t="s">
        <v>148</v>
      </c>
      <c r="E76" t="s">
        <v>65</v>
      </c>
      <c r="F76">
        <v>17120</v>
      </c>
      <c r="G76" t="s">
        <v>72</v>
      </c>
      <c r="H76">
        <v>23</v>
      </c>
    </row>
    <row r="77" spans="1:8" x14ac:dyDescent="0.3">
      <c r="A77" t="s">
        <v>159</v>
      </c>
      <c r="B77">
        <v>2016</v>
      </c>
      <c r="C77" t="s">
        <v>147</v>
      </c>
      <c r="D77" t="s">
        <v>148</v>
      </c>
      <c r="E77" t="s">
        <v>65</v>
      </c>
      <c r="F77">
        <v>17120</v>
      </c>
      <c r="G77" t="s">
        <v>72</v>
      </c>
      <c r="H77">
        <v>169</v>
      </c>
    </row>
    <row r="78" spans="1:8" x14ac:dyDescent="0.3">
      <c r="A78" t="s">
        <v>159</v>
      </c>
      <c r="B78">
        <v>2017</v>
      </c>
      <c r="C78" t="s">
        <v>147</v>
      </c>
      <c r="D78" t="s">
        <v>148</v>
      </c>
      <c r="E78" t="s">
        <v>65</v>
      </c>
      <c r="F78">
        <v>17120</v>
      </c>
      <c r="G78" t="s">
        <v>72</v>
      </c>
      <c r="H78">
        <v>696</v>
      </c>
    </row>
    <row r="79" spans="1:8" x14ac:dyDescent="0.3">
      <c r="A79" t="s">
        <v>159</v>
      </c>
      <c r="B79">
        <v>2018</v>
      </c>
      <c r="C79" t="s">
        <v>147</v>
      </c>
      <c r="D79" t="s">
        <v>148</v>
      </c>
      <c r="E79" t="s">
        <v>65</v>
      </c>
      <c r="F79">
        <v>17120</v>
      </c>
      <c r="G79" t="s">
        <v>72</v>
      </c>
      <c r="H79">
        <v>18</v>
      </c>
    </row>
    <row r="80" spans="1:8" x14ac:dyDescent="0.3">
      <c r="A80" t="s">
        <v>159</v>
      </c>
      <c r="B80">
        <v>2019</v>
      </c>
      <c r="C80" t="s">
        <v>147</v>
      </c>
      <c r="D80" t="s">
        <v>148</v>
      </c>
      <c r="E80" t="s">
        <v>65</v>
      </c>
      <c r="F80">
        <v>17120</v>
      </c>
      <c r="G80" t="s">
        <v>72</v>
      </c>
      <c r="H80">
        <v>4</v>
      </c>
    </row>
    <row r="81" spans="1:8" x14ac:dyDescent="0.3">
      <c r="A81" t="s">
        <v>159</v>
      </c>
      <c r="B81">
        <v>2020</v>
      </c>
      <c r="C81" t="s">
        <v>147</v>
      </c>
      <c r="D81" t="s">
        <v>148</v>
      </c>
      <c r="E81" t="s">
        <v>65</v>
      </c>
      <c r="F81">
        <v>17120</v>
      </c>
      <c r="G81" t="s">
        <v>72</v>
      </c>
      <c r="H81">
        <v>7</v>
      </c>
    </row>
    <row r="82" spans="1:8" x14ac:dyDescent="0.3">
      <c r="A82" t="s">
        <v>159</v>
      </c>
      <c r="B82">
        <v>2021</v>
      </c>
      <c r="C82" t="s">
        <v>147</v>
      </c>
      <c r="D82" t="s">
        <v>148</v>
      </c>
      <c r="E82" t="s">
        <v>65</v>
      </c>
      <c r="F82">
        <v>17120</v>
      </c>
      <c r="G82" t="s">
        <v>72</v>
      </c>
      <c r="H82">
        <v>2</v>
      </c>
    </row>
    <row r="83" spans="1:8" x14ac:dyDescent="0.3">
      <c r="A83" t="s">
        <v>160</v>
      </c>
      <c r="B83">
        <v>2014</v>
      </c>
      <c r="C83" t="s">
        <v>147</v>
      </c>
      <c r="D83" t="s">
        <v>148</v>
      </c>
      <c r="E83" t="s">
        <v>65</v>
      </c>
      <c r="F83">
        <v>16500</v>
      </c>
      <c r="G83" t="s">
        <v>72</v>
      </c>
      <c r="H83">
        <v>14</v>
      </c>
    </row>
    <row r="84" spans="1:8" x14ac:dyDescent="0.3">
      <c r="A84" t="s">
        <v>160</v>
      </c>
      <c r="B84">
        <v>2015</v>
      </c>
      <c r="C84" t="s">
        <v>147</v>
      </c>
      <c r="D84" t="s">
        <v>148</v>
      </c>
      <c r="E84" t="s">
        <v>65</v>
      </c>
      <c r="F84">
        <v>16500</v>
      </c>
      <c r="G84" t="s">
        <v>72</v>
      </c>
      <c r="H84">
        <v>41</v>
      </c>
    </row>
    <row r="85" spans="1:8" x14ac:dyDescent="0.3">
      <c r="A85" t="s">
        <v>160</v>
      </c>
      <c r="B85">
        <v>2016</v>
      </c>
      <c r="C85" t="s">
        <v>147</v>
      </c>
      <c r="D85" t="s">
        <v>148</v>
      </c>
      <c r="E85" t="s">
        <v>65</v>
      </c>
      <c r="F85">
        <v>16500</v>
      </c>
      <c r="G85" t="s">
        <v>72</v>
      </c>
      <c r="H85">
        <v>35</v>
      </c>
    </row>
    <row r="86" spans="1:8" x14ac:dyDescent="0.3">
      <c r="A86" t="s">
        <v>160</v>
      </c>
      <c r="B86">
        <v>2017</v>
      </c>
      <c r="C86" t="s">
        <v>147</v>
      </c>
      <c r="D86" t="s">
        <v>148</v>
      </c>
      <c r="E86" t="s">
        <v>65</v>
      </c>
      <c r="F86">
        <v>16500</v>
      </c>
      <c r="G86" t="s">
        <v>72</v>
      </c>
      <c r="H86">
        <v>38</v>
      </c>
    </row>
    <row r="87" spans="1:8" x14ac:dyDescent="0.3">
      <c r="A87" t="s">
        <v>160</v>
      </c>
      <c r="B87">
        <v>2018</v>
      </c>
      <c r="C87" t="s">
        <v>147</v>
      </c>
      <c r="D87" t="s">
        <v>148</v>
      </c>
      <c r="E87" t="s">
        <v>65</v>
      </c>
      <c r="F87">
        <v>16500</v>
      </c>
      <c r="G87" t="s">
        <v>72</v>
      </c>
      <c r="H87">
        <v>36</v>
      </c>
    </row>
    <row r="88" spans="1:8" x14ac:dyDescent="0.3">
      <c r="A88" t="s">
        <v>160</v>
      </c>
      <c r="B88">
        <v>2019</v>
      </c>
      <c r="C88" t="s">
        <v>147</v>
      </c>
      <c r="D88" t="s">
        <v>148</v>
      </c>
      <c r="E88" t="s">
        <v>65</v>
      </c>
      <c r="F88">
        <v>16500</v>
      </c>
      <c r="G88" t="s">
        <v>72</v>
      </c>
      <c r="H88">
        <v>36</v>
      </c>
    </row>
    <row r="89" spans="1:8" x14ac:dyDescent="0.3">
      <c r="A89" t="s">
        <v>160</v>
      </c>
      <c r="B89">
        <v>2020</v>
      </c>
      <c r="C89" t="s">
        <v>147</v>
      </c>
      <c r="D89" t="s">
        <v>148</v>
      </c>
      <c r="E89" t="s">
        <v>65</v>
      </c>
      <c r="F89">
        <v>16500</v>
      </c>
      <c r="G89" t="s">
        <v>72</v>
      </c>
      <c r="H89">
        <v>28</v>
      </c>
    </row>
    <row r="90" spans="1:8" x14ac:dyDescent="0.3">
      <c r="A90" t="s">
        <v>160</v>
      </c>
      <c r="B90">
        <v>2021</v>
      </c>
      <c r="C90" t="s">
        <v>147</v>
      </c>
      <c r="D90" t="s">
        <v>148</v>
      </c>
      <c r="E90" t="s">
        <v>65</v>
      </c>
      <c r="F90">
        <v>16500</v>
      </c>
      <c r="G90" t="s">
        <v>72</v>
      </c>
      <c r="H90">
        <v>39</v>
      </c>
    </row>
    <row r="91" spans="1:8" x14ac:dyDescent="0.3">
      <c r="A91" t="s">
        <v>161</v>
      </c>
      <c r="B91">
        <v>2021</v>
      </c>
      <c r="C91" t="s">
        <v>147</v>
      </c>
      <c r="D91" t="s">
        <v>148</v>
      </c>
      <c r="E91" t="s">
        <v>65</v>
      </c>
      <c r="F91">
        <v>181200</v>
      </c>
      <c r="G91" t="s">
        <v>72</v>
      </c>
      <c r="H91">
        <v>1</v>
      </c>
    </row>
    <row r="92" spans="1:8" x14ac:dyDescent="0.3">
      <c r="A92" t="s">
        <v>162</v>
      </c>
      <c r="B92">
        <v>2018</v>
      </c>
      <c r="C92" t="s">
        <v>147</v>
      </c>
      <c r="D92" t="s">
        <v>148</v>
      </c>
      <c r="E92" t="s">
        <v>65</v>
      </c>
      <c r="F92">
        <v>93000</v>
      </c>
      <c r="G92" t="s">
        <v>72</v>
      </c>
      <c r="H92">
        <v>3</v>
      </c>
    </row>
    <row r="93" spans="1:8" x14ac:dyDescent="0.3">
      <c r="A93" t="s">
        <v>162</v>
      </c>
      <c r="B93">
        <v>2020</v>
      </c>
      <c r="C93" t="s">
        <v>147</v>
      </c>
      <c r="D93" t="s">
        <v>148</v>
      </c>
      <c r="E93" t="s">
        <v>65</v>
      </c>
      <c r="F93">
        <v>93000</v>
      </c>
      <c r="G93" t="s">
        <v>72</v>
      </c>
      <c r="H93">
        <v>6</v>
      </c>
    </row>
    <row r="94" spans="1:8" x14ac:dyDescent="0.3">
      <c r="A94" t="s">
        <v>163</v>
      </c>
      <c r="B94">
        <v>2015</v>
      </c>
      <c r="C94" t="s">
        <v>147</v>
      </c>
      <c r="D94" t="s">
        <v>148</v>
      </c>
      <c r="E94" t="s">
        <v>65</v>
      </c>
      <c r="F94">
        <v>209500</v>
      </c>
      <c r="G94" t="s">
        <v>72</v>
      </c>
      <c r="H94">
        <v>1</v>
      </c>
    </row>
    <row r="95" spans="1:8" x14ac:dyDescent="0.3">
      <c r="A95" t="s">
        <v>163</v>
      </c>
      <c r="B95">
        <v>2016</v>
      </c>
      <c r="C95" t="s">
        <v>147</v>
      </c>
      <c r="D95" t="s">
        <v>148</v>
      </c>
      <c r="E95" t="s">
        <v>65</v>
      </c>
      <c r="F95">
        <v>209500</v>
      </c>
      <c r="G95" t="s">
        <v>72</v>
      </c>
      <c r="H95">
        <v>2</v>
      </c>
    </row>
    <row r="96" spans="1:8" x14ac:dyDescent="0.3">
      <c r="A96" t="s">
        <v>163</v>
      </c>
      <c r="B96">
        <v>2017</v>
      </c>
      <c r="C96" t="s">
        <v>147</v>
      </c>
      <c r="D96" t="s">
        <v>148</v>
      </c>
      <c r="E96" t="s">
        <v>65</v>
      </c>
      <c r="F96">
        <v>209500</v>
      </c>
      <c r="G96" t="s">
        <v>72</v>
      </c>
      <c r="H96">
        <v>1</v>
      </c>
    </row>
    <row r="97" spans="1:8" x14ac:dyDescent="0.3">
      <c r="A97" t="s">
        <v>163</v>
      </c>
      <c r="B97">
        <v>2018</v>
      </c>
      <c r="C97" t="s">
        <v>147</v>
      </c>
      <c r="D97" t="s">
        <v>148</v>
      </c>
      <c r="E97" t="s">
        <v>65</v>
      </c>
      <c r="F97">
        <v>209500</v>
      </c>
      <c r="G97" t="s">
        <v>72</v>
      </c>
      <c r="H97">
        <v>2</v>
      </c>
    </row>
    <row r="98" spans="1:8" x14ac:dyDescent="0.3">
      <c r="A98" t="s">
        <v>163</v>
      </c>
      <c r="B98">
        <v>2019</v>
      </c>
      <c r="C98" t="s">
        <v>147</v>
      </c>
      <c r="D98" t="s">
        <v>148</v>
      </c>
      <c r="E98" t="s">
        <v>65</v>
      </c>
      <c r="F98">
        <v>209500</v>
      </c>
      <c r="G98" t="s">
        <v>72</v>
      </c>
      <c r="H98">
        <v>1</v>
      </c>
    </row>
    <row r="99" spans="1:8" x14ac:dyDescent="0.3">
      <c r="A99" t="s">
        <v>163</v>
      </c>
      <c r="B99">
        <v>2020</v>
      </c>
      <c r="C99" t="s">
        <v>147</v>
      </c>
      <c r="D99" t="s">
        <v>148</v>
      </c>
      <c r="E99" t="s">
        <v>65</v>
      </c>
      <c r="F99">
        <v>209500</v>
      </c>
      <c r="G99" t="s">
        <v>72</v>
      </c>
      <c r="H99">
        <v>2</v>
      </c>
    </row>
    <row r="100" spans="1:8" x14ac:dyDescent="0.3">
      <c r="A100" t="s">
        <v>163</v>
      </c>
      <c r="B100">
        <v>2021</v>
      </c>
      <c r="C100" t="s">
        <v>147</v>
      </c>
      <c r="D100" t="s">
        <v>148</v>
      </c>
      <c r="E100" t="s">
        <v>65</v>
      </c>
      <c r="F100">
        <v>209500</v>
      </c>
      <c r="G100" t="s">
        <v>72</v>
      </c>
      <c r="H100">
        <v>1</v>
      </c>
    </row>
    <row r="101" spans="1:8" x14ac:dyDescent="0.3">
      <c r="A101" t="s">
        <v>164</v>
      </c>
      <c r="B101">
        <v>2014</v>
      </c>
      <c r="C101" t="s">
        <v>147</v>
      </c>
      <c r="D101" t="s">
        <v>148</v>
      </c>
      <c r="E101" t="s">
        <v>65</v>
      </c>
      <c r="F101">
        <v>139500</v>
      </c>
      <c r="G101" t="s">
        <v>72</v>
      </c>
      <c r="H101">
        <v>6</v>
      </c>
    </row>
    <row r="102" spans="1:8" x14ac:dyDescent="0.3">
      <c r="A102" t="s">
        <v>164</v>
      </c>
      <c r="B102">
        <v>2015</v>
      </c>
      <c r="C102" t="s">
        <v>147</v>
      </c>
      <c r="D102" t="s">
        <v>148</v>
      </c>
      <c r="E102" t="s">
        <v>65</v>
      </c>
      <c r="F102">
        <v>139500</v>
      </c>
      <c r="G102" t="s">
        <v>72</v>
      </c>
      <c r="H102">
        <v>2</v>
      </c>
    </row>
    <row r="103" spans="1:8" x14ac:dyDescent="0.3">
      <c r="A103" t="s">
        <v>164</v>
      </c>
      <c r="B103">
        <v>2017</v>
      </c>
      <c r="C103" t="s">
        <v>147</v>
      </c>
      <c r="D103" t="s">
        <v>148</v>
      </c>
      <c r="E103" t="s">
        <v>65</v>
      </c>
      <c r="F103">
        <v>139500</v>
      </c>
      <c r="G103" t="s">
        <v>72</v>
      </c>
      <c r="H103">
        <v>1</v>
      </c>
    </row>
    <row r="104" spans="1:8" x14ac:dyDescent="0.3">
      <c r="A104" t="s">
        <v>164</v>
      </c>
      <c r="B104">
        <v>2021</v>
      </c>
      <c r="C104" t="s">
        <v>147</v>
      </c>
      <c r="D104" t="s">
        <v>148</v>
      </c>
      <c r="E104" t="s">
        <v>65</v>
      </c>
      <c r="F104">
        <v>139500</v>
      </c>
      <c r="G104" t="s">
        <v>72</v>
      </c>
      <c r="H104">
        <v>1</v>
      </c>
    </row>
    <row r="105" spans="1:8" x14ac:dyDescent="0.3">
      <c r="A105" t="s">
        <v>165</v>
      </c>
      <c r="B105">
        <v>2014</v>
      </c>
      <c r="C105" t="s">
        <v>147</v>
      </c>
      <c r="D105" t="s">
        <v>148</v>
      </c>
      <c r="E105" t="s">
        <v>65</v>
      </c>
      <c r="F105">
        <v>150000</v>
      </c>
      <c r="G105" t="s">
        <v>72</v>
      </c>
      <c r="H105">
        <v>9</v>
      </c>
    </row>
    <row r="106" spans="1:8" x14ac:dyDescent="0.3">
      <c r="A106" t="s">
        <v>165</v>
      </c>
      <c r="B106">
        <v>2015</v>
      </c>
      <c r="C106" t="s">
        <v>147</v>
      </c>
      <c r="D106" t="s">
        <v>148</v>
      </c>
      <c r="E106" t="s">
        <v>65</v>
      </c>
      <c r="F106">
        <v>150000</v>
      </c>
      <c r="G106" t="s">
        <v>72</v>
      </c>
      <c r="H106">
        <v>16</v>
      </c>
    </row>
    <row r="107" spans="1:8" x14ac:dyDescent="0.3">
      <c r="A107" t="s">
        <v>165</v>
      </c>
      <c r="B107">
        <v>2016</v>
      </c>
      <c r="C107" t="s">
        <v>147</v>
      </c>
      <c r="D107" t="s">
        <v>148</v>
      </c>
      <c r="E107" t="s">
        <v>65</v>
      </c>
      <c r="F107">
        <v>150000</v>
      </c>
      <c r="G107" t="s">
        <v>72</v>
      </c>
      <c r="H107">
        <v>16</v>
      </c>
    </row>
    <row r="108" spans="1:8" x14ac:dyDescent="0.3">
      <c r="A108" t="s">
        <v>165</v>
      </c>
      <c r="B108">
        <v>2017</v>
      </c>
      <c r="C108" t="s">
        <v>147</v>
      </c>
      <c r="D108" t="s">
        <v>148</v>
      </c>
      <c r="E108" t="s">
        <v>65</v>
      </c>
      <c r="F108">
        <v>150000</v>
      </c>
      <c r="G108" t="s">
        <v>72</v>
      </c>
      <c r="H108">
        <v>16</v>
      </c>
    </row>
    <row r="109" spans="1:8" x14ac:dyDescent="0.3">
      <c r="A109" t="s">
        <v>165</v>
      </c>
      <c r="B109">
        <v>2018</v>
      </c>
      <c r="C109" t="s">
        <v>147</v>
      </c>
      <c r="D109" t="s">
        <v>148</v>
      </c>
      <c r="E109" t="s">
        <v>65</v>
      </c>
      <c r="F109">
        <v>150000</v>
      </c>
      <c r="G109" t="s">
        <v>72</v>
      </c>
      <c r="H109">
        <v>18</v>
      </c>
    </row>
    <row r="110" spans="1:8" x14ac:dyDescent="0.3">
      <c r="A110" t="s">
        <v>165</v>
      </c>
      <c r="B110">
        <v>2019</v>
      </c>
      <c r="C110" t="s">
        <v>147</v>
      </c>
      <c r="D110" t="s">
        <v>148</v>
      </c>
      <c r="E110" t="s">
        <v>65</v>
      </c>
      <c r="F110">
        <v>150000</v>
      </c>
      <c r="G110" t="s">
        <v>72</v>
      </c>
      <c r="H110">
        <v>12</v>
      </c>
    </row>
    <row r="111" spans="1:8" x14ac:dyDescent="0.3">
      <c r="A111" t="s">
        <v>165</v>
      </c>
      <c r="B111">
        <v>2020</v>
      </c>
      <c r="C111" t="s">
        <v>147</v>
      </c>
      <c r="D111" t="s">
        <v>148</v>
      </c>
      <c r="E111" t="s">
        <v>65</v>
      </c>
      <c r="F111">
        <v>150000</v>
      </c>
      <c r="G111" t="s">
        <v>72</v>
      </c>
      <c r="H111">
        <v>4</v>
      </c>
    </row>
    <row r="112" spans="1:8" x14ac:dyDescent="0.3">
      <c r="A112" t="s">
        <v>165</v>
      </c>
      <c r="B112">
        <v>2021</v>
      </c>
      <c r="C112" t="s">
        <v>147</v>
      </c>
      <c r="D112" t="s">
        <v>148</v>
      </c>
      <c r="E112" t="s">
        <v>65</v>
      </c>
      <c r="F112">
        <v>150000</v>
      </c>
      <c r="G112" t="s">
        <v>72</v>
      </c>
      <c r="H112">
        <v>11</v>
      </c>
    </row>
    <row r="113" spans="1:8" x14ac:dyDescent="0.3">
      <c r="A113" t="s">
        <v>166</v>
      </c>
      <c r="B113">
        <v>2019</v>
      </c>
      <c r="C113" t="s">
        <v>147</v>
      </c>
      <c r="D113" t="s">
        <v>148</v>
      </c>
      <c r="E113" t="s">
        <v>65</v>
      </c>
      <c r="F113">
        <v>136000</v>
      </c>
      <c r="G113" t="s">
        <v>72</v>
      </c>
      <c r="H113">
        <v>1</v>
      </c>
    </row>
    <row r="114" spans="1:8" x14ac:dyDescent="0.3">
      <c r="A114" t="s">
        <v>167</v>
      </c>
      <c r="B114">
        <v>2014</v>
      </c>
      <c r="C114" t="s">
        <v>147</v>
      </c>
      <c r="D114" t="s">
        <v>148</v>
      </c>
      <c r="E114" t="s">
        <v>65</v>
      </c>
      <c r="F114">
        <v>154500</v>
      </c>
      <c r="G114" t="s">
        <v>72</v>
      </c>
      <c r="H114">
        <v>12</v>
      </c>
    </row>
    <row r="115" spans="1:8" x14ac:dyDescent="0.3">
      <c r="A115" t="s">
        <v>167</v>
      </c>
      <c r="B115">
        <v>2015</v>
      </c>
      <c r="C115" t="s">
        <v>147</v>
      </c>
      <c r="D115" t="s">
        <v>148</v>
      </c>
      <c r="E115" t="s">
        <v>65</v>
      </c>
      <c r="F115">
        <v>154500</v>
      </c>
      <c r="G115" t="s">
        <v>72</v>
      </c>
      <c r="H115">
        <v>7</v>
      </c>
    </row>
    <row r="116" spans="1:8" x14ac:dyDescent="0.3">
      <c r="A116" t="s">
        <v>167</v>
      </c>
      <c r="B116">
        <v>2016</v>
      </c>
      <c r="C116" t="s">
        <v>147</v>
      </c>
      <c r="D116" t="s">
        <v>148</v>
      </c>
      <c r="E116" t="s">
        <v>65</v>
      </c>
      <c r="F116">
        <v>154500</v>
      </c>
      <c r="G116" t="s">
        <v>72</v>
      </c>
      <c r="H116">
        <v>4</v>
      </c>
    </row>
    <row r="117" spans="1:8" x14ac:dyDescent="0.3">
      <c r="A117" t="s">
        <v>167</v>
      </c>
      <c r="B117">
        <v>2017</v>
      </c>
      <c r="C117" t="s">
        <v>147</v>
      </c>
      <c r="D117" t="s">
        <v>148</v>
      </c>
      <c r="E117" t="s">
        <v>65</v>
      </c>
      <c r="F117">
        <v>154500</v>
      </c>
      <c r="G117" t="s">
        <v>72</v>
      </c>
      <c r="H117">
        <v>1</v>
      </c>
    </row>
    <row r="118" spans="1:8" x14ac:dyDescent="0.3">
      <c r="A118" t="s">
        <v>167</v>
      </c>
      <c r="B118">
        <v>2018</v>
      </c>
      <c r="C118" t="s">
        <v>147</v>
      </c>
      <c r="D118" t="s">
        <v>148</v>
      </c>
      <c r="E118" t="s">
        <v>65</v>
      </c>
      <c r="F118">
        <v>154500</v>
      </c>
      <c r="G118" t="s">
        <v>72</v>
      </c>
      <c r="H118">
        <v>5</v>
      </c>
    </row>
    <row r="119" spans="1:8" x14ac:dyDescent="0.3">
      <c r="A119" t="s">
        <v>167</v>
      </c>
      <c r="B119">
        <v>2019</v>
      </c>
      <c r="C119" t="s">
        <v>147</v>
      </c>
      <c r="D119" t="s">
        <v>148</v>
      </c>
      <c r="E119" t="s">
        <v>65</v>
      </c>
      <c r="F119">
        <v>154500</v>
      </c>
      <c r="G119" t="s">
        <v>72</v>
      </c>
      <c r="H119">
        <v>8</v>
      </c>
    </row>
    <row r="120" spans="1:8" x14ac:dyDescent="0.3">
      <c r="A120" t="s">
        <v>167</v>
      </c>
      <c r="B120">
        <v>2021</v>
      </c>
      <c r="C120" t="s">
        <v>147</v>
      </c>
      <c r="D120" t="s">
        <v>148</v>
      </c>
      <c r="E120" t="s">
        <v>65</v>
      </c>
      <c r="F120">
        <v>154500</v>
      </c>
      <c r="G120" t="s">
        <v>72</v>
      </c>
      <c r="H120">
        <v>13</v>
      </c>
    </row>
    <row r="121" spans="1:8" x14ac:dyDescent="0.3">
      <c r="A121" t="s">
        <v>168</v>
      </c>
      <c r="B121">
        <v>2014</v>
      </c>
      <c r="C121" t="s">
        <v>147</v>
      </c>
      <c r="D121" t="s">
        <v>148</v>
      </c>
      <c r="E121" t="s">
        <v>65</v>
      </c>
      <c r="F121">
        <v>174200</v>
      </c>
      <c r="G121" t="s">
        <v>72</v>
      </c>
      <c r="H121">
        <v>8</v>
      </c>
    </row>
    <row r="122" spans="1:8" x14ac:dyDescent="0.3">
      <c r="A122" t="s">
        <v>168</v>
      </c>
      <c r="B122">
        <v>2015</v>
      </c>
      <c r="C122" t="s">
        <v>147</v>
      </c>
      <c r="D122" t="s">
        <v>148</v>
      </c>
      <c r="E122" t="s">
        <v>65</v>
      </c>
      <c r="F122">
        <v>174200</v>
      </c>
      <c r="G122" t="s">
        <v>72</v>
      </c>
      <c r="H122">
        <v>16</v>
      </c>
    </row>
    <row r="123" spans="1:8" x14ac:dyDescent="0.3">
      <c r="A123" t="s">
        <v>168</v>
      </c>
      <c r="B123">
        <v>2016</v>
      </c>
      <c r="C123" t="s">
        <v>147</v>
      </c>
      <c r="D123" t="s">
        <v>148</v>
      </c>
      <c r="E123" t="s">
        <v>65</v>
      </c>
      <c r="F123">
        <v>174200</v>
      </c>
      <c r="G123" t="s">
        <v>72</v>
      </c>
      <c r="H123">
        <v>13</v>
      </c>
    </row>
    <row r="124" spans="1:8" x14ac:dyDescent="0.3">
      <c r="A124" t="s">
        <v>168</v>
      </c>
      <c r="B124">
        <v>2017</v>
      </c>
      <c r="C124" t="s">
        <v>147</v>
      </c>
      <c r="D124" t="s">
        <v>148</v>
      </c>
      <c r="E124" t="s">
        <v>65</v>
      </c>
      <c r="F124">
        <v>174200</v>
      </c>
      <c r="G124" t="s">
        <v>72</v>
      </c>
      <c r="H124">
        <v>15</v>
      </c>
    </row>
    <row r="125" spans="1:8" x14ac:dyDescent="0.3">
      <c r="A125" t="s">
        <v>168</v>
      </c>
      <c r="B125">
        <v>2018</v>
      </c>
      <c r="C125" t="s">
        <v>147</v>
      </c>
      <c r="D125" t="s">
        <v>148</v>
      </c>
      <c r="E125" t="s">
        <v>65</v>
      </c>
      <c r="F125">
        <v>174200</v>
      </c>
      <c r="G125" t="s">
        <v>72</v>
      </c>
      <c r="H125">
        <v>16</v>
      </c>
    </row>
    <row r="126" spans="1:8" x14ac:dyDescent="0.3">
      <c r="A126" t="s">
        <v>168</v>
      </c>
      <c r="B126">
        <v>2019</v>
      </c>
      <c r="C126" t="s">
        <v>147</v>
      </c>
      <c r="D126" t="s">
        <v>148</v>
      </c>
      <c r="E126" t="s">
        <v>65</v>
      </c>
      <c r="F126">
        <v>174200</v>
      </c>
      <c r="G126" t="s">
        <v>72</v>
      </c>
      <c r="H126">
        <v>15</v>
      </c>
    </row>
    <row r="127" spans="1:8" x14ac:dyDescent="0.3">
      <c r="A127" t="s">
        <v>168</v>
      </c>
      <c r="B127">
        <v>2020</v>
      </c>
      <c r="C127" t="s">
        <v>147</v>
      </c>
      <c r="D127" t="s">
        <v>148</v>
      </c>
      <c r="E127" t="s">
        <v>65</v>
      </c>
      <c r="F127">
        <v>174200</v>
      </c>
      <c r="G127" t="s">
        <v>72</v>
      </c>
      <c r="H127">
        <v>5</v>
      </c>
    </row>
    <row r="128" spans="1:8" x14ac:dyDescent="0.3">
      <c r="A128" t="s">
        <v>168</v>
      </c>
      <c r="B128">
        <v>2021</v>
      </c>
      <c r="C128" t="s">
        <v>147</v>
      </c>
      <c r="D128" t="s">
        <v>148</v>
      </c>
      <c r="E128" t="s">
        <v>65</v>
      </c>
      <c r="F128">
        <v>174200</v>
      </c>
      <c r="G128" t="s">
        <v>72</v>
      </c>
      <c r="H128">
        <v>10</v>
      </c>
    </row>
    <row r="129" spans="1:8" x14ac:dyDescent="0.3">
      <c r="A129" t="s">
        <v>169</v>
      </c>
      <c r="B129">
        <v>2019</v>
      </c>
      <c r="C129" t="s">
        <v>147</v>
      </c>
      <c r="D129" t="s">
        <v>148</v>
      </c>
      <c r="E129" t="s">
        <v>65</v>
      </c>
      <c r="F129">
        <v>187700</v>
      </c>
      <c r="G129" t="s">
        <v>72</v>
      </c>
      <c r="H129">
        <v>1</v>
      </c>
    </row>
    <row r="130" spans="1:8" x14ac:dyDescent="0.3">
      <c r="A130" t="s">
        <v>169</v>
      </c>
      <c r="B130">
        <v>2021</v>
      </c>
      <c r="C130" t="s">
        <v>147</v>
      </c>
      <c r="D130" t="s">
        <v>148</v>
      </c>
      <c r="E130" t="s">
        <v>65</v>
      </c>
      <c r="F130">
        <v>187700</v>
      </c>
      <c r="G130" t="s">
        <v>72</v>
      </c>
      <c r="H130">
        <v>1</v>
      </c>
    </row>
    <row r="131" spans="1:8" x14ac:dyDescent="0.3">
      <c r="A131" t="s">
        <v>170</v>
      </c>
      <c r="B131">
        <v>2016</v>
      </c>
      <c r="C131" t="s">
        <v>147</v>
      </c>
      <c r="D131" t="s">
        <v>148</v>
      </c>
      <c r="E131" t="s">
        <v>65</v>
      </c>
      <c r="F131">
        <v>255500</v>
      </c>
      <c r="G131" t="s">
        <v>83</v>
      </c>
      <c r="H131">
        <v>1</v>
      </c>
    </row>
    <row r="132" spans="1:8" x14ac:dyDescent="0.3">
      <c r="A132" t="s">
        <v>171</v>
      </c>
      <c r="B132">
        <v>2020</v>
      </c>
      <c r="C132" t="s">
        <v>147</v>
      </c>
      <c r="D132" t="s">
        <v>148</v>
      </c>
      <c r="E132" t="s">
        <v>65</v>
      </c>
      <c r="F132">
        <v>395000</v>
      </c>
      <c r="G132" t="s">
        <v>83</v>
      </c>
      <c r="H132">
        <v>1</v>
      </c>
    </row>
    <row r="133" spans="1:8" x14ac:dyDescent="0.3">
      <c r="A133" t="s">
        <v>172</v>
      </c>
      <c r="B133">
        <v>2021</v>
      </c>
      <c r="C133" t="s">
        <v>147</v>
      </c>
      <c r="D133" t="s">
        <v>148</v>
      </c>
      <c r="E133" t="s">
        <v>65</v>
      </c>
      <c r="F133">
        <v>134000</v>
      </c>
      <c r="G133" t="s">
        <v>72</v>
      </c>
      <c r="H133">
        <v>1</v>
      </c>
    </row>
    <row r="134" spans="1:8" x14ac:dyDescent="0.3">
      <c r="A134" t="s">
        <v>173</v>
      </c>
      <c r="B134">
        <v>2016</v>
      </c>
      <c r="C134" t="s">
        <v>147</v>
      </c>
      <c r="D134" t="s">
        <v>148</v>
      </c>
      <c r="E134" t="s">
        <v>65</v>
      </c>
      <c r="F134">
        <v>149000</v>
      </c>
      <c r="G134" t="s">
        <v>72</v>
      </c>
      <c r="H134">
        <v>2</v>
      </c>
    </row>
    <row r="135" spans="1:8" x14ac:dyDescent="0.3">
      <c r="A135" t="s">
        <v>174</v>
      </c>
      <c r="B135">
        <v>2015</v>
      </c>
      <c r="C135" t="s">
        <v>147</v>
      </c>
      <c r="D135" t="s">
        <v>148</v>
      </c>
      <c r="E135" t="s">
        <v>65</v>
      </c>
      <c r="F135">
        <v>11800</v>
      </c>
      <c r="G135" t="s">
        <v>72</v>
      </c>
      <c r="H135">
        <v>1</v>
      </c>
    </row>
    <row r="136" spans="1:8" x14ac:dyDescent="0.3">
      <c r="A136" t="s">
        <v>174</v>
      </c>
      <c r="B136">
        <v>2016</v>
      </c>
      <c r="C136" t="s">
        <v>147</v>
      </c>
      <c r="D136" t="s">
        <v>148</v>
      </c>
      <c r="E136" t="s">
        <v>65</v>
      </c>
      <c r="F136">
        <v>11800</v>
      </c>
      <c r="G136" t="s">
        <v>72</v>
      </c>
      <c r="H136">
        <v>5</v>
      </c>
    </row>
    <row r="137" spans="1:8" x14ac:dyDescent="0.3">
      <c r="A137" t="s">
        <v>174</v>
      </c>
      <c r="B137">
        <v>2017</v>
      </c>
      <c r="C137" t="s">
        <v>147</v>
      </c>
      <c r="D137" t="s">
        <v>148</v>
      </c>
      <c r="E137" t="s">
        <v>65</v>
      </c>
      <c r="F137">
        <v>11800</v>
      </c>
      <c r="G137" t="s">
        <v>72</v>
      </c>
      <c r="H137">
        <v>3</v>
      </c>
    </row>
    <row r="138" spans="1:8" x14ac:dyDescent="0.3">
      <c r="A138" t="s">
        <v>174</v>
      </c>
      <c r="B138">
        <v>2019</v>
      </c>
      <c r="C138" t="s">
        <v>147</v>
      </c>
      <c r="D138" t="s">
        <v>148</v>
      </c>
      <c r="E138" t="s">
        <v>65</v>
      </c>
      <c r="F138">
        <v>11800</v>
      </c>
      <c r="G138" t="s">
        <v>72</v>
      </c>
      <c r="H138">
        <v>2</v>
      </c>
    </row>
    <row r="139" spans="1:8" x14ac:dyDescent="0.3">
      <c r="A139" t="s">
        <v>174</v>
      </c>
      <c r="B139">
        <v>2020</v>
      </c>
      <c r="C139" t="s">
        <v>147</v>
      </c>
      <c r="D139" t="s">
        <v>148</v>
      </c>
      <c r="E139" t="s">
        <v>65</v>
      </c>
      <c r="F139">
        <v>11800</v>
      </c>
      <c r="G139" t="s">
        <v>72</v>
      </c>
      <c r="H139">
        <v>7</v>
      </c>
    </row>
    <row r="140" spans="1:8" x14ac:dyDescent="0.3">
      <c r="A140" t="s">
        <v>174</v>
      </c>
      <c r="B140">
        <v>2021</v>
      </c>
      <c r="C140" t="s">
        <v>147</v>
      </c>
      <c r="D140" t="s">
        <v>148</v>
      </c>
      <c r="E140" t="s">
        <v>65</v>
      </c>
      <c r="F140">
        <v>11800</v>
      </c>
      <c r="G140" t="s">
        <v>72</v>
      </c>
      <c r="H140">
        <v>6</v>
      </c>
    </row>
    <row r="141" spans="1:8" x14ac:dyDescent="0.3">
      <c r="A141" t="s">
        <v>175</v>
      </c>
      <c r="B141">
        <v>2015</v>
      </c>
      <c r="C141" t="s">
        <v>147</v>
      </c>
      <c r="D141" t="s">
        <v>148</v>
      </c>
      <c r="E141" t="s">
        <v>65</v>
      </c>
      <c r="F141">
        <v>17120</v>
      </c>
      <c r="G141" t="s">
        <v>72</v>
      </c>
      <c r="H141">
        <v>1</v>
      </c>
    </row>
    <row r="142" spans="1:8" x14ac:dyDescent="0.3">
      <c r="A142" t="s">
        <v>175</v>
      </c>
      <c r="B142">
        <v>2017</v>
      </c>
      <c r="C142" t="s">
        <v>147</v>
      </c>
      <c r="D142" t="s">
        <v>148</v>
      </c>
      <c r="E142" t="s">
        <v>65</v>
      </c>
      <c r="F142">
        <v>17120</v>
      </c>
      <c r="G142" t="s">
        <v>72</v>
      </c>
      <c r="H142">
        <v>1</v>
      </c>
    </row>
    <row r="143" spans="1:8" x14ac:dyDescent="0.3">
      <c r="A143" t="s">
        <v>71</v>
      </c>
      <c r="B143">
        <v>2014</v>
      </c>
      <c r="C143" t="s">
        <v>147</v>
      </c>
      <c r="D143" t="s">
        <v>148</v>
      </c>
      <c r="E143" t="s">
        <v>65</v>
      </c>
      <c r="F143">
        <v>12500</v>
      </c>
      <c r="G143" t="s">
        <v>72</v>
      </c>
      <c r="H143">
        <v>82</v>
      </c>
    </row>
    <row r="144" spans="1:8" x14ac:dyDescent="0.3">
      <c r="A144" t="s">
        <v>71</v>
      </c>
      <c r="B144">
        <v>2015</v>
      </c>
      <c r="C144" t="s">
        <v>147</v>
      </c>
      <c r="D144" t="s">
        <v>148</v>
      </c>
      <c r="E144" t="s">
        <v>65</v>
      </c>
      <c r="F144">
        <v>12500</v>
      </c>
      <c r="G144" t="s">
        <v>72</v>
      </c>
      <c r="H144">
        <v>133</v>
      </c>
    </row>
    <row r="145" spans="1:8" x14ac:dyDescent="0.3">
      <c r="A145" t="s">
        <v>71</v>
      </c>
      <c r="B145">
        <v>2016</v>
      </c>
      <c r="C145" t="s">
        <v>147</v>
      </c>
      <c r="D145" t="s">
        <v>148</v>
      </c>
      <c r="E145" t="s">
        <v>65</v>
      </c>
      <c r="F145">
        <v>12500</v>
      </c>
      <c r="G145" t="s">
        <v>72</v>
      </c>
      <c r="H145">
        <v>184</v>
      </c>
    </row>
    <row r="146" spans="1:8" x14ac:dyDescent="0.3">
      <c r="A146" t="s">
        <v>71</v>
      </c>
      <c r="B146">
        <v>2017</v>
      </c>
      <c r="C146" t="s">
        <v>147</v>
      </c>
      <c r="D146" t="s">
        <v>148</v>
      </c>
      <c r="E146" t="s">
        <v>65</v>
      </c>
      <c r="F146">
        <v>12500</v>
      </c>
      <c r="G146" t="s">
        <v>72</v>
      </c>
      <c r="H146">
        <v>198</v>
      </c>
    </row>
    <row r="147" spans="1:8" x14ac:dyDescent="0.3">
      <c r="A147" t="s">
        <v>71</v>
      </c>
      <c r="B147">
        <v>2018</v>
      </c>
      <c r="C147" t="s">
        <v>147</v>
      </c>
      <c r="D147" t="s">
        <v>148</v>
      </c>
      <c r="E147" t="s">
        <v>65</v>
      </c>
      <c r="F147">
        <v>12500</v>
      </c>
      <c r="G147" t="s">
        <v>72</v>
      </c>
      <c r="H147">
        <v>209</v>
      </c>
    </row>
    <row r="148" spans="1:8" x14ac:dyDescent="0.3">
      <c r="A148" t="s">
        <v>71</v>
      </c>
      <c r="B148">
        <v>2019</v>
      </c>
      <c r="C148" t="s">
        <v>147</v>
      </c>
      <c r="D148" t="s">
        <v>148</v>
      </c>
      <c r="E148" t="s">
        <v>65</v>
      </c>
      <c r="F148">
        <v>12500</v>
      </c>
      <c r="G148" t="s">
        <v>72</v>
      </c>
      <c r="H148">
        <v>203</v>
      </c>
    </row>
    <row r="149" spans="1:8" x14ac:dyDescent="0.3">
      <c r="A149" t="s">
        <v>71</v>
      </c>
      <c r="B149">
        <v>2020</v>
      </c>
      <c r="C149" t="s">
        <v>147</v>
      </c>
      <c r="D149" t="s">
        <v>148</v>
      </c>
      <c r="E149" t="s">
        <v>65</v>
      </c>
      <c r="F149">
        <v>12500</v>
      </c>
      <c r="G149" t="s">
        <v>72</v>
      </c>
      <c r="H149">
        <v>172</v>
      </c>
    </row>
    <row r="150" spans="1:8" x14ac:dyDescent="0.3">
      <c r="A150" t="s">
        <v>71</v>
      </c>
      <c r="B150">
        <v>2021</v>
      </c>
      <c r="C150" t="s">
        <v>147</v>
      </c>
      <c r="D150" t="s">
        <v>148</v>
      </c>
      <c r="E150" t="s">
        <v>65</v>
      </c>
      <c r="F150">
        <v>12500</v>
      </c>
      <c r="G150" t="s">
        <v>72</v>
      </c>
      <c r="H150">
        <v>152</v>
      </c>
    </row>
    <row r="151" spans="1:8" x14ac:dyDescent="0.3">
      <c r="A151" t="s">
        <v>176</v>
      </c>
      <c r="B151">
        <v>2014</v>
      </c>
      <c r="C151" t="s">
        <v>147</v>
      </c>
      <c r="D151" t="s">
        <v>148</v>
      </c>
      <c r="E151" t="s">
        <v>65</v>
      </c>
      <c r="F151">
        <v>2250</v>
      </c>
      <c r="G151" t="s">
        <v>66</v>
      </c>
      <c r="H151">
        <v>1</v>
      </c>
    </row>
    <row r="152" spans="1:8" x14ac:dyDescent="0.3">
      <c r="A152" t="s">
        <v>176</v>
      </c>
      <c r="B152">
        <v>2016</v>
      </c>
      <c r="C152" t="s">
        <v>147</v>
      </c>
      <c r="D152" t="s">
        <v>148</v>
      </c>
      <c r="E152" t="s">
        <v>65</v>
      </c>
      <c r="F152">
        <v>2250</v>
      </c>
      <c r="G152" t="s">
        <v>66</v>
      </c>
      <c r="H152">
        <v>2</v>
      </c>
    </row>
    <row r="153" spans="1:8" x14ac:dyDescent="0.3">
      <c r="A153" t="s">
        <v>176</v>
      </c>
      <c r="B153">
        <v>2017</v>
      </c>
      <c r="C153" t="s">
        <v>147</v>
      </c>
      <c r="D153" t="s">
        <v>148</v>
      </c>
      <c r="E153" t="s">
        <v>65</v>
      </c>
      <c r="F153">
        <v>2250</v>
      </c>
      <c r="G153" t="s">
        <v>66</v>
      </c>
      <c r="H153">
        <v>3</v>
      </c>
    </row>
    <row r="154" spans="1:8" x14ac:dyDescent="0.3">
      <c r="A154" t="s">
        <v>176</v>
      </c>
      <c r="B154">
        <v>2018</v>
      </c>
      <c r="C154" t="s">
        <v>147</v>
      </c>
      <c r="D154" t="s">
        <v>148</v>
      </c>
      <c r="E154" t="s">
        <v>65</v>
      </c>
      <c r="F154">
        <v>2250</v>
      </c>
      <c r="G154" t="s">
        <v>66</v>
      </c>
      <c r="H154">
        <v>3</v>
      </c>
    </row>
    <row r="155" spans="1:8" x14ac:dyDescent="0.3">
      <c r="A155" t="s">
        <v>176</v>
      </c>
      <c r="B155">
        <v>2021</v>
      </c>
      <c r="C155" t="s">
        <v>147</v>
      </c>
      <c r="D155" t="s">
        <v>148</v>
      </c>
      <c r="E155" t="s">
        <v>65</v>
      </c>
      <c r="F155">
        <v>2250</v>
      </c>
      <c r="G155" t="s">
        <v>66</v>
      </c>
      <c r="H155">
        <v>4</v>
      </c>
    </row>
    <row r="156" spans="1:8" x14ac:dyDescent="0.3">
      <c r="A156" t="s">
        <v>177</v>
      </c>
      <c r="B156">
        <v>2015</v>
      </c>
      <c r="C156" t="s">
        <v>147</v>
      </c>
      <c r="D156" t="s">
        <v>148</v>
      </c>
      <c r="E156" t="s">
        <v>65</v>
      </c>
      <c r="F156">
        <v>2750</v>
      </c>
      <c r="G156" t="s">
        <v>66</v>
      </c>
      <c r="H156">
        <v>1</v>
      </c>
    </row>
    <row r="157" spans="1:8" x14ac:dyDescent="0.3">
      <c r="A157" t="s">
        <v>177</v>
      </c>
      <c r="B157">
        <v>2016</v>
      </c>
      <c r="C157" t="s">
        <v>147</v>
      </c>
      <c r="D157" t="s">
        <v>148</v>
      </c>
      <c r="E157" t="s">
        <v>65</v>
      </c>
      <c r="F157">
        <v>2750</v>
      </c>
      <c r="G157" t="s">
        <v>66</v>
      </c>
      <c r="H157">
        <v>1</v>
      </c>
    </row>
    <row r="158" spans="1:8" x14ac:dyDescent="0.3">
      <c r="A158" t="s">
        <v>177</v>
      </c>
      <c r="B158">
        <v>2018</v>
      </c>
      <c r="C158" t="s">
        <v>147</v>
      </c>
      <c r="D158" t="s">
        <v>148</v>
      </c>
      <c r="E158" t="s">
        <v>65</v>
      </c>
      <c r="F158">
        <v>2750</v>
      </c>
      <c r="G158" t="s">
        <v>66</v>
      </c>
      <c r="H158">
        <v>1</v>
      </c>
    </row>
    <row r="159" spans="1:8" x14ac:dyDescent="0.3">
      <c r="A159" t="s">
        <v>177</v>
      </c>
      <c r="B159">
        <v>2020</v>
      </c>
      <c r="C159" t="s">
        <v>147</v>
      </c>
      <c r="D159" t="s">
        <v>148</v>
      </c>
      <c r="E159" t="s">
        <v>65</v>
      </c>
      <c r="F159">
        <v>2750</v>
      </c>
      <c r="G159" t="s">
        <v>66</v>
      </c>
      <c r="H159">
        <v>3</v>
      </c>
    </row>
    <row r="160" spans="1:8" x14ac:dyDescent="0.3">
      <c r="A160" t="s">
        <v>178</v>
      </c>
      <c r="B160">
        <v>2014</v>
      </c>
      <c r="C160" t="s">
        <v>147</v>
      </c>
      <c r="D160" t="s">
        <v>148</v>
      </c>
      <c r="E160" t="s">
        <v>65</v>
      </c>
      <c r="F160">
        <v>14000</v>
      </c>
      <c r="G160" t="s">
        <v>72</v>
      </c>
      <c r="H160">
        <v>5</v>
      </c>
    </row>
    <row r="161" spans="1:8" x14ac:dyDescent="0.3">
      <c r="A161" t="s">
        <v>178</v>
      </c>
      <c r="B161">
        <v>2015</v>
      </c>
      <c r="C161" t="s">
        <v>147</v>
      </c>
      <c r="D161" t="s">
        <v>148</v>
      </c>
      <c r="E161" t="s">
        <v>65</v>
      </c>
      <c r="F161">
        <v>14000</v>
      </c>
      <c r="G161" t="s">
        <v>72</v>
      </c>
      <c r="H161">
        <v>29</v>
      </c>
    </row>
    <row r="162" spans="1:8" x14ac:dyDescent="0.3">
      <c r="A162" t="s">
        <v>178</v>
      </c>
      <c r="B162">
        <v>2016</v>
      </c>
      <c r="C162" t="s">
        <v>147</v>
      </c>
      <c r="D162" t="s">
        <v>148</v>
      </c>
      <c r="E162" t="s">
        <v>65</v>
      </c>
      <c r="F162">
        <v>14000</v>
      </c>
      <c r="G162" t="s">
        <v>72</v>
      </c>
      <c r="H162">
        <v>23</v>
      </c>
    </row>
    <row r="163" spans="1:8" x14ac:dyDescent="0.3">
      <c r="A163" t="s">
        <v>178</v>
      </c>
      <c r="B163">
        <v>2017</v>
      </c>
      <c r="C163" t="s">
        <v>147</v>
      </c>
      <c r="D163" t="s">
        <v>148</v>
      </c>
      <c r="E163" t="s">
        <v>65</v>
      </c>
      <c r="F163">
        <v>14000</v>
      </c>
      <c r="G163" t="s">
        <v>72</v>
      </c>
      <c r="H163">
        <v>25</v>
      </c>
    </row>
    <row r="164" spans="1:8" x14ac:dyDescent="0.3">
      <c r="A164" t="s">
        <v>178</v>
      </c>
      <c r="B164">
        <v>2018</v>
      </c>
      <c r="C164" t="s">
        <v>147</v>
      </c>
      <c r="D164" t="s">
        <v>148</v>
      </c>
      <c r="E164" t="s">
        <v>65</v>
      </c>
      <c r="F164">
        <v>14000</v>
      </c>
      <c r="G164" t="s">
        <v>72</v>
      </c>
      <c r="H164">
        <v>14</v>
      </c>
    </row>
    <row r="165" spans="1:8" x14ac:dyDescent="0.3">
      <c r="A165" t="s">
        <v>178</v>
      </c>
      <c r="B165">
        <v>2019</v>
      </c>
      <c r="C165" t="s">
        <v>147</v>
      </c>
      <c r="D165" t="s">
        <v>148</v>
      </c>
      <c r="E165" t="s">
        <v>65</v>
      </c>
      <c r="F165">
        <v>14000</v>
      </c>
      <c r="G165" t="s">
        <v>72</v>
      </c>
      <c r="H165">
        <v>12</v>
      </c>
    </row>
    <row r="166" spans="1:8" x14ac:dyDescent="0.3">
      <c r="A166" t="s">
        <v>178</v>
      </c>
      <c r="B166">
        <v>2020</v>
      </c>
      <c r="C166" t="s">
        <v>147</v>
      </c>
      <c r="D166" t="s">
        <v>148</v>
      </c>
      <c r="E166" t="s">
        <v>65</v>
      </c>
      <c r="F166">
        <v>14000</v>
      </c>
      <c r="G166" t="s">
        <v>72</v>
      </c>
      <c r="H166">
        <v>15</v>
      </c>
    </row>
    <row r="167" spans="1:8" x14ac:dyDescent="0.3">
      <c r="A167" t="s">
        <v>178</v>
      </c>
      <c r="B167">
        <v>2021</v>
      </c>
      <c r="C167" t="s">
        <v>147</v>
      </c>
      <c r="D167" t="s">
        <v>148</v>
      </c>
      <c r="E167" t="s">
        <v>65</v>
      </c>
      <c r="F167">
        <v>14000</v>
      </c>
      <c r="G167" t="s">
        <v>72</v>
      </c>
      <c r="H167">
        <v>9</v>
      </c>
    </row>
    <row r="168" spans="1:8" x14ac:dyDescent="0.3">
      <c r="A168" t="s">
        <v>73</v>
      </c>
      <c r="B168">
        <v>2014</v>
      </c>
      <c r="C168" t="s">
        <v>147</v>
      </c>
      <c r="D168" t="s">
        <v>148</v>
      </c>
      <c r="E168" t="s">
        <v>65</v>
      </c>
      <c r="F168">
        <v>3500</v>
      </c>
      <c r="G168" t="s">
        <v>66</v>
      </c>
      <c r="H168">
        <v>4</v>
      </c>
    </row>
    <row r="169" spans="1:8" x14ac:dyDescent="0.3">
      <c r="A169" t="s">
        <v>73</v>
      </c>
      <c r="B169">
        <v>2015</v>
      </c>
      <c r="C169" t="s">
        <v>147</v>
      </c>
      <c r="D169" t="s">
        <v>148</v>
      </c>
      <c r="E169" t="s">
        <v>65</v>
      </c>
      <c r="F169">
        <v>3500</v>
      </c>
      <c r="G169" t="s">
        <v>66</v>
      </c>
      <c r="H169">
        <v>10</v>
      </c>
    </row>
    <row r="170" spans="1:8" x14ac:dyDescent="0.3">
      <c r="A170" t="s">
        <v>73</v>
      </c>
      <c r="B170">
        <v>2016</v>
      </c>
      <c r="C170" t="s">
        <v>147</v>
      </c>
      <c r="D170" t="s">
        <v>148</v>
      </c>
      <c r="E170" t="s">
        <v>65</v>
      </c>
      <c r="F170">
        <v>3500</v>
      </c>
      <c r="G170" t="s">
        <v>66</v>
      </c>
      <c r="H170">
        <v>19</v>
      </c>
    </row>
    <row r="171" spans="1:8" x14ac:dyDescent="0.3">
      <c r="A171" t="s">
        <v>73</v>
      </c>
      <c r="B171">
        <v>2017</v>
      </c>
      <c r="C171" t="s">
        <v>147</v>
      </c>
      <c r="D171" t="s">
        <v>148</v>
      </c>
      <c r="E171" t="s">
        <v>65</v>
      </c>
      <c r="F171">
        <v>3500</v>
      </c>
      <c r="G171" t="s">
        <v>66</v>
      </c>
      <c r="H171">
        <v>19</v>
      </c>
    </row>
    <row r="172" spans="1:8" x14ac:dyDescent="0.3">
      <c r="A172" t="s">
        <v>73</v>
      </c>
      <c r="B172">
        <v>2018</v>
      </c>
      <c r="C172" t="s">
        <v>147</v>
      </c>
      <c r="D172" t="s">
        <v>148</v>
      </c>
      <c r="E172" t="s">
        <v>65</v>
      </c>
      <c r="F172">
        <v>3500</v>
      </c>
      <c r="G172" t="s">
        <v>66</v>
      </c>
      <c r="H172">
        <v>19</v>
      </c>
    </row>
    <row r="173" spans="1:8" x14ac:dyDescent="0.3">
      <c r="A173" t="s">
        <v>73</v>
      </c>
      <c r="B173">
        <v>2019</v>
      </c>
      <c r="C173" t="s">
        <v>147</v>
      </c>
      <c r="D173" t="s">
        <v>148</v>
      </c>
      <c r="E173" t="s">
        <v>65</v>
      </c>
      <c r="F173">
        <v>3500</v>
      </c>
      <c r="G173" t="s">
        <v>66</v>
      </c>
      <c r="H173">
        <v>11</v>
      </c>
    </row>
    <row r="174" spans="1:8" x14ac:dyDescent="0.3">
      <c r="A174" t="s">
        <v>73</v>
      </c>
      <c r="B174">
        <v>2020</v>
      </c>
      <c r="C174" t="s">
        <v>147</v>
      </c>
      <c r="D174" t="s">
        <v>148</v>
      </c>
      <c r="E174" t="s">
        <v>65</v>
      </c>
      <c r="F174">
        <v>3500</v>
      </c>
      <c r="G174" t="s">
        <v>66</v>
      </c>
      <c r="H174">
        <v>14</v>
      </c>
    </row>
    <row r="175" spans="1:8" x14ac:dyDescent="0.3">
      <c r="A175" t="s">
        <v>73</v>
      </c>
      <c r="B175">
        <v>2021</v>
      </c>
      <c r="C175" t="s">
        <v>147</v>
      </c>
      <c r="D175" t="s">
        <v>148</v>
      </c>
      <c r="E175" t="s">
        <v>65</v>
      </c>
      <c r="F175">
        <v>3500</v>
      </c>
      <c r="G175" t="s">
        <v>66</v>
      </c>
      <c r="H175">
        <v>8</v>
      </c>
    </row>
    <row r="176" spans="1:8" x14ac:dyDescent="0.3">
      <c r="A176" t="s">
        <v>74</v>
      </c>
      <c r="B176">
        <v>2014</v>
      </c>
      <c r="C176" t="s">
        <v>147</v>
      </c>
      <c r="D176" t="s">
        <v>148</v>
      </c>
      <c r="E176" t="s">
        <v>65</v>
      </c>
      <c r="F176">
        <v>3400</v>
      </c>
      <c r="G176" t="s">
        <v>66</v>
      </c>
      <c r="H176">
        <v>25</v>
      </c>
    </row>
    <row r="177" spans="1:8" x14ac:dyDescent="0.3">
      <c r="A177" t="s">
        <v>74</v>
      </c>
      <c r="B177">
        <v>2015</v>
      </c>
      <c r="C177" t="s">
        <v>147</v>
      </c>
      <c r="D177" t="s">
        <v>148</v>
      </c>
      <c r="E177" t="s">
        <v>65</v>
      </c>
      <c r="F177">
        <v>3400</v>
      </c>
      <c r="G177" t="s">
        <v>66</v>
      </c>
      <c r="H177">
        <v>44</v>
      </c>
    </row>
    <row r="178" spans="1:8" x14ac:dyDescent="0.3">
      <c r="A178" t="s">
        <v>74</v>
      </c>
      <c r="B178">
        <v>2016</v>
      </c>
      <c r="C178" t="s">
        <v>147</v>
      </c>
      <c r="D178" t="s">
        <v>148</v>
      </c>
      <c r="E178" t="s">
        <v>65</v>
      </c>
      <c r="F178">
        <v>3400</v>
      </c>
      <c r="G178" t="s">
        <v>66</v>
      </c>
      <c r="H178">
        <v>32</v>
      </c>
    </row>
    <row r="179" spans="1:8" x14ac:dyDescent="0.3">
      <c r="A179" t="s">
        <v>74</v>
      </c>
      <c r="B179">
        <v>2017</v>
      </c>
      <c r="C179" t="s">
        <v>147</v>
      </c>
      <c r="D179" t="s">
        <v>148</v>
      </c>
      <c r="E179" t="s">
        <v>65</v>
      </c>
      <c r="F179">
        <v>3400</v>
      </c>
      <c r="G179" t="s">
        <v>66</v>
      </c>
      <c r="H179">
        <v>53</v>
      </c>
    </row>
    <row r="180" spans="1:8" x14ac:dyDescent="0.3">
      <c r="A180" t="s">
        <v>74</v>
      </c>
      <c r="B180">
        <v>2018</v>
      </c>
      <c r="C180" t="s">
        <v>147</v>
      </c>
      <c r="D180" t="s">
        <v>148</v>
      </c>
      <c r="E180" t="s">
        <v>65</v>
      </c>
      <c r="F180">
        <v>3400</v>
      </c>
      <c r="G180" t="s">
        <v>66</v>
      </c>
      <c r="H180">
        <v>45</v>
      </c>
    </row>
    <row r="181" spans="1:8" x14ac:dyDescent="0.3">
      <c r="A181" t="s">
        <v>74</v>
      </c>
      <c r="B181">
        <v>2019</v>
      </c>
      <c r="C181" t="s">
        <v>147</v>
      </c>
      <c r="D181" t="s">
        <v>148</v>
      </c>
      <c r="E181" t="s">
        <v>65</v>
      </c>
      <c r="F181">
        <v>3400</v>
      </c>
      <c r="G181" t="s">
        <v>66</v>
      </c>
      <c r="H181">
        <v>56</v>
      </c>
    </row>
    <row r="182" spans="1:8" x14ac:dyDescent="0.3">
      <c r="A182" t="s">
        <v>74</v>
      </c>
      <c r="B182">
        <v>2020</v>
      </c>
      <c r="C182" t="s">
        <v>147</v>
      </c>
      <c r="D182" t="s">
        <v>148</v>
      </c>
      <c r="E182" t="s">
        <v>65</v>
      </c>
      <c r="F182">
        <v>3400</v>
      </c>
      <c r="G182" t="s">
        <v>66</v>
      </c>
      <c r="H182">
        <v>56</v>
      </c>
    </row>
    <row r="183" spans="1:8" x14ac:dyDescent="0.3">
      <c r="A183" t="s">
        <v>74</v>
      </c>
      <c r="B183">
        <v>2021</v>
      </c>
      <c r="C183" t="s">
        <v>147</v>
      </c>
      <c r="D183" t="s">
        <v>148</v>
      </c>
      <c r="E183" t="s">
        <v>65</v>
      </c>
      <c r="F183">
        <v>3400</v>
      </c>
      <c r="G183" t="s">
        <v>66</v>
      </c>
      <c r="H183">
        <v>54</v>
      </c>
    </row>
    <row r="184" spans="1:8" x14ac:dyDescent="0.3">
      <c r="A184" t="s">
        <v>75</v>
      </c>
      <c r="B184">
        <v>2014</v>
      </c>
      <c r="C184" t="s">
        <v>147</v>
      </c>
      <c r="D184" t="s">
        <v>148</v>
      </c>
      <c r="E184" t="s">
        <v>65</v>
      </c>
      <c r="F184">
        <v>3650</v>
      </c>
      <c r="G184" t="s">
        <v>66</v>
      </c>
      <c r="H184">
        <v>21</v>
      </c>
    </row>
    <row r="185" spans="1:8" x14ac:dyDescent="0.3">
      <c r="A185" t="s">
        <v>75</v>
      </c>
      <c r="B185">
        <v>2015</v>
      </c>
      <c r="C185" t="s">
        <v>147</v>
      </c>
      <c r="D185" t="s">
        <v>148</v>
      </c>
      <c r="E185" t="s">
        <v>65</v>
      </c>
      <c r="F185">
        <v>3650</v>
      </c>
      <c r="G185" t="s">
        <v>66</v>
      </c>
      <c r="H185">
        <v>36</v>
      </c>
    </row>
    <row r="186" spans="1:8" x14ac:dyDescent="0.3">
      <c r="A186" t="s">
        <v>75</v>
      </c>
      <c r="B186">
        <v>2016</v>
      </c>
      <c r="C186" t="s">
        <v>147</v>
      </c>
      <c r="D186" t="s">
        <v>148</v>
      </c>
      <c r="E186" t="s">
        <v>65</v>
      </c>
      <c r="F186">
        <v>3650</v>
      </c>
      <c r="G186" t="s">
        <v>66</v>
      </c>
      <c r="H186">
        <v>30</v>
      </c>
    </row>
    <row r="187" spans="1:8" x14ac:dyDescent="0.3">
      <c r="A187" t="s">
        <v>75</v>
      </c>
      <c r="B187">
        <v>2017</v>
      </c>
      <c r="C187" t="s">
        <v>147</v>
      </c>
      <c r="D187" t="s">
        <v>148</v>
      </c>
      <c r="E187" t="s">
        <v>65</v>
      </c>
      <c r="F187">
        <v>3650</v>
      </c>
      <c r="G187" t="s">
        <v>66</v>
      </c>
      <c r="H187">
        <v>42</v>
      </c>
    </row>
    <row r="188" spans="1:8" x14ac:dyDescent="0.3">
      <c r="A188" t="s">
        <v>75</v>
      </c>
      <c r="B188">
        <v>2018</v>
      </c>
      <c r="C188" t="s">
        <v>147</v>
      </c>
      <c r="D188" t="s">
        <v>148</v>
      </c>
      <c r="E188" t="s">
        <v>65</v>
      </c>
      <c r="F188">
        <v>3650</v>
      </c>
      <c r="G188" t="s">
        <v>66</v>
      </c>
      <c r="H188">
        <v>39</v>
      </c>
    </row>
    <row r="189" spans="1:8" x14ac:dyDescent="0.3">
      <c r="A189" t="s">
        <v>75</v>
      </c>
      <c r="B189">
        <v>2019</v>
      </c>
      <c r="C189" t="s">
        <v>147</v>
      </c>
      <c r="D189" t="s">
        <v>148</v>
      </c>
      <c r="E189" t="s">
        <v>65</v>
      </c>
      <c r="F189">
        <v>3650</v>
      </c>
      <c r="G189" t="s">
        <v>66</v>
      </c>
      <c r="H189">
        <v>39</v>
      </c>
    </row>
    <row r="190" spans="1:8" x14ac:dyDescent="0.3">
      <c r="A190" t="s">
        <v>75</v>
      </c>
      <c r="B190">
        <v>2020</v>
      </c>
      <c r="C190" t="s">
        <v>147</v>
      </c>
      <c r="D190" t="s">
        <v>148</v>
      </c>
      <c r="E190" t="s">
        <v>65</v>
      </c>
      <c r="F190">
        <v>3650</v>
      </c>
      <c r="G190" t="s">
        <v>66</v>
      </c>
      <c r="H190">
        <v>46</v>
      </c>
    </row>
    <row r="191" spans="1:8" x14ac:dyDescent="0.3">
      <c r="A191" t="s">
        <v>75</v>
      </c>
      <c r="B191">
        <v>2021</v>
      </c>
      <c r="C191" t="s">
        <v>147</v>
      </c>
      <c r="D191" t="s">
        <v>148</v>
      </c>
      <c r="E191" t="s">
        <v>65</v>
      </c>
      <c r="F191">
        <v>3650</v>
      </c>
      <c r="G191" t="s">
        <v>66</v>
      </c>
      <c r="H191">
        <v>52</v>
      </c>
    </row>
    <row r="192" spans="1:8" x14ac:dyDescent="0.3">
      <c r="A192" t="s">
        <v>179</v>
      </c>
      <c r="B192">
        <v>2014</v>
      </c>
      <c r="C192" t="s">
        <v>147</v>
      </c>
      <c r="D192" t="s">
        <v>148</v>
      </c>
      <c r="E192" t="s">
        <v>65</v>
      </c>
      <c r="F192">
        <v>16100</v>
      </c>
      <c r="G192" t="s">
        <v>66</v>
      </c>
      <c r="H192">
        <v>71</v>
      </c>
    </row>
    <row r="193" spans="1:8" x14ac:dyDescent="0.3">
      <c r="A193" t="s">
        <v>179</v>
      </c>
      <c r="B193">
        <v>2015</v>
      </c>
      <c r="C193" t="s">
        <v>147</v>
      </c>
      <c r="D193" t="s">
        <v>148</v>
      </c>
      <c r="E193" t="s">
        <v>65</v>
      </c>
      <c r="F193">
        <v>16100</v>
      </c>
      <c r="G193" t="s">
        <v>66</v>
      </c>
      <c r="H193">
        <v>96</v>
      </c>
    </row>
    <row r="194" spans="1:8" x14ac:dyDescent="0.3">
      <c r="A194" t="s">
        <v>179</v>
      </c>
      <c r="B194">
        <v>2016</v>
      </c>
      <c r="C194" t="s">
        <v>147</v>
      </c>
      <c r="D194" t="s">
        <v>148</v>
      </c>
      <c r="E194" t="s">
        <v>65</v>
      </c>
      <c r="F194">
        <v>16100</v>
      </c>
      <c r="G194" t="s">
        <v>66</v>
      </c>
      <c r="H194">
        <v>100</v>
      </c>
    </row>
    <row r="195" spans="1:8" x14ac:dyDescent="0.3">
      <c r="A195" t="s">
        <v>179</v>
      </c>
      <c r="B195">
        <v>2017</v>
      </c>
      <c r="C195" t="s">
        <v>147</v>
      </c>
      <c r="D195" t="s">
        <v>148</v>
      </c>
      <c r="E195" t="s">
        <v>65</v>
      </c>
      <c r="F195">
        <v>16100</v>
      </c>
      <c r="G195" t="s">
        <v>66</v>
      </c>
      <c r="H195">
        <v>123</v>
      </c>
    </row>
    <row r="196" spans="1:8" x14ac:dyDescent="0.3">
      <c r="A196" t="s">
        <v>179</v>
      </c>
      <c r="B196">
        <v>2018</v>
      </c>
      <c r="C196" t="s">
        <v>147</v>
      </c>
      <c r="D196" t="s">
        <v>148</v>
      </c>
      <c r="E196" t="s">
        <v>65</v>
      </c>
      <c r="F196">
        <v>16100</v>
      </c>
      <c r="G196" t="s">
        <v>66</v>
      </c>
      <c r="H196">
        <v>84</v>
      </c>
    </row>
    <row r="197" spans="1:8" x14ac:dyDescent="0.3">
      <c r="A197" t="s">
        <v>179</v>
      </c>
      <c r="B197">
        <v>2019</v>
      </c>
      <c r="C197" t="s">
        <v>147</v>
      </c>
      <c r="D197" t="s">
        <v>148</v>
      </c>
      <c r="E197" t="s">
        <v>65</v>
      </c>
      <c r="F197">
        <v>16100</v>
      </c>
      <c r="G197" t="s">
        <v>66</v>
      </c>
      <c r="H197">
        <v>129</v>
      </c>
    </row>
    <row r="198" spans="1:8" x14ac:dyDescent="0.3">
      <c r="A198" t="s">
        <v>179</v>
      </c>
      <c r="B198">
        <v>2020</v>
      </c>
      <c r="C198" t="s">
        <v>147</v>
      </c>
      <c r="D198" t="s">
        <v>148</v>
      </c>
      <c r="E198" t="s">
        <v>65</v>
      </c>
      <c r="F198">
        <v>16100</v>
      </c>
      <c r="G198" t="s">
        <v>66</v>
      </c>
      <c r="H198">
        <v>108</v>
      </c>
    </row>
    <row r="199" spans="1:8" x14ac:dyDescent="0.3">
      <c r="A199" t="s">
        <v>179</v>
      </c>
      <c r="B199">
        <v>2021</v>
      </c>
      <c r="C199" t="s">
        <v>147</v>
      </c>
      <c r="D199" t="s">
        <v>148</v>
      </c>
      <c r="E199" t="s">
        <v>65</v>
      </c>
      <c r="F199">
        <v>16100</v>
      </c>
      <c r="G199" t="s">
        <v>66</v>
      </c>
      <c r="H199">
        <v>92</v>
      </c>
    </row>
    <row r="200" spans="1:8" x14ac:dyDescent="0.3">
      <c r="A200" t="s">
        <v>76</v>
      </c>
      <c r="B200">
        <v>2014</v>
      </c>
      <c r="C200" t="s">
        <v>147</v>
      </c>
      <c r="D200" t="s">
        <v>148</v>
      </c>
      <c r="E200" t="s">
        <v>65</v>
      </c>
      <c r="F200">
        <v>5300</v>
      </c>
      <c r="G200" t="s">
        <v>66</v>
      </c>
      <c r="H200">
        <v>8</v>
      </c>
    </row>
    <row r="201" spans="1:8" x14ac:dyDescent="0.3">
      <c r="A201" t="s">
        <v>76</v>
      </c>
      <c r="B201">
        <v>2015</v>
      </c>
      <c r="C201" t="s">
        <v>147</v>
      </c>
      <c r="D201" t="s">
        <v>148</v>
      </c>
      <c r="E201" t="s">
        <v>65</v>
      </c>
      <c r="F201">
        <v>5300</v>
      </c>
      <c r="G201" t="s">
        <v>66</v>
      </c>
      <c r="H201">
        <v>17</v>
      </c>
    </row>
    <row r="202" spans="1:8" x14ac:dyDescent="0.3">
      <c r="A202" t="s">
        <v>76</v>
      </c>
      <c r="B202">
        <v>2016</v>
      </c>
      <c r="C202" t="s">
        <v>147</v>
      </c>
      <c r="D202" t="s">
        <v>148</v>
      </c>
      <c r="E202" t="s">
        <v>65</v>
      </c>
      <c r="F202">
        <v>5300</v>
      </c>
      <c r="G202" t="s">
        <v>66</v>
      </c>
      <c r="H202">
        <v>14</v>
      </c>
    </row>
    <row r="203" spans="1:8" x14ac:dyDescent="0.3">
      <c r="A203" t="s">
        <v>76</v>
      </c>
      <c r="B203">
        <v>2017</v>
      </c>
      <c r="C203" t="s">
        <v>147</v>
      </c>
      <c r="D203" t="s">
        <v>148</v>
      </c>
      <c r="E203" t="s">
        <v>65</v>
      </c>
      <c r="F203">
        <v>5300</v>
      </c>
      <c r="G203" t="s">
        <v>66</v>
      </c>
      <c r="H203">
        <v>13</v>
      </c>
    </row>
    <row r="204" spans="1:8" x14ac:dyDescent="0.3">
      <c r="A204" t="s">
        <v>76</v>
      </c>
      <c r="B204">
        <v>2018</v>
      </c>
      <c r="C204" t="s">
        <v>147</v>
      </c>
      <c r="D204" t="s">
        <v>148</v>
      </c>
      <c r="E204" t="s">
        <v>65</v>
      </c>
      <c r="F204">
        <v>5300</v>
      </c>
      <c r="G204" t="s">
        <v>66</v>
      </c>
      <c r="H204">
        <v>17</v>
      </c>
    </row>
    <row r="205" spans="1:8" x14ac:dyDescent="0.3">
      <c r="A205" t="s">
        <v>76</v>
      </c>
      <c r="B205">
        <v>2019</v>
      </c>
      <c r="C205" t="s">
        <v>147</v>
      </c>
      <c r="D205" t="s">
        <v>148</v>
      </c>
      <c r="E205" t="s">
        <v>65</v>
      </c>
      <c r="F205">
        <v>5300</v>
      </c>
      <c r="G205" t="s">
        <v>66</v>
      </c>
      <c r="H205">
        <v>9</v>
      </c>
    </row>
    <row r="206" spans="1:8" x14ac:dyDescent="0.3">
      <c r="A206" t="s">
        <v>76</v>
      </c>
      <c r="B206">
        <v>2020</v>
      </c>
      <c r="C206" t="s">
        <v>147</v>
      </c>
      <c r="D206" t="s">
        <v>148</v>
      </c>
      <c r="E206" t="s">
        <v>65</v>
      </c>
      <c r="F206">
        <v>5300</v>
      </c>
      <c r="G206" t="s">
        <v>66</v>
      </c>
      <c r="H206">
        <v>11</v>
      </c>
    </row>
    <row r="207" spans="1:8" x14ac:dyDescent="0.3">
      <c r="A207" t="s">
        <v>76</v>
      </c>
      <c r="B207">
        <v>2021</v>
      </c>
      <c r="C207" t="s">
        <v>147</v>
      </c>
      <c r="D207" t="s">
        <v>148</v>
      </c>
      <c r="E207" t="s">
        <v>65</v>
      </c>
      <c r="F207">
        <v>5300</v>
      </c>
      <c r="G207" t="s">
        <v>66</v>
      </c>
      <c r="H207">
        <v>14</v>
      </c>
    </row>
    <row r="208" spans="1:8" x14ac:dyDescent="0.3">
      <c r="A208" t="s">
        <v>180</v>
      </c>
      <c r="B208">
        <v>2017</v>
      </c>
      <c r="C208" t="s">
        <v>147</v>
      </c>
      <c r="D208" t="s">
        <v>148</v>
      </c>
      <c r="E208" t="s">
        <v>65</v>
      </c>
      <c r="F208">
        <v>5990</v>
      </c>
      <c r="G208" t="s">
        <v>66</v>
      </c>
      <c r="H208">
        <v>1</v>
      </c>
    </row>
    <row r="209" spans="1:8" x14ac:dyDescent="0.3">
      <c r="A209" t="s">
        <v>180</v>
      </c>
      <c r="B209">
        <v>2018</v>
      </c>
      <c r="C209" t="s">
        <v>147</v>
      </c>
      <c r="D209" t="s">
        <v>148</v>
      </c>
      <c r="E209" t="s">
        <v>65</v>
      </c>
      <c r="F209">
        <v>5990</v>
      </c>
      <c r="G209" t="s">
        <v>66</v>
      </c>
      <c r="H209">
        <v>1</v>
      </c>
    </row>
    <row r="210" spans="1:8" x14ac:dyDescent="0.3">
      <c r="A210" t="s">
        <v>180</v>
      </c>
      <c r="B210">
        <v>2021</v>
      </c>
      <c r="C210" t="s">
        <v>147</v>
      </c>
      <c r="D210" t="s">
        <v>148</v>
      </c>
      <c r="E210" t="s">
        <v>65</v>
      </c>
      <c r="F210">
        <v>5990</v>
      </c>
      <c r="G210" t="s">
        <v>66</v>
      </c>
      <c r="H210">
        <v>2</v>
      </c>
    </row>
    <row r="211" spans="1:8" x14ac:dyDescent="0.3">
      <c r="A211" t="s">
        <v>77</v>
      </c>
      <c r="B211">
        <v>2014</v>
      </c>
      <c r="C211" t="s">
        <v>147</v>
      </c>
      <c r="D211" t="s">
        <v>148</v>
      </c>
      <c r="E211" t="s">
        <v>65</v>
      </c>
      <c r="F211">
        <v>5500</v>
      </c>
      <c r="G211" t="s">
        <v>66</v>
      </c>
      <c r="H211">
        <v>13</v>
      </c>
    </row>
    <row r="212" spans="1:8" x14ac:dyDescent="0.3">
      <c r="A212" t="s">
        <v>77</v>
      </c>
      <c r="B212">
        <v>2015</v>
      </c>
      <c r="C212" t="s">
        <v>147</v>
      </c>
      <c r="D212" t="s">
        <v>148</v>
      </c>
      <c r="E212" t="s">
        <v>65</v>
      </c>
      <c r="F212">
        <v>5500</v>
      </c>
      <c r="G212" t="s">
        <v>66</v>
      </c>
      <c r="H212">
        <v>13</v>
      </c>
    </row>
    <row r="213" spans="1:8" x14ac:dyDescent="0.3">
      <c r="A213" t="s">
        <v>77</v>
      </c>
      <c r="B213">
        <v>2016</v>
      </c>
      <c r="C213" t="s">
        <v>147</v>
      </c>
      <c r="D213" t="s">
        <v>148</v>
      </c>
      <c r="E213" t="s">
        <v>65</v>
      </c>
      <c r="F213">
        <v>5500</v>
      </c>
      <c r="G213" t="s">
        <v>66</v>
      </c>
      <c r="H213">
        <v>26</v>
      </c>
    </row>
    <row r="214" spans="1:8" x14ac:dyDescent="0.3">
      <c r="A214" t="s">
        <v>77</v>
      </c>
      <c r="B214">
        <v>2017</v>
      </c>
      <c r="C214" t="s">
        <v>147</v>
      </c>
      <c r="D214" t="s">
        <v>148</v>
      </c>
      <c r="E214" t="s">
        <v>65</v>
      </c>
      <c r="F214">
        <v>5500</v>
      </c>
      <c r="G214" t="s">
        <v>66</v>
      </c>
      <c r="H214">
        <v>13</v>
      </c>
    </row>
    <row r="215" spans="1:8" x14ac:dyDescent="0.3">
      <c r="A215" t="s">
        <v>77</v>
      </c>
      <c r="B215">
        <v>2018</v>
      </c>
      <c r="C215" t="s">
        <v>147</v>
      </c>
      <c r="D215" t="s">
        <v>148</v>
      </c>
      <c r="E215" t="s">
        <v>65</v>
      </c>
      <c r="F215">
        <v>5500</v>
      </c>
      <c r="G215" t="s">
        <v>66</v>
      </c>
      <c r="H215">
        <v>8</v>
      </c>
    </row>
    <row r="216" spans="1:8" x14ac:dyDescent="0.3">
      <c r="A216" t="s">
        <v>77</v>
      </c>
      <c r="B216">
        <v>2019</v>
      </c>
      <c r="C216" t="s">
        <v>147</v>
      </c>
      <c r="D216" t="s">
        <v>148</v>
      </c>
      <c r="E216" t="s">
        <v>65</v>
      </c>
      <c r="F216">
        <v>5500</v>
      </c>
      <c r="G216" t="s">
        <v>66</v>
      </c>
      <c r="H216">
        <v>10</v>
      </c>
    </row>
    <row r="217" spans="1:8" x14ac:dyDescent="0.3">
      <c r="A217" t="s">
        <v>77</v>
      </c>
      <c r="B217">
        <v>2020</v>
      </c>
      <c r="C217" t="s">
        <v>147</v>
      </c>
      <c r="D217" t="s">
        <v>148</v>
      </c>
      <c r="E217" t="s">
        <v>65</v>
      </c>
      <c r="F217">
        <v>5500</v>
      </c>
      <c r="G217" t="s">
        <v>66</v>
      </c>
      <c r="H217">
        <v>12</v>
      </c>
    </row>
    <row r="218" spans="1:8" x14ac:dyDescent="0.3">
      <c r="A218" t="s">
        <v>77</v>
      </c>
      <c r="B218">
        <v>2021</v>
      </c>
      <c r="C218" t="s">
        <v>147</v>
      </c>
      <c r="D218" t="s">
        <v>148</v>
      </c>
      <c r="E218" t="s">
        <v>65</v>
      </c>
      <c r="F218">
        <v>5500</v>
      </c>
      <c r="G218" t="s">
        <v>66</v>
      </c>
      <c r="H218">
        <v>11</v>
      </c>
    </row>
    <row r="219" spans="1:8" x14ac:dyDescent="0.3">
      <c r="A219" t="s">
        <v>78</v>
      </c>
      <c r="B219">
        <v>2014</v>
      </c>
      <c r="C219" t="s">
        <v>147</v>
      </c>
      <c r="D219" t="s">
        <v>148</v>
      </c>
      <c r="E219" t="s">
        <v>65</v>
      </c>
      <c r="F219">
        <v>6775</v>
      </c>
      <c r="G219" t="s">
        <v>66</v>
      </c>
      <c r="H219">
        <v>6</v>
      </c>
    </row>
    <row r="220" spans="1:8" x14ac:dyDescent="0.3">
      <c r="A220" t="s">
        <v>78</v>
      </c>
      <c r="B220">
        <v>2015</v>
      </c>
      <c r="C220" t="s">
        <v>147</v>
      </c>
      <c r="D220" t="s">
        <v>148</v>
      </c>
      <c r="E220" t="s">
        <v>65</v>
      </c>
      <c r="F220">
        <v>6775</v>
      </c>
      <c r="G220" t="s">
        <v>66</v>
      </c>
      <c r="H220">
        <v>3</v>
      </c>
    </row>
    <row r="221" spans="1:8" x14ac:dyDescent="0.3">
      <c r="A221" t="s">
        <v>78</v>
      </c>
      <c r="B221">
        <v>2016</v>
      </c>
      <c r="C221" t="s">
        <v>147</v>
      </c>
      <c r="D221" t="s">
        <v>148</v>
      </c>
      <c r="E221" t="s">
        <v>65</v>
      </c>
      <c r="F221">
        <v>6775</v>
      </c>
      <c r="G221" t="s">
        <v>66</v>
      </c>
      <c r="H221">
        <v>2</v>
      </c>
    </row>
    <row r="222" spans="1:8" x14ac:dyDescent="0.3">
      <c r="A222" t="s">
        <v>78</v>
      </c>
      <c r="B222">
        <v>2017</v>
      </c>
      <c r="C222" t="s">
        <v>147</v>
      </c>
      <c r="D222" t="s">
        <v>148</v>
      </c>
      <c r="E222" t="s">
        <v>65</v>
      </c>
      <c r="F222">
        <v>6775</v>
      </c>
      <c r="G222" t="s">
        <v>66</v>
      </c>
      <c r="H222">
        <v>2</v>
      </c>
    </row>
    <row r="223" spans="1:8" x14ac:dyDescent="0.3">
      <c r="A223" t="s">
        <v>78</v>
      </c>
      <c r="B223">
        <v>2018</v>
      </c>
      <c r="C223" t="s">
        <v>147</v>
      </c>
      <c r="D223" t="s">
        <v>148</v>
      </c>
      <c r="E223" t="s">
        <v>65</v>
      </c>
      <c r="F223">
        <v>6775</v>
      </c>
      <c r="G223" t="s">
        <v>66</v>
      </c>
      <c r="H223">
        <v>4</v>
      </c>
    </row>
    <row r="224" spans="1:8" x14ac:dyDescent="0.3">
      <c r="A224" t="s">
        <v>78</v>
      </c>
      <c r="B224">
        <v>2019</v>
      </c>
      <c r="C224" t="s">
        <v>147</v>
      </c>
      <c r="D224" t="s">
        <v>148</v>
      </c>
      <c r="E224" t="s">
        <v>65</v>
      </c>
      <c r="F224">
        <v>6775</v>
      </c>
      <c r="G224" t="s">
        <v>66</v>
      </c>
      <c r="H224">
        <v>4</v>
      </c>
    </row>
    <row r="225" spans="1:8" x14ac:dyDescent="0.3">
      <c r="A225" t="s">
        <v>78</v>
      </c>
      <c r="B225">
        <v>2020</v>
      </c>
      <c r="C225" t="s">
        <v>147</v>
      </c>
      <c r="D225" t="s">
        <v>148</v>
      </c>
      <c r="E225" t="s">
        <v>65</v>
      </c>
      <c r="F225">
        <v>6775</v>
      </c>
      <c r="G225" t="s">
        <v>66</v>
      </c>
      <c r="H225">
        <v>2</v>
      </c>
    </row>
    <row r="226" spans="1:8" x14ac:dyDescent="0.3">
      <c r="A226" t="s">
        <v>78</v>
      </c>
      <c r="B226">
        <v>2021</v>
      </c>
      <c r="C226" t="s">
        <v>147</v>
      </c>
      <c r="D226" t="s">
        <v>148</v>
      </c>
      <c r="E226" t="s">
        <v>65</v>
      </c>
      <c r="F226">
        <v>6775</v>
      </c>
      <c r="G226" t="s">
        <v>66</v>
      </c>
      <c r="H226">
        <v>3</v>
      </c>
    </row>
    <row r="227" spans="1:8" x14ac:dyDescent="0.3">
      <c r="A227" t="s">
        <v>181</v>
      </c>
      <c r="B227">
        <v>2015</v>
      </c>
      <c r="C227" t="s">
        <v>147</v>
      </c>
      <c r="D227" t="s">
        <v>148</v>
      </c>
      <c r="E227" t="s">
        <v>65</v>
      </c>
      <c r="F227">
        <v>3368</v>
      </c>
      <c r="G227" t="s">
        <v>66</v>
      </c>
      <c r="H227">
        <v>1</v>
      </c>
    </row>
    <row r="228" spans="1:8" x14ac:dyDescent="0.3">
      <c r="A228" t="s">
        <v>181</v>
      </c>
      <c r="B228">
        <v>2016</v>
      </c>
      <c r="C228" t="s">
        <v>147</v>
      </c>
      <c r="D228" t="s">
        <v>148</v>
      </c>
      <c r="E228" t="s">
        <v>65</v>
      </c>
      <c r="F228">
        <v>3368</v>
      </c>
      <c r="G228" t="s">
        <v>66</v>
      </c>
      <c r="H228">
        <v>5</v>
      </c>
    </row>
    <row r="229" spans="1:8" x14ac:dyDescent="0.3">
      <c r="A229" t="s">
        <v>181</v>
      </c>
      <c r="B229">
        <v>2017</v>
      </c>
      <c r="C229" t="s">
        <v>147</v>
      </c>
      <c r="D229" t="s">
        <v>148</v>
      </c>
      <c r="E229" t="s">
        <v>65</v>
      </c>
      <c r="F229">
        <v>3368</v>
      </c>
      <c r="G229" t="s">
        <v>66</v>
      </c>
      <c r="H229">
        <v>5</v>
      </c>
    </row>
    <row r="230" spans="1:8" x14ac:dyDescent="0.3">
      <c r="A230" t="s">
        <v>181</v>
      </c>
      <c r="B230">
        <v>2018</v>
      </c>
      <c r="C230" t="s">
        <v>147</v>
      </c>
      <c r="D230" t="s">
        <v>148</v>
      </c>
      <c r="E230" t="s">
        <v>65</v>
      </c>
      <c r="F230">
        <v>3368</v>
      </c>
      <c r="G230" t="s">
        <v>66</v>
      </c>
      <c r="H230">
        <v>3</v>
      </c>
    </row>
    <row r="231" spans="1:8" x14ac:dyDescent="0.3">
      <c r="A231" t="s">
        <v>181</v>
      </c>
      <c r="B231">
        <v>2019</v>
      </c>
      <c r="C231" t="s">
        <v>147</v>
      </c>
      <c r="D231" t="s">
        <v>148</v>
      </c>
      <c r="E231" t="s">
        <v>65</v>
      </c>
      <c r="F231">
        <v>3368</v>
      </c>
      <c r="G231" t="s">
        <v>66</v>
      </c>
      <c r="H231">
        <v>4</v>
      </c>
    </row>
    <row r="232" spans="1:8" x14ac:dyDescent="0.3">
      <c r="A232" t="s">
        <v>181</v>
      </c>
      <c r="B232">
        <v>2020</v>
      </c>
      <c r="C232" t="s">
        <v>147</v>
      </c>
      <c r="D232" t="s">
        <v>148</v>
      </c>
      <c r="E232" t="s">
        <v>65</v>
      </c>
      <c r="F232">
        <v>3368</v>
      </c>
      <c r="G232" t="s">
        <v>66</v>
      </c>
      <c r="H232">
        <v>3</v>
      </c>
    </row>
    <row r="233" spans="1:8" x14ac:dyDescent="0.3">
      <c r="A233" t="s">
        <v>181</v>
      </c>
      <c r="B233">
        <v>2021</v>
      </c>
      <c r="C233" t="s">
        <v>147</v>
      </c>
      <c r="D233" t="s">
        <v>148</v>
      </c>
      <c r="E233" t="s">
        <v>65</v>
      </c>
      <c r="F233">
        <v>3368</v>
      </c>
      <c r="G233" t="s">
        <v>66</v>
      </c>
      <c r="H233">
        <v>1</v>
      </c>
    </row>
    <row r="234" spans="1:8" x14ac:dyDescent="0.3">
      <c r="A234" t="s">
        <v>79</v>
      </c>
      <c r="B234">
        <v>2015</v>
      </c>
      <c r="C234" t="s">
        <v>147</v>
      </c>
      <c r="D234" t="s">
        <v>148</v>
      </c>
      <c r="E234" t="s">
        <v>65</v>
      </c>
      <c r="F234">
        <v>10097</v>
      </c>
      <c r="G234" t="s">
        <v>66</v>
      </c>
      <c r="H234">
        <v>8</v>
      </c>
    </row>
    <row r="235" spans="1:8" x14ac:dyDescent="0.3">
      <c r="A235" t="s">
        <v>79</v>
      </c>
      <c r="B235">
        <v>2016</v>
      </c>
      <c r="C235" t="s">
        <v>147</v>
      </c>
      <c r="D235" t="s">
        <v>148</v>
      </c>
      <c r="E235" t="s">
        <v>65</v>
      </c>
      <c r="F235">
        <v>10097</v>
      </c>
      <c r="G235" t="s">
        <v>66</v>
      </c>
      <c r="H235">
        <v>4</v>
      </c>
    </row>
    <row r="236" spans="1:8" x14ac:dyDescent="0.3">
      <c r="A236" t="s">
        <v>79</v>
      </c>
      <c r="B236">
        <v>2017</v>
      </c>
      <c r="C236" t="s">
        <v>147</v>
      </c>
      <c r="D236" t="s">
        <v>148</v>
      </c>
      <c r="E236" t="s">
        <v>65</v>
      </c>
      <c r="F236">
        <v>10097</v>
      </c>
      <c r="G236" t="s">
        <v>66</v>
      </c>
      <c r="H236">
        <v>3</v>
      </c>
    </row>
    <row r="237" spans="1:8" x14ac:dyDescent="0.3">
      <c r="A237" t="s">
        <v>79</v>
      </c>
      <c r="B237">
        <v>2018</v>
      </c>
      <c r="C237" t="s">
        <v>147</v>
      </c>
      <c r="D237" t="s">
        <v>148</v>
      </c>
      <c r="E237" t="s">
        <v>65</v>
      </c>
      <c r="F237">
        <v>10097</v>
      </c>
      <c r="G237" t="s">
        <v>66</v>
      </c>
      <c r="H237">
        <v>1</v>
      </c>
    </row>
    <row r="238" spans="1:8" x14ac:dyDescent="0.3">
      <c r="A238" t="s">
        <v>79</v>
      </c>
      <c r="B238">
        <v>2021</v>
      </c>
      <c r="C238" t="s">
        <v>147</v>
      </c>
      <c r="D238" t="s">
        <v>148</v>
      </c>
      <c r="E238" t="s">
        <v>65</v>
      </c>
      <c r="F238">
        <v>10097</v>
      </c>
      <c r="G238" t="s">
        <v>66</v>
      </c>
      <c r="H238">
        <v>1</v>
      </c>
    </row>
    <row r="239" spans="1:8" x14ac:dyDescent="0.3">
      <c r="A239" t="s">
        <v>182</v>
      </c>
      <c r="B239">
        <v>2015</v>
      </c>
      <c r="C239" t="s">
        <v>147</v>
      </c>
      <c r="D239" t="s">
        <v>148</v>
      </c>
      <c r="E239" t="s">
        <v>65</v>
      </c>
      <c r="F239">
        <v>10400</v>
      </c>
      <c r="G239" t="s">
        <v>72</v>
      </c>
      <c r="H239">
        <v>2</v>
      </c>
    </row>
    <row r="240" spans="1:8" x14ac:dyDescent="0.3">
      <c r="A240" t="s">
        <v>182</v>
      </c>
      <c r="B240">
        <v>2018</v>
      </c>
      <c r="C240" t="s">
        <v>147</v>
      </c>
      <c r="D240" t="s">
        <v>148</v>
      </c>
      <c r="E240" t="s">
        <v>65</v>
      </c>
      <c r="F240">
        <v>10400</v>
      </c>
      <c r="G240" t="s">
        <v>72</v>
      </c>
      <c r="H240">
        <v>3</v>
      </c>
    </row>
    <row r="241" spans="1:8" x14ac:dyDescent="0.3">
      <c r="A241" t="s">
        <v>182</v>
      </c>
      <c r="B241">
        <v>2019</v>
      </c>
      <c r="C241" t="s">
        <v>147</v>
      </c>
      <c r="D241" t="s">
        <v>148</v>
      </c>
      <c r="E241" t="s">
        <v>65</v>
      </c>
      <c r="F241">
        <v>10400</v>
      </c>
      <c r="G241" t="s">
        <v>72</v>
      </c>
      <c r="H241">
        <v>1</v>
      </c>
    </row>
    <row r="242" spans="1:8" x14ac:dyDescent="0.3">
      <c r="A242" t="s">
        <v>80</v>
      </c>
      <c r="B242">
        <v>2014</v>
      </c>
      <c r="C242" t="s">
        <v>147</v>
      </c>
      <c r="D242" t="s">
        <v>148</v>
      </c>
      <c r="E242" t="s">
        <v>65</v>
      </c>
      <c r="F242">
        <v>10097</v>
      </c>
      <c r="G242" t="s">
        <v>72</v>
      </c>
      <c r="H242">
        <v>222</v>
      </c>
    </row>
    <row r="243" spans="1:8" x14ac:dyDescent="0.3">
      <c r="A243" t="s">
        <v>80</v>
      </c>
      <c r="B243">
        <v>2015</v>
      </c>
      <c r="C243" t="s">
        <v>147</v>
      </c>
      <c r="D243" t="s">
        <v>148</v>
      </c>
      <c r="E243" t="s">
        <v>65</v>
      </c>
      <c r="F243">
        <v>10097</v>
      </c>
      <c r="G243" t="s">
        <v>72</v>
      </c>
      <c r="H243">
        <v>429</v>
      </c>
    </row>
    <row r="244" spans="1:8" x14ac:dyDescent="0.3">
      <c r="A244" t="s">
        <v>80</v>
      </c>
      <c r="B244">
        <v>2016</v>
      </c>
      <c r="C244" t="s">
        <v>147</v>
      </c>
      <c r="D244" t="s">
        <v>148</v>
      </c>
      <c r="E244" t="s">
        <v>65</v>
      </c>
      <c r="F244">
        <v>10097</v>
      </c>
      <c r="G244" t="s">
        <v>72</v>
      </c>
      <c r="H244">
        <v>501</v>
      </c>
    </row>
    <row r="245" spans="1:8" x14ac:dyDescent="0.3">
      <c r="A245" t="s">
        <v>80</v>
      </c>
      <c r="B245">
        <v>2017</v>
      </c>
      <c r="C245" t="s">
        <v>147</v>
      </c>
      <c r="D245" t="s">
        <v>148</v>
      </c>
      <c r="E245" t="s">
        <v>65</v>
      </c>
      <c r="F245">
        <v>10097</v>
      </c>
      <c r="G245" t="s">
        <v>72</v>
      </c>
      <c r="H245">
        <v>347</v>
      </c>
    </row>
    <row r="246" spans="1:8" x14ac:dyDescent="0.3">
      <c r="A246" t="s">
        <v>80</v>
      </c>
      <c r="B246">
        <v>2018</v>
      </c>
      <c r="C246" t="s">
        <v>147</v>
      </c>
      <c r="D246" t="s">
        <v>148</v>
      </c>
      <c r="E246" t="s">
        <v>65</v>
      </c>
      <c r="F246">
        <v>10097</v>
      </c>
      <c r="G246" t="s">
        <v>72</v>
      </c>
      <c r="H246">
        <v>297</v>
      </c>
    </row>
    <row r="247" spans="1:8" x14ac:dyDescent="0.3">
      <c r="A247" t="s">
        <v>80</v>
      </c>
      <c r="B247">
        <v>2019</v>
      </c>
      <c r="C247" t="s">
        <v>147</v>
      </c>
      <c r="D247" t="s">
        <v>148</v>
      </c>
      <c r="E247" t="s">
        <v>65</v>
      </c>
      <c r="F247">
        <v>10097</v>
      </c>
      <c r="G247" t="s">
        <v>72</v>
      </c>
      <c r="H247">
        <v>259</v>
      </c>
    </row>
    <row r="248" spans="1:8" x14ac:dyDescent="0.3">
      <c r="A248" t="s">
        <v>80</v>
      </c>
      <c r="B248">
        <v>2020</v>
      </c>
      <c r="C248" t="s">
        <v>147</v>
      </c>
      <c r="D248" t="s">
        <v>148</v>
      </c>
      <c r="E248" t="s">
        <v>65</v>
      </c>
      <c r="F248">
        <v>10097</v>
      </c>
      <c r="G248" t="s">
        <v>72</v>
      </c>
      <c r="H248">
        <v>163</v>
      </c>
    </row>
    <row r="249" spans="1:8" x14ac:dyDescent="0.3">
      <c r="A249" t="s">
        <v>80</v>
      </c>
      <c r="B249">
        <v>2021</v>
      </c>
      <c r="C249" t="s">
        <v>147</v>
      </c>
      <c r="D249" t="s">
        <v>148</v>
      </c>
      <c r="E249" t="s">
        <v>65</v>
      </c>
      <c r="F249">
        <v>10097</v>
      </c>
      <c r="G249" t="s">
        <v>72</v>
      </c>
      <c r="H249">
        <v>111</v>
      </c>
    </row>
    <row r="250" spans="1:8" x14ac:dyDescent="0.3">
      <c r="A250" t="s">
        <v>183</v>
      </c>
      <c r="B250">
        <v>2014</v>
      </c>
      <c r="C250" t="s">
        <v>147</v>
      </c>
      <c r="D250" t="s">
        <v>148</v>
      </c>
      <c r="E250" t="s">
        <v>65</v>
      </c>
      <c r="F250">
        <v>1543</v>
      </c>
      <c r="G250" t="s">
        <v>72</v>
      </c>
      <c r="H250">
        <v>3</v>
      </c>
    </row>
    <row r="251" spans="1:8" x14ac:dyDescent="0.3">
      <c r="A251" t="s">
        <v>183</v>
      </c>
      <c r="B251">
        <v>2015</v>
      </c>
      <c r="C251" t="s">
        <v>147</v>
      </c>
      <c r="D251" t="s">
        <v>148</v>
      </c>
      <c r="E251" t="s">
        <v>65</v>
      </c>
      <c r="F251">
        <v>1543</v>
      </c>
      <c r="G251" t="s">
        <v>72</v>
      </c>
      <c r="H251">
        <v>14</v>
      </c>
    </row>
    <row r="252" spans="1:8" x14ac:dyDescent="0.3">
      <c r="A252" t="s">
        <v>183</v>
      </c>
      <c r="B252">
        <v>2017</v>
      </c>
      <c r="C252" t="s">
        <v>147</v>
      </c>
      <c r="D252" t="s">
        <v>148</v>
      </c>
      <c r="E252" t="s">
        <v>65</v>
      </c>
      <c r="F252">
        <v>1543</v>
      </c>
      <c r="G252" t="s">
        <v>72</v>
      </c>
      <c r="H252">
        <v>3</v>
      </c>
    </row>
    <row r="253" spans="1:8" x14ac:dyDescent="0.3">
      <c r="A253" t="s">
        <v>183</v>
      </c>
      <c r="B253">
        <v>2018</v>
      </c>
      <c r="C253" t="s">
        <v>147</v>
      </c>
      <c r="D253" t="s">
        <v>148</v>
      </c>
      <c r="E253" t="s">
        <v>65</v>
      </c>
      <c r="F253">
        <v>1543</v>
      </c>
      <c r="G253" t="s">
        <v>72</v>
      </c>
      <c r="H253">
        <v>2</v>
      </c>
    </row>
    <row r="254" spans="1:8" x14ac:dyDescent="0.3">
      <c r="A254" t="s">
        <v>183</v>
      </c>
      <c r="B254">
        <v>2019</v>
      </c>
      <c r="C254" t="s">
        <v>147</v>
      </c>
      <c r="D254" t="s">
        <v>148</v>
      </c>
      <c r="E254" t="s">
        <v>65</v>
      </c>
      <c r="F254">
        <v>1543</v>
      </c>
      <c r="G254" t="s">
        <v>72</v>
      </c>
      <c r="H254">
        <v>4</v>
      </c>
    </row>
    <row r="255" spans="1:8" x14ac:dyDescent="0.3">
      <c r="A255" t="s">
        <v>183</v>
      </c>
      <c r="B255">
        <v>2020</v>
      </c>
      <c r="C255" t="s">
        <v>147</v>
      </c>
      <c r="D255" t="s">
        <v>148</v>
      </c>
      <c r="E255" t="s">
        <v>65</v>
      </c>
      <c r="F255">
        <v>1543</v>
      </c>
      <c r="G255" t="s">
        <v>72</v>
      </c>
      <c r="H255">
        <v>12</v>
      </c>
    </row>
    <row r="256" spans="1:8" x14ac:dyDescent="0.3">
      <c r="A256" t="s">
        <v>183</v>
      </c>
      <c r="B256">
        <v>2021</v>
      </c>
      <c r="C256" t="s">
        <v>147</v>
      </c>
      <c r="D256" t="s">
        <v>148</v>
      </c>
      <c r="E256" t="s">
        <v>65</v>
      </c>
      <c r="F256">
        <v>1543</v>
      </c>
      <c r="G256" t="s">
        <v>72</v>
      </c>
      <c r="H256">
        <v>9</v>
      </c>
    </row>
    <row r="257" spans="1:8" x14ac:dyDescent="0.3">
      <c r="A257" t="s">
        <v>81</v>
      </c>
      <c r="B257">
        <v>2014</v>
      </c>
      <c r="C257" t="s">
        <v>147</v>
      </c>
      <c r="D257" t="s">
        <v>148</v>
      </c>
      <c r="E257" t="s">
        <v>65</v>
      </c>
      <c r="F257">
        <v>3325</v>
      </c>
      <c r="G257" t="s">
        <v>66</v>
      </c>
      <c r="H257">
        <v>3</v>
      </c>
    </row>
    <row r="258" spans="1:8" x14ac:dyDescent="0.3">
      <c r="A258" t="s">
        <v>81</v>
      </c>
      <c r="B258">
        <v>2015</v>
      </c>
      <c r="C258" t="s">
        <v>147</v>
      </c>
      <c r="D258" t="s">
        <v>148</v>
      </c>
      <c r="E258" t="s">
        <v>65</v>
      </c>
      <c r="F258">
        <v>3325</v>
      </c>
      <c r="G258" t="s">
        <v>66</v>
      </c>
      <c r="H258">
        <v>4</v>
      </c>
    </row>
    <row r="259" spans="1:8" x14ac:dyDescent="0.3">
      <c r="A259" t="s">
        <v>81</v>
      </c>
      <c r="B259">
        <v>2016</v>
      </c>
      <c r="C259" t="s">
        <v>147</v>
      </c>
      <c r="D259" t="s">
        <v>148</v>
      </c>
      <c r="E259" t="s">
        <v>65</v>
      </c>
      <c r="F259">
        <v>3325</v>
      </c>
      <c r="G259" t="s">
        <v>66</v>
      </c>
      <c r="H259">
        <v>5</v>
      </c>
    </row>
    <row r="260" spans="1:8" x14ac:dyDescent="0.3">
      <c r="A260" t="s">
        <v>81</v>
      </c>
      <c r="B260">
        <v>2017</v>
      </c>
      <c r="C260" t="s">
        <v>147</v>
      </c>
      <c r="D260" t="s">
        <v>148</v>
      </c>
      <c r="E260" t="s">
        <v>65</v>
      </c>
      <c r="F260">
        <v>3325</v>
      </c>
      <c r="G260" t="s">
        <v>66</v>
      </c>
      <c r="H260">
        <v>7</v>
      </c>
    </row>
    <row r="261" spans="1:8" x14ac:dyDescent="0.3">
      <c r="A261" t="s">
        <v>81</v>
      </c>
      <c r="B261">
        <v>2018</v>
      </c>
      <c r="C261" t="s">
        <v>147</v>
      </c>
      <c r="D261" t="s">
        <v>148</v>
      </c>
      <c r="E261" t="s">
        <v>65</v>
      </c>
      <c r="F261">
        <v>3325</v>
      </c>
      <c r="G261" t="s">
        <v>66</v>
      </c>
      <c r="H261">
        <v>9</v>
      </c>
    </row>
    <row r="262" spans="1:8" x14ac:dyDescent="0.3">
      <c r="A262" t="s">
        <v>81</v>
      </c>
      <c r="B262">
        <v>2019</v>
      </c>
      <c r="C262" t="s">
        <v>147</v>
      </c>
      <c r="D262" t="s">
        <v>148</v>
      </c>
      <c r="E262" t="s">
        <v>65</v>
      </c>
      <c r="F262">
        <v>3325</v>
      </c>
      <c r="G262" t="s">
        <v>66</v>
      </c>
      <c r="H262">
        <v>7</v>
      </c>
    </row>
    <row r="263" spans="1:8" x14ac:dyDescent="0.3">
      <c r="A263" t="s">
        <v>81</v>
      </c>
      <c r="B263">
        <v>2020</v>
      </c>
      <c r="C263" t="s">
        <v>147</v>
      </c>
      <c r="D263" t="s">
        <v>148</v>
      </c>
      <c r="E263" t="s">
        <v>65</v>
      </c>
      <c r="F263">
        <v>3325</v>
      </c>
      <c r="G263" t="s">
        <v>66</v>
      </c>
      <c r="H263">
        <v>1</v>
      </c>
    </row>
    <row r="264" spans="1:8" x14ac:dyDescent="0.3">
      <c r="A264" t="s">
        <v>81</v>
      </c>
      <c r="B264">
        <v>2021</v>
      </c>
      <c r="C264" t="s">
        <v>147</v>
      </c>
      <c r="D264" t="s">
        <v>148</v>
      </c>
      <c r="E264" t="s">
        <v>65</v>
      </c>
      <c r="F264">
        <v>3325</v>
      </c>
      <c r="G264" t="s">
        <v>66</v>
      </c>
      <c r="H264">
        <v>5</v>
      </c>
    </row>
    <row r="265" spans="1:8" x14ac:dyDescent="0.3">
      <c r="A265" t="s">
        <v>82</v>
      </c>
      <c r="B265">
        <v>2014</v>
      </c>
      <c r="C265" t="s">
        <v>147</v>
      </c>
      <c r="D265" t="s">
        <v>148</v>
      </c>
      <c r="E265" t="s">
        <v>65</v>
      </c>
      <c r="F265">
        <v>155000</v>
      </c>
      <c r="G265" t="s">
        <v>83</v>
      </c>
      <c r="H265">
        <v>41</v>
      </c>
    </row>
    <row r="266" spans="1:8" x14ac:dyDescent="0.3">
      <c r="A266" t="s">
        <v>82</v>
      </c>
      <c r="B266">
        <v>2015</v>
      </c>
      <c r="C266" t="s">
        <v>147</v>
      </c>
      <c r="D266" t="s">
        <v>148</v>
      </c>
      <c r="E266" t="s">
        <v>65</v>
      </c>
      <c r="F266">
        <v>155000</v>
      </c>
      <c r="G266" t="s">
        <v>83</v>
      </c>
      <c r="H266">
        <v>75</v>
      </c>
    </row>
    <row r="267" spans="1:8" x14ac:dyDescent="0.3">
      <c r="A267" t="s">
        <v>82</v>
      </c>
      <c r="B267">
        <v>2016</v>
      </c>
      <c r="C267" t="s">
        <v>147</v>
      </c>
      <c r="D267" t="s">
        <v>148</v>
      </c>
      <c r="E267" t="s">
        <v>65</v>
      </c>
      <c r="F267">
        <v>155000</v>
      </c>
      <c r="G267" t="s">
        <v>83</v>
      </c>
      <c r="H267">
        <v>57</v>
      </c>
    </row>
    <row r="268" spans="1:8" x14ac:dyDescent="0.3">
      <c r="A268" t="s">
        <v>82</v>
      </c>
      <c r="B268">
        <v>2017</v>
      </c>
      <c r="C268" t="s">
        <v>147</v>
      </c>
      <c r="D268" t="s">
        <v>148</v>
      </c>
      <c r="E268" t="s">
        <v>65</v>
      </c>
      <c r="F268">
        <v>155000</v>
      </c>
      <c r="G268" t="s">
        <v>83</v>
      </c>
      <c r="H268">
        <v>60</v>
      </c>
    </row>
    <row r="269" spans="1:8" x14ac:dyDescent="0.3">
      <c r="A269" t="s">
        <v>82</v>
      </c>
      <c r="B269">
        <v>2018</v>
      </c>
      <c r="C269" t="s">
        <v>147</v>
      </c>
      <c r="D269" t="s">
        <v>148</v>
      </c>
      <c r="E269" t="s">
        <v>65</v>
      </c>
      <c r="F269">
        <v>155000</v>
      </c>
      <c r="G269" t="s">
        <v>83</v>
      </c>
      <c r="H269">
        <v>58</v>
      </c>
    </row>
    <row r="270" spans="1:8" x14ac:dyDescent="0.3">
      <c r="A270" t="s">
        <v>82</v>
      </c>
      <c r="B270">
        <v>2019</v>
      </c>
      <c r="C270" t="s">
        <v>147</v>
      </c>
      <c r="D270" t="s">
        <v>148</v>
      </c>
      <c r="E270" t="s">
        <v>65</v>
      </c>
      <c r="F270">
        <v>155000</v>
      </c>
      <c r="G270" t="s">
        <v>83</v>
      </c>
      <c r="H270">
        <v>48</v>
      </c>
    </row>
    <row r="271" spans="1:8" x14ac:dyDescent="0.3">
      <c r="A271" t="s">
        <v>82</v>
      </c>
      <c r="B271">
        <v>2020</v>
      </c>
      <c r="C271" t="s">
        <v>147</v>
      </c>
      <c r="D271" t="s">
        <v>148</v>
      </c>
      <c r="E271" t="s">
        <v>65</v>
      </c>
      <c r="F271">
        <v>155000</v>
      </c>
      <c r="G271" t="s">
        <v>83</v>
      </c>
      <c r="H271">
        <v>39</v>
      </c>
    </row>
    <row r="272" spans="1:8" x14ac:dyDescent="0.3">
      <c r="A272" t="s">
        <v>82</v>
      </c>
      <c r="B272">
        <v>2021</v>
      </c>
      <c r="C272" t="s">
        <v>147</v>
      </c>
      <c r="D272" t="s">
        <v>148</v>
      </c>
      <c r="E272" t="s">
        <v>65</v>
      </c>
      <c r="F272">
        <v>155000</v>
      </c>
      <c r="G272" t="s">
        <v>83</v>
      </c>
      <c r="H272">
        <v>14</v>
      </c>
    </row>
    <row r="273" spans="1:8" x14ac:dyDescent="0.3">
      <c r="A273" t="s">
        <v>184</v>
      </c>
      <c r="B273">
        <v>2014</v>
      </c>
      <c r="C273" t="s">
        <v>147</v>
      </c>
      <c r="D273" t="s">
        <v>148</v>
      </c>
      <c r="E273" t="s">
        <v>65</v>
      </c>
      <c r="F273">
        <v>1450</v>
      </c>
      <c r="G273" t="s">
        <v>66</v>
      </c>
      <c r="H273">
        <v>3</v>
      </c>
    </row>
    <row r="274" spans="1:8" x14ac:dyDescent="0.3">
      <c r="A274" t="s">
        <v>184</v>
      </c>
      <c r="B274">
        <v>2017</v>
      </c>
      <c r="C274" t="s">
        <v>147</v>
      </c>
      <c r="D274" t="s">
        <v>148</v>
      </c>
      <c r="E274" t="s">
        <v>65</v>
      </c>
      <c r="F274">
        <v>1450</v>
      </c>
      <c r="G274" t="s">
        <v>66</v>
      </c>
      <c r="H274">
        <v>3</v>
      </c>
    </row>
    <row r="275" spans="1:8" x14ac:dyDescent="0.3">
      <c r="A275" t="s">
        <v>184</v>
      </c>
      <c r="B275">
        <v>2019</v>
      </c>
      <c r="C275" t="s">
        <v>147</v>
      </c>
      <c r="D275" t="s">
        <v>148</v>
      </c>
      <c r="E275" t="s">
        <v>65</v>
      </c>
      <c r="F275">
        <v>1450</v>
      </c>
      <c r="G275" t="s">
        <v>66</v>
      </c>
      <c r="H275">
        <v>5</v>
      </c>
    </row>
    <row r="276" spans="1:8" x14ac:dyDescent="0.3">
      <c r="A276" t="s">
        <v>184</v>
      </c>
      <c r="B276">
        <v>2020</v>
      </c>
      <c r="C276" t="s">
        <v>147</v>
      </c>
      <c r="D276" t="s">
        <v>148</v>
      </c>
      <c r="E276" t="s">
        <v>65</v>
      </c>
      <c r="F276">
        <v>1450</v>
      </c>
      <c r="G276" t="s">
        <v>66</v>
      </c>
      <c r="H276">
        <v>1</v>
      </c>
    </row>
    <row r="277" spans="1:8" x14ac:dyDescent="0.3">
      <c r="A277" t="s">
        <v>184</v>
      </c>
      <c r="B277">
        <v>2021</v>
      </c>
      <c r="C277" t="s">
        <v>147</v>
      </c>
      <c r="D277" t="s">
        <v>148</v>
      </c>
      <c r="E277" t="s">
        <v>65</v>
      </c>
      <c r="F277">
        <v>1450</v>
      </c>
      <c r="G277" t="s">
        <v>66</v>
      </c>
      <c r="H277">
        <v>1</v>
      </c>
    </row>
    <row r="278" spans="1:8" x14ac:dyDescent="0.3">
      <c r="A278" t="s">
        <v>84</v>
      </c>
      <c r="B278">
        <v>2014</v>
      </c>
      <c r="C278" t="s">
        <v>147</v>
      </c>
      <c r="D278" t="s">
        <v>148</v>
      </c>
      <c r="E278" t="s">
        <v>65</v>
      </c>
      <c r="F278">
        <v>1543</v>
      </c>
      <c r="G278" t="s">
        <v>66</v>
      </c>
      <c r="H278">
        <v>5</v>
      </c>
    </row>
    <row r="279" spans="1:8" x14ac:dyDescent="0.3">
      <c r="A279" t="s">
        <v>84</v>
      </c>
      <c r="B279">
        <v>2015</v>
      </c>
      <c r="C279" t="s">
        <v>147</v>
      </c>
      <c r="D279" t="s">
        <v>148</v>
      </c>
      <c r="E279" t="s">
        <v>65</v>
      </c>
      <c r="F279">
        <v>1543</v>
      </c>
      <c r="G279" t="s">
        <v>66</v>
      </c>
      <c r="H279">
        <v>10</v>
      </c>
    </row>
    <row r="280" spans="1:8" x14ac:dyDescent="0.3">
      <c r="A280" t="s">
        <v>84</v>
      </c>
      <c r="B280">
        <v>2016</v>
      </c>
      <c r="C280" t="s">
        <v>147</v>
      </c>
      <c r="D280" t="s">
        <v>148</v>
      </c>
      <c r="E280" t="s">
        <v>65</v>
      </c>
      <c r="F280">
        <v>1543</v>
      </c>
      <c r="G280" t="s">
        <v>66</v>
      </c>
      <c r="H280">
        <v>3</v>
      </c>
    </row>
    <row r="281" spans="1:8" x14ac:dyDescent="0.3">
      <c r="A281" t="s">
        <v>84</v>
      </c>
      <c r="B281">
        <v>2017</v>
      </c>
      <c r="C281" t="s">
        <v>147</v>
      </c>
      <c r="D281" t="s">
        <v>148</v>
      </c>
      <c r="E281" t="s">
        <v>65</v>
      </c>
      <c r="F281">
        <v>1543</v>
      </c>
      <c r="G281" t="s">
        <v>66</v>
      </c>
      <c r="H281">
        <v>6</v>
      </c>
    </row>
    <row r="282" spans="1:8" x14ac:dyDescent="0.3">
      <c r="A282" t="s">
        <v>84</v>
      </c>
      <c r="B282">
        <v>2018</v>
      </c>
      <c r="C282" t="s">
        <v>147</v>
      </c>
      <c r="D282" t="s">
        <v>148</v>
      </c>
      <c r="E282" t="s">
        <v>65</v>
      </c>
      <c r="F282">
        <v>1543</v>
      </c>
      <c r="G282" t="s">
        <v>66</v>
      </c>
      <c r="H282">
        <v>3</v>
      </c>
    </row>
    <row r="283" spans="1:8" x14ac:dyDescent="0.3">
      <c r="A283" t="s">
        <v>84</v>
      </c>
      <c r="B283">
        <v>2019</v>
      </c>
      <c r="C283" t="s">
        <v>147</v>
      </c>
      <c r="D283" t="s">
        <v>148</v>
      </c>
      <c r="E283" t="s">
        <v>65</v>
      </c>
      <c r="F283">
        <v>1543</v>
      </c>
      <c r="G283" t="s">
        <v>66</v>
      </c>
      <c r="H283">
        <v>10</v>
      </c>
    </row>
    <row r="284" spans="1:8" x14ac:dyDescent="0.3">
      <c r="A284" t="s">
        <v>84</v>
      </c>
      <c r="B284">
        <v>2020</v>
      </c>
      <c r="C284" t="s">
        <v>147</v>
      </c>
      <c r="D284" t="s">
        <v>148</v>
      </c>
      <c r="E284" t="s">
        <v>65</v>
      </c>
      <c r="F284">
        <v>1543</v>
      </c>
      <c r="G284" t="s">
        <v>66</v>
      </c>
      <c r="H284">
        <v>8</v>
      </c>
    </row>
    <row r="285" spans="1:8" x14ac:dyDescent="0.3">
      <c r="A285" t="s">
        <v>84</v>
      </c>
      <c r="B285">
        <v>2021</v>
      </c>
      <c r="C285" t="s">
        <v>147</v>
      </c>
      <c r="D285" t="s">
        <v>148</v>
      </c>
      <c r="E285" t="s">
        <v>65</v>
      </c>
      <c r="F285">
        <v>1543</v>
      </c>
      <c r="G285" t="s">
        <v>66</v>
      </c>
      <c r="H285">
        <v>3</v>
      </c>
    </row>
    <row r="286" spans="1:8" x14ac:dyDescent="0.3">
      <c r="A286" t="s">
        <v>85</v>
      </c>
      <c r="B286">
        <v>2015</v>
      </c>
      <c r="C286" t="s">
        <v>147</v>
      </c>
      <c r="D286" t="s">
        <v>148</v>
      </c>
      <c r="E286" t="s">
        <v>65</v>
      </c>
      <c r="F286">
        <v>5732</v>
      </c>
      <c r="G286" t="s">
        <v>66</v>
      </c>
      <c r="H286">
        <v>5</v>
      </c>
    </row>
    <row r="287" spans="1:8" x14ac:dyDescent="0.3">
      <c r="A287" t="s">
        <v>85</v>
      </c>
      <c r="B287">
        <v>2016</v>
      </c>
      <c r="C287" t="s">
        <v>147</v>
      </c>
      <c r="D287" t="s">
        <v>148</v>
      </c>
      <c r="E287" t="s">
        <v>65</v>
      </c>
      <c r="F287">
        <v>5732</v>
      </c>
      <c r="G287" t="s">
        <v>66</v>
      </c>
      <c r="H287">
        <v>3</v>
      </c>
    </row>
    <row r="288" spans="1:8" x14ac:dyDescent="0.3">
      <c r="A288" t="s">
        <v>85</v>
      </c>
      <c r="B288">
        <v>2017</v>
      </c>
      <c r="C288" t="s">
        <v>147</v>
      </c>
      <c r="D288" t="s">
        <v>148</v>
      </c>
      <c r="E288" t="s">
        <v>65</v>
      </c>
      <c r="F288">
        <v>5732</v>
      </c>
      <c r="G288" t="s">
        <v>66</v>
      </c>
      <c r="H288">
        <v>6</v>
      </c>
    </row>
    <row r="289" spans="1:8" x14ac:dyDescent="0.3">
      <c r="A289" t="s">
        <v>85</v>
      </c>
      <c r="B289">
        <v>2018</v>
      </c>
      <c r="C289" t="s">
        <v>147</v>
      </c>
      <c r="D289" t="s">
        <v>148</v>
      </c>
      <c r="E289" t="s">
        <v>65</v>
      </c>
      <c r="F289">
        <v>5732</v>
      </c>
      <c r="G289" t="s">
        <v>66</v>
      </c>
      <c r="H289">
        <v>6</v>
      </c>
    </row>
    <row r="290" spans="1:8" x14ac:dyDescent="0.3">
      <c r="A290" t="s">
        <v>85</v>
      </c>
      <c r="B290">
        <v>2019</v>
      </c>
      <c r="C290" t="s">
        <v>147</v>
      </c>
      <c r="D290" t="s">
        <v>148</v>
      </c>
      <c r="E290" t="s">
        <v>65</v>
      </c>
      <c r="F290">
        <v>5732</v>
      </c>
      <c r="G290" t="s">
        <v>66</v>
      </c>
      <c r="H290">
        <v>9</v>
      </c>
    </row>
    <row r="291" spans="1:8" x14ac:dyDescent="0.3">
      <c r="A291" t="s">
        <v>85</v>
      </c>
      <c r="B291">
        <v>2020</v>
      </c>
      <c r="C291" t="s">
        <v>147</v>
      </c>
      <c r="D291" t="s">
        <v>148</v>
      </c>
      <c r="E291" t="s">
        <v>65</v>
      </c>
      <c r="F291">
        <v>5732</v>
      </c>
      <c r="G291" t="s">
        <v>66</v>
      </c>
      <c r="H291">
        <v>6</v>
      </c>
    </row>
    <row r="292" spans="1:8" x14ac:dyDescent="0.3">
      <c r="A292" t="s">
        <v>85</v>
      </c>
      <c r="B292">
        <v>2021</v>
      </c>
      <c r="C292" t="s">
        <v>147</v>
      </c>
      <c r="D292" t="s">
        <v>148</v>
      </c>
      <c r="E292" t="s">
        <v>65</v>
      </c>
      <c r="F292">
        <v>5732</v>
      </c>
      <c r="G292" t="s">
        <v>66</v>
      </c>
      <c r="H292">
        <v>4</v>
      </c>
    </row>
    <row r="293" spans="1:8" x14ac:dyDescent="0.3">
      <c r="A293" t="s">
        <v>185</v>
      </c>
      <c r="B293">
        <v>2016</v>
      </c>
      <c r="C293" t="s">
        <v>147</v>
      </c>
      <c r="D293" t="s">
        <v>148</v>
      </c>
      <c r="E293" t="s">
        <v>65</v>
      </c>
      <c r="F293">
        <v>1320</v>
      </c>
      <c r="G293" t="s">
        <v>66</v>
      </c>
      <c r="H293">
        <v>1</v>
      </c>
    </row>
    <row r="294" spans="1:8" x14ac:dyDescent="0.3">
      <c r="A294" t="s">
        <v>185</v>
      </c>
      <c r="B294">
        <v>2021</v>
      </c>
      <c r="C294" t="s">
        <v>147</v>
      </c>
      <c r="D294" t="s">
        <v>148</v>
      </c>
      <c r="E294" t="s">
        <v>65</v>
      </c>
      <c r="F294">
        <v>1320</v>
      </c>
      <c r="G294" t="s">
        <v>66</v>
      </c>
      <c r="H294">
        <v>1</v>
      </c>
    </row>
    <row r="295" spans="1:8" x14ac:dyDescent="0.3">
      <c r="A295" t="s">
        <v>186</v>
      </c>
      <c r="B295">
        <v>2014</v>
      </c>
      <c r="C295" t="s">
        <v>147</v>
      </c>
      <c r="D295" t="s">
        <v>148</v>
      </c>
      <c r="E295" t="s">
        <v>65</v>
      </c>
      <c r="F295">
        <v>585000</v>
      </c>
      <c r="G295" t="s">
        <v>83</v>
      </c>
      <c r="H295">
        <v>9</v>
      </c>
    </row>
    <row r="296" spans="1:8" x14ac:dyDescent="0.3">
      <c r="A296" t="s">
        <v>186</v>
      </c>
      <c r="B296">
        <v>2015</v>
      </c>
      <c r="C296" t="s">
        <v>147</v>
      </c>
      <c r="D296" t="s">
        <v>148</v>
      </c>
      <c r="E296" t="s">
        <v>65</v>
      </c>
      <c r="F296">
        <v>585000</v>
      </c>
      <c r="G296" t="s">
        <v>83</v>
      </c>
      <c r="H296">
        <v>9</v>
      </c>
    </row>
    <row r="297" spans="1:8" x14ac:dyDescent="0.3">
      <c r="A297" t="s">
        <v>186</v>
      </c>
      <c r="B297">
        <v>2016</v>
      </c>
      <c r="C297" t="s">
        <v>147</v>
      </c>
      <c r="D297" t="s">
        <v>148</v>
      </c>
      <c r="E297" t="s">
        <v>65</v>
      </c>
      <c r="F297">
        <v>585000</v>
      </c>
      <c r="G297" t="s">
        <v>83</v>
      </c>
      <c r="H297">
        <v>4</v>
      </c>
    </row>
    <row r="298" spans="1:8" x14ac:dyDescent="0.3">
      <c r="A298" t="s">
        <v>186</v>
      </c>
      <c r="B298">
        <v>2017</v>
      </c>
      <c r="C298" t="s">
        <v>147</v>
      </c>
      <c r="D298" t="s">
        <v>148</v>
      </c>
      <c r="E298" t="s">
        <v>65</v>
      </c>
      <c r="F298">
        <v>585000</v>
      </c>
      <c r="G298" t="s">
        <v>83</v>
      </c>
      <c r="H298">
        <v>6</v>
      </c>
    </row>
    <row r="299" spans="1:8" x14ac:dyDescent="0.3">
      <c r="A299" t="s">
        <v>186</v>
      </c>
      <c r="B299">
        <v>2018</v>
      </c>
      <c r="C299" t="s">
        <v>147</v>
      </c>
      <c r="D299" t="s">
        <v>148</v>
      </c>
      <c r="E299" t="s">
        <v>65</v>
      </c>
      <c r="F299">
        <v>585000</v>
      </c>
      <c r="G299" t="s">
        <v>83</v>
      </c>
      <c r="H299">
        <v>1</v>
      </c>
    </row>
    <row r="300" spans="1:8" x14ac:dyDescent="0.3">
      <c r="A300" t="s">
        <v>186</v>
      </c>
      <c r="B300">
        <v>2019</v>
      </c>
      <c r="C300" t="s">
        <v>147</v>
      </c>
      <c r="D300" t="s">
        <v>148</v>
      </c>
      <c r="E300" t="s">
        <v>65</v>
      </c>
      <c r="F300">
        <v>585000</v>
      </c>
      <c r="G300" t="s">
        <v>83</v>
      </c>
      <c r="H300">
        <v>3</v>
      </c>
    </row>
    <row r="301" spans="1:8" x14ac:dyDescent="0.3">
      <c r="A301" t="s">
        <v>186</v>
      </c>
      <c r="B301">
        <v>2020</v>
      </c>
      <c r="C301" t="s">
        <v>147</v>
      </c>
      <c r="D301" t="s">
        <v>148</v>
      </c>
      <c r="E301" t="s">
        <v>65</v>
      </c>
      <c r="F301">
        <v>585000</v>
      </c>
      <c r="G301" t="s">
        <v>83</v>
      </c>
      <c r="H301">
        <v>4</v>
      </c>
    </row>
    <row r="302" spans="1:8" x14ac:dyDescent="0.3">
      <c r="A302" t="s">
        <v>186</v>
      </c>
      <c r="B302">
        <v>2021</v>
      </c>
      <c r="C302" t="s">
        <v>147</v>
      </c>
      <c r="D302" t="s">
        <v>148</v>
      </c>
      <c r="E302" t="s">
        <v>65</v>
      </c>
      <c r="F302">
        <v>585000</v>
      </c>
      <c r="G302" t="s">
        <v>83</v>
      </c>
      <c r="H302">
        <v>6</v>
      </c>
    </row>
    <row r="303" spans="1:8" x14ac:dyDescent="0.3">
      <c r="A303" t="s">
        <v>86</v>
      </c>
      <c r="B303">
        <v>2014</v>
      </c>
      <c r="C303" t="s">
        <v>147</v>
      </c>
      <c r="D303" t="s">
        <v>148</v>
      </c>
      <c r="E303" t="s">
        <v>65</v>
      </c>
      <c r="F303">
        <v>2450</v>
      </c>
      <c r="G303" t="s">
        <v>66</v>
      </c>
      <c r="H303">
        <v>258</v>
      </c>
    </row>
    <row r="304" spans="1:8" x14ac:dyDescent="0.3">
      <c r="A304" t="s">
        <v>86</v>
      </c>
      <c r="B304">
        <v>2015</v>
      </c>
      <c r="C304" t="s">
        <v>147</v>
      </c>
      <c r="D304" t="s">
        <v>148</v>
      </c>
      <c r="E304" t="s">
        <v>65</v>
      </c>
      <c r="F304">
        <v>2450</v>
      </c>
      <c r="G304" t="s">
        <v>66</v>
      </c>
      <c r="H304">
        <v>603</v>
      </c>
    </row>
    <row r="305" spans="1:8" x14ac:dyDescent="0.3">
      <c r="A305" t="s">
        <v>86</v>
      </c>
      <c r="B305">
        <v>2016</v>
      </c>
      <c r="C305" t="s">
        <v>147</v>
      </c>
      <c r="D305" t="s">
        <v>148</v>
      </c>
      <c r="E305" t="s">
        <v>65</v>
      </c>
      <c r="F305">
        <v>2450</v>
      </c>
      <c r="G305" t="s">
        <v>66</v>
      </c>
      <c r="H305">
        <v>674</v>
      </c>
    </row>
    <row r="306" spans="1:8" x14ac:dyDescent="0.3">
      <c r="A306" t="s">
        <v>86</v>
      </c>
      <c r="B306">
        <v>2017</v>
      </c>
      <c r="C306" t="s">
        <v>147</v>
      </c>
      <c r="D306" t="s">
        <v>148</v>
      </c>
      <c r="E306" t="s">
        <v>65</v>
      </c>
      <c r="F306">
        <v>2450</v>
      </c>
      <c r="G306" t="s">
        <v>66</v>
      </c>
      <c r="H306">
        <v>658</v>
      </c>
    </row>
    <row r="307" spans="1:8" x14ac:dyDescent="0.3">
      <c r="A307" t="s">
        <v>86</v>
      </c>
      <c r="B307">
        <v>2018</v>
      </c>
      <c r="C307" t="s">
        <v>147</v>
      </c>
      <c r="D307" t="s">
        <v>148</v>
      </c>
      <c r="E307" t="s">
        <v>65</v>
      </c>
      <c r="F307">
        <v>2450</v>
      </c>
      <c r="G307" t="s">
        <v>66</v>
      </c>
      <c r="H307">
        <v>428</v>
      </c>
    </row>
    <row r="308" spans="1:8" x14ac:dyDescent="0.3">
      <c r="A308" t="s">
        <v>86</v>
      </c>
      <c r="B308">
        <v>2019</v>
      </c>
      <c r="C308" t="s">
        <v>147</v>
      </c>
      <c r="D308" t="s">
        <v>148</v>
      </c>
      <c r="E308" t="s">
        <v>65</v>
      </c>
      <c r="F308">
        <v>2450</v>
      </c>
      <c r="G308" t="s">
        <v>66</v>
      </c>
      <c r="H308">
        <v>397</v>
      </c>
    </row>
    <row r="309" spans="1:8" x14ac:dyDescent="0.3">
      <c r="A309" t="s">
        <v>86</v>
      </c>
      <c r="B309">
        <v>2020</v>
      </c>
      <c r="C309" t="s">
        <v>147</v>
      </c>
      <c r="D309" t="s">
        <v>148</v>
      </c>
      <c r="E309" t="s">
        <v>65</v>
      </c>
      <c r="F309">
        <v>2450</v>
      </c>
      <c r="G309" t="s">
        <v>66</v>
      </c>
      <c r="H309">
        <v>540</v>
      </c>
    </row>
    <row r="310" spans="1:8" x14ac:dyDescent="0.3">
      <c r="A310" t="s">
        <v>86</v>
      </c>
      <c r="B310">
        <v>2021</v>
      </c>
      <c r="C310" t="s">
        <v>147</v>
      </c>
      <c r="D310" t="s">
        <v>148</v>
      </c>
      <c r="E310" t="s">
        <v>65</v>
      </c>
      <c r="F310">
        <v>2450</v>
      </c>
      <c r="G310" t="s">
        <v>66</v>
      </c>
      <c r="H310">
        <v>680</v>
      </c>
    </row>
    <row r="311" spans="1:8" x14ac:dyDescent="0.3">
      <c r="A311" t="s">
        <v>87</v>
      </c>
      <c r="B311">
        <v>2014</v>
      </c>
      <c r="C311" t="s">
        <v>147</v>
      </c>
      <c r="D311" t="s">
        <v>148</v>
      </c>
      <c r="E311" t="s">
        <v>65</v>
      </c>
      <c r="F311">
        <v>2500</v>
      </c>
      <c r="G311" t="s">
        <v>66</v>
      </c>
      <c r="H311">
        <v>2</v>
      </c>
    </row>
    <row r="312" spans="1:8" x14ac:dyDescent="0.3">
      <c r="A312" t="s">
        <v>87</v>
      </c>
      <c r="B312">
        <v>2015</v>
      </c>
      <c r="C312" t="s">
        <v>147</v>
      </c>
      <c r="D312" t="s">
        <v>148</v>
      </c>
      <c r="E312" t="s">
        <v>65</v>
      </c>
      <c r="F312">
        <v>2500</v>
      </c>
      <c r="G312" t="s">
        <v>66</v>
      </c>
      <c r="H312">
        <v>9</v>
      </c>
    </row>
    <row r="313" spans="1:8" x14ac:dyDescent="0.3">
      <c r="A313" t="s">
        <v>87</v>
      </c>
      <c r="B313">
        <v>2016</v>
      </c>
      <c r="C313" t="s">
        <v>147</v>
      </c>
      <c r="D313" t="s">
        <v>148</v>
      </c>
      <c r="E313" t="s">
        <v>65</v>
      </c>
      <c r="F313">
        <v>2500</v>
      </c>
      <c r="G313" t="s">
        <v>66</v>
      </c>
      <c r="H313">
        <v>9</v>
      </c>
    </row>
    <row r="314" spans="1:8" x14ac:dyDescent="0.3">
      <c r="A314" t="s">
        <v>87</v>
      </c>
      <c r="B314">
        <v>2017</v>
      </c>
      <c r="C314" t="s">
        <v>147</v>
      </c>
      <c r="D314" t="s">
        <v>148</v>
      </c>
      <c r="E314" t="s">
        <v>65</v>
      </c>
      <c r="F314">
        <v>2500</v>
      </c>
      <c r="G314" t="s">
        <v>66</v>
      </c>
      <c r="H314">
        <v>6</v>
      </c>
    </row>
    <row r="315" spans="1:8" x14ac:dyDescent="0.3">
      <c r="A315" t="s">
        <v>87</v>
      </c>
      <c r="B315">
        <v>2018</v>
      </c>
      <c r="C315" t="s">
        <v>147</v>
      </c>
      <c r="D315" t="s">
        <v>148</v>
      </c>
      <c r="E315" t="s">
        <v>65</v>
      </c>
      <c r="F315">
        <v>2500</v>
      </c>
      <c r="G315" t="s">
        <v>66</v>
      </c>
      <c r="H315">
        <v>7</v>
      </c>
    </row>
    <row r="316" spans="1:8" x14ac:dyDescent="0.3">
      <c r="A316" t="s">
        <v>87</v>
      </c>
      <c r="B316">
        <v>2019</v>
      </c>
      <c r="C316" t="s">
        <v>147</v>
      </c>
      <c r="D316" t="s">
        <v>148</v>
      </c>
      <c r="E316" t="s">
        <v>65</v>
      </c>
      <c r="F316">
        <v>2500</v>
      </c>
      <c r="G316" t="s">
        <v>66</v>
      </c>
      <c r="H316">
        <v>29</v>
      </c>
    </row>
    <row r="317" spans="1:8" x14ac:dyDescent="0.3">
      <c r="A317" t="s">
        <v>87</v>
      </c>
      <c r="B317">
        <v>2020</v>
      </c>
      <c r="C317" t="s">
        <v>147</v>
      </c>
      <c r="D317" t="s">
        <v>148</v>
      </c>
      <c r="E317" t="s">
        <v>65</v>
      </c>
      <c r="F317">
        <v>2500</v>
      </c>
      <c r="G317" t="s">
        <v>66</v>
      </c>
      <c r="H317">
        <v>14</v>
      </c>
    </row>
    <row r="318" spans="1:8" x14ac:dyDescent="0.3">
      <c r="A318" t="s">
        <v>87</v>
      </c>
      <c r="B318">
        <v>2021</v>
      </c>
      <c r="C318" t="s">
        <v>147</v>
      </c>
      <c r="D318" t="s">
        <v>148</v>
      </c>
      <c r="E318" t="s">
        <v>65</v>
      </c>
      <c r="F318">
        <v>2500</v>
      </c>
      <c r="G318" t="s">
        <v>66</v>
      </c>
      <c r="H318">
        <v>11</v>
      </c>
    </row>
    <row r="319" spans="1:8" x14ac:dyDescent="0.3">
      <c r="A319" t="s">
        <v>88</v>
      </c>
      <c r="B319">
        <v>2014</v>
      </c>
      <c r="C319" t="s">
        <v>147</v>
      </c>
      <c r="D319" t="s">
        <v>148</v>
      </c>
      <c r="E319" t="s">
        <v>65</v>
      </c>
      <c r="F319">
        <v>2550</v>
      </c>
      <c r="G319" t="s">
        <v>66</v>
      </c>
      <c r="H319">
        <v>78</v>
      </c>
    </row>
    <row r="320" spans="1:8" x14ac:dyDescent="0.3">
      <c r="A320" t="s">
        <v>88</v>
      </c>
      <c r="B320">
        <v>2015</v>
      </c>
      <c r="C320" t="s">
        <v>147</v>
      </c>
      <c r="D320" t="s">
        <v>148</v>
      </c>
      <c r="E320" t="s">
        <v>65</v>
      </c>
      <c r="F320">
        <v>2550</v>
      </c>
      <c r="G320" t="s">
        <v>66</v>
      </c>
      <c r="H320">
        <v>190</v>
      </c>
    </row>
    <row r="321" spans="1:8" x14ac:dyDescent="0.3">
      <c r="A321" t="s">
        <v>88</v>
      </c>
      <c r="B321">
        <v>2016</v>
      </c>
      <c r="C321" t="s">
        <v>147</v>
      </c>
      <c r="D321" t="s">
        <v>148</v>
      </c>
      <c r="E321" t="s">
        <v>65</v>
      </c>
      <c r="F321">
        <v>2550</v>
      </c>
      <c r="G321" t="s">
        <v>66</v>
      </c>
      <c r="H321">
        <v>236</v>
      </c>
    </row>
    <row r="322" spans="1:8" x14ac:dyDescent="0.3">
      <c r="A322" t="s">
        <v>88</v>
      </c>
      <c r="B322">
        <v>2017</v>
      </c>
      <c r="C322" t="s">
        <v>147</v>
      </c>
      <c r="D322" t="s">
        <v>148</v>
      </c>
      <c r="E322" t="s">
        <v>65</v>
      </c>
      <c r="F322">
        <v>2550</v>
      </c>
      <c r="G322" t="s">
        <v>66</v>
      </c>
      <c r="H322">
        <v>214</v>
      </c>
    </row>
    <row r="323" spans="1:8" x14ac:dyDescent="0.3">
      <c r="A323" t="s">
        <v>88</v>
      </c>
      <c r="B323">
        <v>2018</v>
      </c>
      <c r="C323" t="s">
        <v>147</v>
      </c>
      <c r="D323" t="s">
        <v>148</v>
      </c>
      <c r="E323" t="s">
        <v>65</v>
      </c>
      <c r="F323">
        <v>2550</v>
      </c>
      <c r="G323" t="s">
        <v>66</v>
      </c>
      <c r="H323">
        <v>186</v>
      </c>
    </row>
    <row r="324" spans="1:8" x14ac:dyDescent="0.3">
      <c r="A324" t="s">
        <v>88</v>
      </c>
      <c r="B324">
        <v>2019</v>
      </c>
      <c r="C324" t="s">
        <v>147</v>
      </c>
      <c r="D324" t="s">
        <v>148</v>
      </c>
      <c r="E324" t="s">
        <v>65</v>
      </c>
      <c r="F324">
        <v>2550</v>
      </c>
      <c r="G324" t="s">
        <v>66</v>
      </c>
      <c r="H324">
        <v>166</v>
      </c>
    </row>
    <row r="325" spans="1:8" x14ac:dyDescent="0.3">
      <c r="A325" t="s">
        <v>88</v>
      </c>
      <c r="B325">
        <v>2020</v>
      </c>
      <c r="C325" t="s">
        <v>147</v>
      </c>
      <c r="D325" t="s">
        <v>148</v>
      </c>
      <c r="E325" t="s">
        <v>65</v>
      </c>
      <c r="F325">
        <v>2550</v>
      </c>
      <c r="G325" t="s">
        <v>66</v>
      </c>
      <c r="H325">
        <v>185</v>
      </c>
    </row>
    <row r="326" spans="1:8" x14ac:dyDescent="0.3">
      <c r="A326" t="s">
        <v>88</v>
      </c>
      <c r="B326">
        <v>2021</v>
      </c>
      <c r="C326" t="s">
        <v>147</v>
      </c>
      <c r="D326" t="s">
        <v>148</v>
      </c>
      <c r="E326" t="s">
        <v>65</v>
      </c>
      <c r="F326">
        <v>2550</v>
      </c>
      <c r="G326" t="s">
        <v>66</v>
      </c>
      <c r="H326">
        <v>142</v>
      </c>
    </row>
    <row r="327" spans="1:8" x14ac:dyDescent="0.3">
      <c r="A327" t="s">
        <v>89</v>
      </c>
      <c r="B327">
        <v>2014</v>
      </c>
      <c r="C327" t="s">
        <v>147</v>
      </c>
      <c r="D327" t="s">
        <v>148</v>
      </c>
      <c r="E327" t="s">
        <v>65</v>
      </c>
      <c r="F327">
        <v>3348</v>
      </c>
      <c r="G327" t="s">
        <v>66</v>
      </c>
      <c r="H327">
        <v>9</v>
      </c>
    </row>
    <row r="328" spans="1:8" x14ac:dyDescent="0.3">
      <c r="A328" t="s">
        <v>89</v>
      </c>
      <c r="B328">
        <v>2015</v>
      </c>
      <c r="C328" t="s">
        <v>147</v>
      </c>
      <c r="D328" t="s">
        <v>148</v>
      </c>
      <c r="E328" t="s">
        <v>65</v>
      </c>
      <c r="F328">
        <v>3348</v>
      </c>
      <c r="G328" t="s">
        <v>66</v>
      </c>
      <c r="H328">
        <v>13</v>
      </c>
    </row>
    <row r="329" spans="1:8" x14ac:dyDescent="0.3">
      <c r="A329" t="s">
        <v>89</v>
      </c>
      <c r="B329">
        <v>2016</v>
      </c>
      <c r="C329" t="s">
        <v>147</v>
      </c>
      <c r="D329" t="s">
        <v>148</v>
      </c>
      <c r="E329" t="s">
        <v>65</v>
      </c>
      <c r="F329">
        <v>3348</v>
      </c>
      <c r="G329" t="s">
        <v>66</v>
      </c>
      <c r="H329">
        <v>20</v>
      </c>
    </row>
    <row r="330" spans="1:8" x14ac:dyDescent="0.3">
      <c r="A330" t="s">
        <v>89</v>
      </c>
      <c r="B330">
        <v>2017</v>
      </c>
      <c r="C330" t="s">
        <v>147</v>
      </c>
      <c r="D330" t="s">
        <v>148</v>
      </c>
      <c r="E330" t="s">
        <v>65</v>
      </c>
      <c r="F330">
        <v>3348</v>
      </c>
      <c r="G330" t="s">
        <v>66</v>
      </c>
      <c r="H330">
        <v>19</v>
      </c>
    </row>
    <row r="331" spans="1:8" x14ac:dyDescent="0.3">
      <c r="A331" t="s">
        <v>89</v>
      </c>
      <c r="B331">
        <v>2018</v>
      </c>
      <c r="C331" t="s">
        <v>147</v>
      </c>
      <c r="D331" t="s">
        <v>148</v>
      </c>
      <c r="E331" t="s">
        <v>65</v>
      </c>
      <c r="F331">
        <v>3348</v>
      </c>
      <c r="G331" t="s">
        <v>66</v>
      </c>
      <c r="H331">
        <v>10</v>
      </c>
    </row>
    <row r="332" spans="1:8" x14ac:dyDescent="0.3">
      <c r="A332" t="s">
        <v>89</v>
      </c>
      <c r="B332">
        <v>2019</v>
      </c>
      <c r="C332" t="s">
        <v>147</v>
      </c>
      <c r="D332" t="s">
        <v>148</v>
      </c>
      <c r="E332" t="s">
        <v>65</v>
      </c>
      <c r="F332">
        <v>3348</v>
      </c>
      <c r="G332" t="s">
        <v>66</v>
      </c>
      <c r="H332">
        <v>10</v>
      </c>
    </row>
    <row r="333" spans="1:8" x14ac:dyDescent="0.3">
      <c r="A333" t="s">
        <v>89</v>
      </c>
      <c r="B333">
        <v>2020</v>
      </c>
      <c r="C333" t="s">
        <v>147</v>
      </c>
      <c r="D333" t="s">
        <v>148</v>
      </c>
      <c r="E333" t="s">
        <v>65</v>
      </c>
      <c r="F333">
        <v>3348</v>
      </c>
      <c r="G333" t="s">
        <v>66</v>
      </c>
      <c r="H333">
        <v>13</v>
      </c>
    </row>
    <row r="334" spans="1:8" x14ac:dyDescent="0.3">
      <c r="A334" t="s">
        <v>89</v>
      </c>
      <c r="B334">
        <v>2021</v>
      </c>
      <c r="C334" t="s">
        <v>147</v>
      </c>
      <c r="D334" t="s">
        <v>148</v>
      </c>
      <c r="E334" t="s">
        <v>65</v>
      </c>
      <c r="F334">
        <v>3348</v>
      </c>
      <c r="G334" t="s">
        <v>66</v>
      </c>
      <c r="H334">
        <v>10</v>
      </c>
    </row>
    <row r="335" spans="1:8" x14ac:dyDescent="0.3">
      <c r="A335" t="s">
        <v>187</v>
      </c>
      <c r="B335">
        <v>2014</v>
      </c>
      <c r="C335" t="s">
        <v>147</v>
      </c>
      <c r="D335" t="s">
        <v>148</v>
      </c>
      <c r="E335" t="s">
        <v>65</v>
      </c>
      <c r="F335">
        <v>3350</v>
      </c>
      <c r="G335" t="s">
        <v>66</v>
      </c>
      <c r="H335">
        <v>1</v>
      </c>
    </row>
    <row r="336" spans="1:8" x14ac:dyDescent="0.3">
      <c r="A336" t="s">
        <v>187</v>
      </c>
      <c r="B336">
        <v>2016</v>
      </c>
      <c r="C336" t="s">
        <v>147</v>
      </c>
      <c r="D336" t="s">
        <v>148</v>
      </c>
      <c r="E336" t="s">
        <v>65</v>
      </c>
      <c r="F336">
        <v>3350</v>
      </c>
      <c r="G336" t="s">
        <v>66</v>
      </c>
      <c r="H336">
        <v>1</v>
      </c>
    </row>
    <row r="337" spans="1:8" x14ac:dyDescent="0.3">
      <c r="A337" t="s">
        <v>187</v>
      </c>
      <c r="B337">
        <v>2020</v>
      </c>
      <c r="C337" t="s">
        <v>147</v>
      </c>
      <c r="D337" t="s">
        <v>148</v>
      </c>
      <c r="E337" t="s">
        <v>65</v>
      </c>
      <c r="F337">
        <v>3350</v>
      </c>
      <c r="G337" t="s">
        <v>66</v>
      </c>
      <c r="H337">
        <v>3</v>
      </c>
    </row>
    <row r="338" spans="1:8" x14ac:dyDescent="0.3">
      <c r="A338" t="s">
        <v>187</v>
      </c>
      <c r="B338">
        <v>2021</v>
      </c>
      <c r="C338" t="s">
        <v>147</v>
      </c>
      <c r="D338" t="s">
        <v>148</v>
      </c>
      <c r="E338" t="s">
        <v>65</v>
      </c>
      <c r="F338">
        <v>3350</v>
      </c>
      <c r="G338" t="s">
        <v>66</v>
      </c>
      <c r="H338">
        <v>1</v>
      </c>
    </row>
    <row r="339" spans="1:8" x14ac:dyDescent="0.3">
      <c r="A339" t="s">
        <v>90</v>
      </c>
      <c r="B339">
        <v>2014</v>
      </c>
      <c r="C339" t="s">
        <v>147</v>
      </c>
      <c r="D339" t="s">
        <v>148</v>
      </c>
      <c r="E339" t="s">
        <v>65</v>
      </c>
      <c r="F339">
        <v>3600</v>
      </c>
      <c r="G339" t="s">
        <v>66</v>
      </c>
      <c r="H339">
        <v>23</v>
      </c>
    </row>
    <row r="340" spans="1:8" x14ac:dyDescent="0.3">
      <c r="A340" t="s">
        <v>90</v>
      </c>
      <c r="B340">
        <v>2015</v>
      </c>
      <c r="C340" t="s">
        <v>147</v>
      </c>
      <c r="D340" t="s">
        <v>148</v>
      </c>
      <c r="E340" t="s">
        <v>65</v>
      </c>
      <c r="F340">
        <v>3600</v>
      </c>
      <c r="G340" t="s">
        <v>66</v>
      </c>
      <c r="H340">
        <v>34</v>
      </c>
    </row>
    <row r="341" spans="1:8" x14ac:dyDescent="0.3">
      <c r="A341" t="s">
        <v>90</v>
      </c>
      <c r="B341">
        <v>2016</v>
      </c>
      <c r="C341" t="s">
        <v>147</v>
      </c>
      <c r="D341" t="s">
        <v>148</v>
      </c>
      <c r="E341" t="s">
        <v>65</v>
      </c>
      <c r="F341">
        <v>3600</v>
      </c>
      <c r="G341" t="s">
        <v>66</v>
      </c>
      <c r="H341">
        <v>16</v>
      </c>
    </row>
    <row r="342" spans="1:8" x14ac:dyDescent="0.3">
      <c r="A342" t="s">
        <v>90</v>
      </c>
      <c r="B342">
        <v>2017</v>
      </c>
      <c r="C342" t="s">
        <v>147</v>
      </c>
      <c r="D342" t="s">
        <v>148</v>
      </c>
      <c r="E342" t="s">
        <v>65</v>
      </c>
      <c r="F342">
        <v>3600</v>
      </c>
      <c r="G342" t="s">
        <v>66</v>
      </c>
      <c r="H342">
        <v>20</v>
      </c>
    </row>
    <row r="343" spans="1:8" x14ac:dyDescent="0.3">
      <c r="A343" t="s">
        <v>90</v>
      </c>
      <c r="B343">
        <v>2018</v>
      </c>
      <c r="C343" t="s">
        <v>147</v>
      </c>
      <c r="D343" t="s">
        <v>148</v>
      </c>
      <c r="E343" t="s">
        <v>65</v>
      </c>
      <c r="F343">
        <v>3600</v>
      </c>
      <c r="G343" t="s">
        <v>66</v>
      </c>
      <c r="H343">
        <v>9</v>
      </c>
    </row>
    <row r="344" spans="1:8" x14ac:dyDescent="0.3">
      <c r="A344" t="s">
        <v>90</v>
      </c>
      <c r="B344">
        <v>2019</v>
      </c>
      <c r="C344" t="s">
        <v>147</v>
      </c>
      <c r="D344" t="s">
        <v>148</v>
      </c>
      <c r="E344" t="s">
        <v>65</v>
      </c>
      <c r="F344">
        <v>3600</v>
      </c>
      <c r="G344" t="s">
        <v>66</v>
      </c>
      <c r="H344">
        <v>27</v>
      </c>
    </row>
    <row r="345" spans="1:8" x14ac:dyDescent="0.3">
      <c r="A345" t="s">
        <v>90</v>
      </c>
      <c r="B345">
        <v>2020</v>
      </c>
      <c r="C345" t="s">
        <v>147</v>
      </c>
      <c r="D345" t="s">
        <v>148</v>
      </c>
      <c r="E345" t="s">
        <v>65</v>
      </c>
      <c r="F345">
        <v>3600</v>
      </c>
      <c r="G345" t="s">
        <v>66</v>
      </c>
      <c r="H345">
        <v>49</v>
      </c>
    </row>
    <row r="346" spans="1:8" x14ac:dyDescent="0.3">
      <c r="A346" t="s">
        <v>90</v>
      </c>
      <c r="B346">
        <v>2021</v>
      </c>
      <c r="C346" t="s">
        <v>147</v>
      </c>
      <c r="D346" t="s">
        <v>148</v>
      </c>
      <c r="E346" t="s">
        <v>65</v>
      </c>
      <c r="F346">
        <v>3600</v>
      </c>
      <c r="G346" t="s">
        <v>66</v>
      </c>
      <c r="H346">
        <v>37</v>
      </c>
    </row>
    <row r="347" spans="1:8" x14ac:dyDescent="0.3">
      <c r="A347" t="s">
        <v>91</v>
      </c>
      <c r="B347">
        <v>2014</v>
      </c>
      <c r="C347" t="s">
        <v>147</v>
      </c>
      <c r="D347" t="s">
        <v>148</v>
      </c>
      <c r="E347" t="s">
        <v>65</v>
      </c>
      <c r="F347">
        <v>7800</v>
      </c>
      <c r="G347" t="s">
        <v>66</v>
      </c>
      <c r="H347">
        <v>2</v>
      </c>
    </row>
    <row r="348" spans="1:8" x14ac:dyDescent="0.3">
      <c r="A348" t="s">
        <v>91</v>
      </c>
      <c r="B348">
        <v>2015</v>
      </c>
      <c r="C348" t="s">
        <v>147</v>
      </c>
      <c r="D348" t="s">
        <v>148</v>
      </c>
      <c r="E348" t="s">
        <v>65</v>
      </c>
      <c r="F348">
        <v>7800</v>
      </c>
      <c r="G348" t="s">
        <v>66</v>
      </c>
      <c r="H348">
        <v>2</v>
      </c>
    </row>
    <row r="349" spans="1:8" x14ac:dyDescent="0.3">
      <c r="A349" t="s">
        <v>91</v>
      </c>
      <c r="B349">
        <v>2016</v>
      </c>
      <c r="C349" t="s">
        <v>147</v>
      </c>
      <c r="D349" t="s">
        <v>148</v>
      </c>
      <c r="E349" t="s">
        <v>65</v>
      </c>
      <c r="F349">
        <v>7800</v>
      </c>
      <c r="G349" t="s">
        <v>66</v>
      </c>
      <c r="H349">
        <v>14</v>
      </c>
    </row>
    <row r="350" spans="1:8" x14ac:dyDescent="0.3">
      <c r="A350" t="s">
        <v>91</v>
      </c>
      <c r="B350">
        <v>2017</v>
      </c>
      <c r="C350" t="s">
        <v>147</v>
      </c>
      <c r="D350" t="s">
        <v>148</v>
      </c>
      <c r="E350" t="s">
        <v>65</v>
      </c>
      <c r="F350">
        <v>7800</v>
      </c>
      <c r="G350" t="s">
        <v>66</v>
      </c>
      <c r="H350">
        <v>4</v>
      </c>
    </row>
    <row r="351" spans="1:8" x14ac:dyDescent="0.3">
      <c r="A351" t="s">
        <v>91</v>
      </c>
      <c r="B351">
        <v>2018</v>
      </c>
      <c r="C351" t="s">
        <v>147</v>
      </c>
      <c r="D351" t="s">
        <v>148</v>
      </c>
      <c r="E351" t="s">
        <v>65</v>
      </c>
      <c r="F351">
        <v>7800</v>
      </c>
      <c r="G351" t="s">
        <v>66</v>
      </c>
      <c r="H351">
        <v>5</v>
      </c>
    </row>
    <row r="352" spans="1:8" x14ac:dyDescent="0.3">
      <c r="A352" t="s">
        <v>91</v>
      </c>
      <c r="B352">
        <v>2019</v>
      </c>
      <c r="C352" t="s">
        <v>147</v>
      </c>
      <c r="D352" t="s">
        <v>148</v>
      </c>
      <c r="E352" t="s">
        <v>65</v>
      </c>
      <c r="F352">
        <v>7800</v>
      </c>
      <c r="G352" t="s">
        <v>66</v>
      </c>
      <c r="H352">
        <v>7</v>
      </c>
    </row>
    <row r="353" spans="1:8" x14ac:dyDescent="0.3">
      <c r="A353" t="s">
        <v>91</v>
      </c>
      <c r="B353">
        <v>2020</v>
      </c>
      <c r="C353" t="s">
        <v>147</v>
      </c>
      <c r="D353" t="s">
        <v>148</v>
      </c>
      <c r="E353" t="s">
        <v>65</v>
      </c>
      <c r="F353">
        <v>7800</v>
      </c>
      <c r="G353" t="s">
        <v>66</v>
      </c>
      <c r="H353">
        <v>9</v>
      </c>
    </row>
    <row r="354" spans="1:8" x14ac:dyDescent="0.3">
      <c r="A354" t="s">
        <v>91</v>
      </c>
      <c r="B354">
        <v>2021</v>
      </c>
      <c r="C354" t="s">
        <v>147</v>
      </c>
      <c r="D354" t="s">
        <v>148</v>
      </c>
      <c r="E354" t="s">
        <v>65</v>
      </c>
      <c r="F354">
        <v>7800</v>
      </c>
      <c r="G354" t="s">
        <v>66</v>
      </c>
      <c r="H354">
        <v>15</v>
      </c>
    </row>
    <row r="355" spans="1:8" x14ac:dyDescent="0.3">
      <c r="A355" t="s">
        <v>92</v>
      </c>
      <c r="B355">
        <v>2014</v>
      </c>
      <c r="C355" t="s">
        <v>147</v>
      </c>
      <c r="D355" t="s">
        <v>148</v>
      </c>
      <c r="E355" t="s">
        <v>65</v>
      </c>
      <c r="F355">
        <v>3100</v>
      </c>
      <c r="G355" t="s">
        <v>66</v>
      </c>
      <c r="H355">
        <v>37</v>
      </c>
    </row>
    <row r="356" spans="1:8" x14ac:dyDescent="0.3">
      <c r="A356" t="s">
        <v>92</v>
      </c>
      <c r="B356">
        <v>2015</v>
      </c>
      <c r="C356" t="s">
        <v>147</v>
      </c>
      <c r="D356" t="s">
        <v>148</v>
      </c>
      <c r="E356" t="s">
        <v>65</v>
      </c>
      <c r="F356">
        <v>3100</v>
      </c>
      <c r="G356" t="s">
        <v>66</v>
      </c>
      <c r="H356">
        <v>72</v>
      </c>
    </row>
    <row r="357" spans="1:8" x14ac:dyDescent="0.3">
      <c r="A357" t="s">
        <v>92</v>
      </c>
      <c r="B357">
        <v>2016</v>
      </c>
      <c r="C357" t="s">
        <v>147</v>
      </c>
      <c r="D357" t="s">
        <v>148</v>
      </c>
      <c r="E357" t="s">
        <v>65</v>
      </c>
      <c r="F357">
        <v>3100</v>
      </c>
      <c r="G357" t="s">
        <v>66</v>
      </c>
      <c r="H357">
        <v>59</v>
      </c>
    </row>
    <row r="358" spans="1:8" x14ac:dyDescent="0.3">
      <c r="A358" t="s">
        <v>92</v>
      </c>
      <c r="B358">
        <v>2017</v>
      </c>
      <c r="C358" t="s">
        <v>147</v>
      </c>
      <c r="D358" t="s">
        <v>148</v>
      </c>
      <c r="E358" t="s">
        <v>65</v>
      </c>
      <c r="F358">
        <v>3100</v>
      </c>
      <c r="G358" t="s">
        <v>66</v>
      </c>
      <c r="H358">
        <v>70</v>
      </c>
    </row>
    <row r="359" spans="1:8" x14ac:dyDescent="0.3">
      <c r="A359" t="s">
        <v>92</v>
      </c>
      <c r="B359">
        <v>2018</v>
      </c>
      <c r="C359" t="s">
        <v>147</v>
      </c>
      <c r="D359" t="s">
        <v>148</v>
      </c>
      <c r="E359" t="s">
        <v>65</v>
      </c>
      <c r="F359">
        <v>3100</v>
      </c>
      <c r="G359" t="s">
        <v>66</v>
      </c>
      <c r="H359">
        <v>74</v>
      </c>
    </row>
    <row r="360" spans="1:8" x14ac:dyDescent="0.3">
      <c r="A360" t="s">
        <v>92</v>
      </c>
      <c r="B360">
        <v>2019</v>
      </c>
      <c r="C360" t="s">
        <v>147</v>
      </c>
      <c r="D360" t="s">
        <v>148</v>
      </c>
      <c r="E360" t="s">
        <v>65</v>
      </c>
      <c r="F360">
        <v>3100</v>
      </c>
      <c r="G360" t="s">
        <v>66</v>
      </c>
      <c r="H360">
        <v>45</v>
      </c>
    </row>
    <row r="361" spans="1:8" x14ac:dyDescent="0.3">
      <c r="A361" t="s">
        <v>92</v>
      </c>
      <c r="B361">
        <v>2020</v>
      </c>
      <c r="C361" t="s">
        <v>147</v>
      </c>
      <c r="D361" t="s">
        <v>148</v>
      </c>
      <c r="E361" t="s">
        <v>65</v>
      </c>
      <c r="F361">
        <v>3100</v>
      </c>
      <c r="G361" t="s">
        <v>66</v>
      </c>
      <c r="H361">
        <v>43</v>
      </c>
    </row>
    <row r="362" spans="1:8" x14ac:dyDescent="0.3">
      <c r="A362" t="s">
        <v>92</v>
      </c>
      <c r="B362">
        <v>2021</v>
      </c>
      <c r="C362" t="s">
        <v>147</v>
      </c>
      <c r="D362" t="s">
        <v>148</v>
      </c>
      <c r="E362" t="s">
        <v>65</v>
      </c>
      <c r="F362">
        <v>3100</v>
      </c>
      <c r="G362" t="s">
        <v>66</v>
      </c>
      <c r="H362">
        <v>48</v>
      </c>
    </row>
    <row r="363" spans="1:8" x14ac:dyDescent="0.3">
      <c r="A363" t="s">
        <v>188</v>
      </c>
      <c r="B363">
        <v>2016</v>
      </c>
      <c r="C363" t="s">
        <v>147</v>
      </c>
      <c r="D363" t="s">
        <v>148</v>
      </c>
      <c r="E363" t="s">
        <v>65</v>
      </c>
      <c r="F363">
        <v>3600</v>
      </c>
      <c r="G363" t="s">
        <v>66</v>
      </c>
      <c r="H363">
        <v>2</v>
      </c>
    </row>
    <row r="364" spans="1:8" x14ac:dyDescent="0.3">
      <c r="A364" t="s">
        <v>188</v>
      </c>
      <c r="B364">
        <v>2017</v>
      </c>
      <c r="C364" t="s">
        <v>147</v>
      </c>
      <c r="D364" t="s">
        <v>148</v>
      </c>
      <c r="E364" t="s">
        <v>65</v>
      </c>
      <c r="F364">
        <v>3600</v>
      </c>
      <c r="G364" t="s">
        <v>66</v>
      </c>
      <c r="H364">
        <v>2</v>
      </c>
    </row>
    <row r="365" spans="1:8" x14ac:dyDescent="0.3">
      <c r="A365" t="s">
        <v>188</v>
      </c>
      <c r="B365">
        <v>2018</v>
      </c>
      <c r="C365" t="s">
        <v>147</v>
      </c>
      <c r="D365" t="s">
        <v>148</v>
      </c>
      <c r="E365" t="s">
        <v>65</v>
      </c>
      <c r="F365">
        <v>3600</v>
      </c>
      <c r="G365" t="s">
        <v>66</v>
      </c>
      <c r="H365">
        <v>6</v>
      </c>
    </row>
    <row r="366" spans="1:8" x14ac:dyDescent="0.3">
      <c r="A366" t="s">
        <v>188</v>
      </c>
      <c r="B366">
        <v>2019</v>
      </c>
      <c r="C366" t="s">
        <v>147</v>
      </c>
      <c r="D366" t="s">
        <v>148</v>
      </c>
      <c r="E366" t="s">
        <v>65</v>
      </c>
      <c r="F366">
        <v>3600</v>
      </c>
      <c r="G366" t="s">
        <v>66</v>
      </c>
      <c r="H366">
        <v>5</v>
      </c>
    </row>
    <row r="367" spans="1:8" x14ac:dyDescent="0.3">
      <c r="A367" t="s">
        <v>188</v>
      </c>
      <c r="B367">
        <v>2020</v>
      </c>
      <c r="C367" t="s">
        <v>147</v>
      </c>
      <c r="D367" t="s">
        <v>148</v>
      </c>
      <c r="E367" t="s">
        <v>65</v>
      </c>
      <c r="F367">
        <v>3600</v>
      </c>
      <c r="G367" t="s">
        <v>66</v>
      </c>
      <c r="H367">
        <v>5</v>
      </c>
    </row>
    <row r="368" spans="1:8" x14ac:dyDescent="0.3">
      <c r="A368" t="s">
        <v>188</v>
      </c>
      <c r="B368">
        <v>2021</v>
      </c>
      <c r="C368" t="s">
        <v>147</v>
      </c>
      <c r="D368" t="s">
        <v>148</v>
      </c>
      <c r="E368" t="s">
        <v>65</v>
      </c>
      <c r="F368">
        <v>3600</v>
      </c>
      <c r="G368" t="s">
        <v>66</v>
      </c>
      <c r="H368">
        <v>4</v>
      </c>
    </row>
    <row r="369" spans="1:8" x14ac:dyDescent="0.3">
      <c r="A369" t="s">
        <v>93</v>
      </c>
      <c r="B369">
        <v>2014</v>
      </c>
      <c r="C369" t="s">
        <v>147</v>
      </c>
      <c r="D369" t="s">
        <v>148</v>
      </c>
      <c r="E369" t="s">
        <v>65</v>
      </c>
      <c r="F369">
        <v>12125</v>
      </c>
      <c r="G369" t="s">
        <v>66</v>
      </c>
      <c r="H369">
        <v>31</v>
      </c>
    </row>
    <row r="370" spans="1:8" x14ac:dyDescent="0.3">
      <c r="A370" t="s">
        <v>93</v>
      </c>
      <c r="B370">
        <v>2015</v>
      </c>
      <c r="C370" t="s">
        <v>147</v>
      </c>
      <c r="D370" t="s">
        <v>148</v>
      </c>
      <c r="E370" t="s">
        <v>65</v>
      </c>
      <c r="F370">
        <v>12125</v>
      </c>
      <c r="G370" t="s">
        <v>66</v>
      </c>
      <c r="H370">
        <v>33</v>
      </c>
    </row>
    <row r="371" spans="1:8" x14ac:dyDescent="0.3">
      <c r="A371" t="s">
        <v>93</v>
      </c>
      <c r="B371">
        <v>2016</v>
      </c>
      <c r="C371" t="s">
        <v>147</v>
      </c>
      <c r="D371" t="s">
        <v>148</v>
      </c>
      <c r="E371" t="s">
        <v>65</v>
      </c>
      <c r="F371">
        <v>12125</v>
      </c>
      <c r="G371" t="s">
        <v>66</v>
      </c>
      <c r="H371">
        <v>42</v>
      </c>
    </row>
    <row r="372" spans="1:8" x14ac:dyDescent="0.3">
      <c r="A372" t="s">
        <v>93</v>
      </c>
      <c r="B372">
        <v>2017</v>
      </c>
      <c r="C372" t="s">
        <v>147</v>
      </c>
      <c r="D372" t="s">
        <v>148</v>
      </c>
      <c r="E372" t="s">
        <v>65</v>
      </c>
      <c r="F372">
        <v>12125</v>
      </c>
      <c r="G372" t="s">
        <v>66</v>
      </c>
      <c r="H372">
        <v>61</v>
      </c>
    </row>
    <row r="373" spans="1:8" x14ac:dyDescent="0.3">
      <c r="A373" t="s">
        <v>93</v>
      </c>
      <c r="B373">
        <v>2018</v>
      </c>
      <c r="C373" t="s">
        <v>147</v>
      </c>
      <c r="D373" t="s">
        <v>148</v>
      </c>
      <c r="E373" t="s">
        <v>65</v>
      </c>
      <c r="F373">
        <v>12125</v>
      </c>
      <c r="G373" t="s">
        <v>66</v>
      </c>
      <c r="H373">
        <v>51</v>
      </c>
    </row>
    <row r="374" spans="1:8" x14ac:dyDescent="0.3">
      <c r="A374" t="s">
        <v>93</v>
      </c>
      <c r="B374">
        <v>2019</v>
      </c>
      <c r="C374" t="s">
        <v>147</v>
      </c>
      <c r="D374" t="s">
        <v>148</v>
      </c>
      <c r="E374" t="s">
        <v>65</v>
      </c>
      <c r="F374">
        <v>12125</v>
      </c>
      <c r="G374" t="s">
        <v>66</v>
      </c>
      <c r="H374">
        <v>30</v>
      </c>
    </row>
    <row r="375" spans="1:8" x14ac:dyDescent="0.3">
      <c r="A375" t="s">
        <v>93</v>
      </c>
      <c r="B375">
        <v>2020</v>
      </c>
      <c r="C375" t="s">
        <v>147</v>
      </c>
      <c r="D375" t="s">
        <v>148</v>
      </c>
      <c r="E375" t="s">
        <v>65</v>
      </c>
      <c r="F375">
        <v>12125</v>
      </c>
      <c r="G375" t="s">
        <v>66</v>
      </c>
      <c r="H375">
        <v>45</v>
      </c>
    </row>
    <row r="376" spans="1:8" x14ac:dyDescent="0.3">
      <c r="A376" t="s">
        <v>93</v>
      </c>
      <c r="B376">
        <v>2021</v>
      </c>
      <c r="C376" t="s">
        <v>147</v>
      </c>
      <c r="D376" t="s">
        <v>148</v>
      </c>
      <c r="E376" t="s">
        <v>65</v>
      </c>
      <c r="F376">
        <v>12125</v>
      </c>
      <c r="G376" t="s">
        <v>66</v>
      </c>
      <c r="H376">
        <v>35</v>
      </c>
    </row>
    <row r="377" spans="1:8" x14ac:dyDescent="0.3">
      <c r="A377" t="s">
        <v>94</v>
      </c>
      <c r="B377">
        <v>2014</v>
      </c>
      <c r="C377" t="s">
        <v>147</v>
      </c>
      <c r="D377" t="s">
        <v>148</v>
      </c>
      <c r="E377" t="s">
        <v>65</v>
      </c>
      <c r="F377">
        <v>13870</v>
      </c>
      <c r="G377" t="s">
        <v>66</v>
      </c>
      <c r="H377">
        <v>19</v>
      </c>
    </row>
    <row r="378" spans="1:8" x14ac:dyDescent="0.3">
      <c r="A378" t="s">
        <v>94</v>
      </c>
      <c r="B378">
        <v>2015</v>
      </c>
      <c r="C378" t="s">
        <v>147</v>
      </c>
      <c r="D378" t="s">
        <v>148</v>
      </c>
      <c r="E378" t="s">
        <v>65</v>
      </c>
      <c r="F378">
        <v>13870</v>
      </c>
      <c r="G378" t="s">
        <v>66</v>
      </c>
      <c r="H378">
        <v>27</v>
      </c>
    </row>
    <row r="379" spans="1:8" x14ac:dyDescent="0.3">
      <c r="A379" t="s">
        <v>94</v>
      </c>
      <c r="B379">
        <v>2016</v>
      </c>
      <c r="C379" t="s">
        <v>147</v>
      </c>
      <c r="D379" t="s">
        <v>148</v>
      </c>
      <c r="E379" t="s">
        <v>65</v>
      </c>
      <c r="F379">
        <v>13870</v>
      </c>
      <c r="G379" t="s">
        <v>66</v>
      </c>
      <c r="H379">
        <v>39</v>
      </c>
    </row>
    <row r="380" spans="1:8" x14ac:dyDescent="0.3">
      <c r="A380" t="s">
        <v>94</v>
      </c>
      <c r="B380">
        <v>2017</v>
      </c>
      <c r="C380" t="s">
        <v>147</v>
      </c>
      <c r="D380" t="s">
        <v>148</v>
      </c>
      <c r="E380" t="s">
        <v>65</v>
      </c>
      <c r="F380">
        <v>13870</v>
      </c>
      <c r="G380" t="s">
        <v>66</v>
      </c>
      <c r="H380">
        <v>39</v>
      </c>
    </row>
    <row r="381" spans="1:8" x14ac:dyDescent="0.3">
      <c r="A381" t="s">
        <v>94</v>
      </c>
      <c r="B381">
        <v>2018</v>
      </c>
      <c r="C381" t="s">
        <v>147</v>
      </c>
      <c r="D381" t="s">
        <v>148</v>
      </c>
      <c r="E381" t="s">
        <v>65</v>
      </c>
      <c r="F381">
        <v>13870</v>
      </c>
      <c r="G381" t="s">
        <v>66</v>
      </c>
      <c r="H381">
        <v>41</v>
      </c>
    </row>
    <row r="382" spans="1:8" x14ac:dyDescent="0.3">
      <c r="A382" t="s">
        <v>94</v>
      </c>
      <c r="B382">
        <v>2019</v>
      </c>
      <c r="C382" t="s">
        <v>147</v>
      </c>
      <c r="D382" t="s">
        <v>148</v>
      </c>
      <c r="E382" t="s">
        <v>65</v>
      </c>
      <c r="F382">
        <v>13870</v>
      </c>
      <c r="G382" t="s">
        <v>66</v>
      </c>
      <c r="H382">
        <v>65</v>
      </c>
    </row>
    <row r="383" spans="1:8" x14ac:dyDescent="0.3">
      <c r="A383" t="s">
        <v>94</v>
      </c>
      <c r="B383">
        <v>2020</v>
      </c>
      <c r="C383" t="s">
        <v>147</v>
      </c>
      <c r="D383" t="s">
        <v>148</v>
      </c>
      <c r="E383" t="s">
        <v>65</v>
      </c>
      <c r="F383">
        <v>13870</v>
      </c>
      <c r="G383" t="s">
        <v>66</v>
      </c>
      <c r="H383">
        <v>70</v>
      </c>
    </row>
    <row r="384" spans="1:8" x14ac:dyDescent="0.3">
      <c r="A384" t="s">
        <v>94</v>
      </c>
      <c r="B384">
        <v>2021</v>
      </c>
      <c r="C384" t="s">
        <v>147</v>
      </c>
      <c r="D384" t="s">
        <v>148</v>
      </c>
      <c r="E384" t="s">
        <v>65</v>
      </c>
      <c r="F384">
        <v>13870</v>
      </c>
      <c r="G384" t="s">
        <v>66</v>
      </c>
      <c r="H384">
        <v>68</v>
      </c>
    </row>
    <row r="385" spans="1:8" x14ac:dyDescent="0.3">
      <c r="A385" t="s">
        <v>189</v>
      </c>
      <c r="B385">
        <v>2014</v>
      </c>
      <c r="C385" t="s">
        <v>147</v>
      </c>
      <c r="D385" t="s">
        <v>148</v>
      </c>
      <c r="E385" t="s">
        <v>65</v>
      </c>
      <c r="F385">
        <v>10361</v>
      </c>
      <c r="G385" t="s">
        <v>66</v>
      </c>
      <c r="H385">
        <v>5</v>
      </c>
    </row>
    <row r="386" spans="1:8" x14ac:dyDescent="0.3">
      <c r="A386" t="s">
        <v>189</v>
      </c>
      <c r="B386">
        <v>2015</v>
      </c>
      <c r="C386" t="s">
        <v>147</v>
      </c>
      <c r="D386" t="s">
        <v>148</v>
      </c>
      <c r="E386" t="s">
        <v>65</v>
      </c>
      <c r="F386">
        <v>10361</v>
      </c>
      <c r="G386" t="s">
        <v>66</v>
      </c>
      <c r="H386">
        <v>9</v>
      </c>
    </row>
    <row r="387" spans="1:8" x14ac:dyDescent="0.3">
      <c r="A387" t="s">
        <v>189</v>
      </c>
      <c r="B387">
        <v>2016</v>
      </c>
      <c r="C387" t="s">
        <v>147</v>
      </c>
      <c r="D387" t="s">
        <v>148</v>
      </c>
      <c r="E387" t="s">
        <v>65</v>
      </c>
      <c r="F387">
        <v>10361</v>
      </c>
      <c r="G387" t="s">
        <v>66</v>
      </c>
      <c r="H387">
        <v>15</v>
      </c>
    </row>
    <row r="388" spans="1:8" x14ac:dyDescent="0.3">
      <c r="A388" t="s">
        <v>189</v>
      </c>
      <c r="B388">
        <v>2017</v>
      </c>
      <c r="C388" t="s">
        <v>147</v>
      </c>
      <c r="D388" t="s">
        <v>148</v>
      </c>
      <c r="E388" t="s">
        <v>65</v>
      </c>
      <c r="F388">
        <v>10361</v>
      </c>
      <c r="G388" t="s">
        <v>66</v>
      </c>
      <c r="H388">
        <v>24</v>
      </c>
    </row>
    <row r="389" spans="1:8" x14ac:dyDescent="0.3">
      <c r="A389" t="s">
        <v>189</v>
      </c>
      <c r="B389">
        <v>2018</v>
      </c>
      <c r="C389" t="s">
        <v>147</v>
      </c>
      <c r="D389" t="s">
        <v>148</v>
      </c>
      <c r="E389" t="s">
        <v>65</v>
      </c>
      <c r="F389">
        <v>10361</v>
      </c>
      <c r="G389" t="s">
        <v>66</v>
      </c>
      <c r="H389">
        <v>22</v>
      </c>
    </row>
    <row r="390" spans="1:8" x14ac:dyDescent="0.3">
      <c r="A390" t="s">
        <v>189</v>
      </c>
      <c r="B390">
        <v>2019</v>
      </c>
      <c r="C390" t="s">
        <v>147</v>
      </c>
      <c r="D390" t="s">
        <v>148</v>
      </c>
      <c r="E390" t="s">
        <v>65</v>
      </c>
      <c r="F390">
        <v>10361</v>
      </c>
      <c r="G390" t="s">
        <v>66</v>
      </c>
      <c r="H390">
        <v>31</v>
      </c>
    </row>
    <row r="391" spans="1:8" x14ac:dyDescent="0.3">
      <c r="A391" t="s">
        <v>189</v>
      </c>
      <c r="B391">
        <v>2020</v>
      </c>
      <c r="C391" t="s">
        <v>147</v>
      </c>
      <c r="D391" t="s">
        <v>148</v>
      </c>
      <c r="E391" t="s">
        <v>65</v>
      </c>
      <c r="F391">
        <v>10361</v>
      </c>
      <c r="G391" t="s">
        <v>66</v>
      </c>
      <c r="H391">
        <v>26</v>
      </c>
    </row>
    <row r="392" spans="1:8" x14ac:dyDescent="0.3">
      <c r="A392" t="s">
        <v>189</v>
      </c>
      <c r="B392">
        <v>2021</v>
      </c>
      <c r="C392" t="s">
        <v>147</v>
      </c>
      <c r="D392" t="s">
        <v>148</v>
      </c>
      <c r="E392" t="s">
        <v>65</v>
      </c>
      <c r="F392">
        <v>10361</v>
      </c>
      <c r="G392" t="s">
        <v>66</v>
      </c>
      <c r="H392">
        <v>43</v>
      </c>
    </row>
    <row r="393" spans="1:8" x14ac:dyDescent="0.3">
      <c r="A393" t="s">
        <v>95</v>
      </c>
      <c r="B393">
        <v>2016</v>
      </c>
      <c r="C393" t="s">
        <v>147</v>
      </c>
      <c r="D393" t="s">
        <v>148</v>
      </c>
      <c r="E393" t="s">
        <v>65</v>
      </c>
      <c r="F393">
        <v>13870</v>
      </c>
      <c r="G393" t="s">
        <v>66</v>
      </c>
      <c r="H393">
        <v>2</v>
      </c>
    </row>
    <row r="394" spans="1:8" x14ac:dyDescent="0.3">
      <c r="A394" t="s">
        <v>95</v>
      </c>
      <c r="B394">
        <v>2017</v>
      </c>
      <c r="C394" t="s">
        <v>147</v>
      </c>
      <c r="D394" t="s">
        <v>148</v>
      </c>
      <c r="E394" t="s">
        <v>65</v>
      </c>
      <c r="F394">
        <v>13870</v>
      </c>
      <c r="G394" t="s">
        <v>66</v>
      </c>
      <c r="H394">
        <v>16</v>
      </c>
    </row>
    <row r="395" spans="1:8" x14ac:dyDescent="0.3">
      <c r="A395" t="s">
        <v>95</v>
      </c>
      <c r="B395">
        <v>2018</v>
      </c>
      <c r="C395" t="s">
        <v>147</v>
      </c>
      <c r="D395" t="s">
        <v>148</v>
      </c>
      <c r="E395" t="s">
        <v>65</v>
      </c>
      <c r="F395">
        <v>13870</v>
      </c>
      <c r="G395" t="s">
        <v>66</v>
      </c>
      <c r="H395">
        <v>16</v>
      </c>
    </row>
    <row r="396" spans="1:8" x14ac:dyDescent="0.3">
      <c r="A396" t="s">
        <v>95</v>
      </c>
      <c r="B396">
        <v>2019</v>
      </c>
      <c r="C396" t="s">
        <v>147</v>
      </c>
      <c r="D396" t="s">
        <v>148</v>
      </c>
      <c r="E396" t="s">
        <v>65</v>
      </c>
      <c r="F396">
        <v>13870</v>
      </c>
      <c r="G396" t="s">
        <v>66</v>
      </c>
      <c r="H396">
        <v>18</v>
      </c>
    </row>
    <row r="397" spans="1:8" x14ac:dyDescent="0.3">
      <c r="A397" t="s">
        <v>95</v>
      </c>
      <c r="B397">
        <v>2020</v>
      </c>
      <c r="C397" t="s">
        <v>147</v>
      </c>
      <c r="D397" t="s">
        <v>148</v>
      </c>
      <c r="E397" t="s">
        <v>65</v>
      </c>
      <c r="F397">
        <v>13870</v>
      </c>
      <c r="G397" t="s">
        <v>66</v>
      </c>
      <c r="H397">
        <v>20</v>
      </c>
    </row>
    <row r="398" spans="1:8" x14ac:dyDescent="0.3">
      <c r="A398" t="s">
        <v>95</v>
      </c>
      <c r="B398">
        <v>2021</v>
      </c>
      <c r="C398" t="s">
        <v>147</v>
      </c>
      <c r="D398" t="s">
        <v>148</v>
      </c>
      <c r="E398" t="s">
        <v>65</v>
      </c>
      <c r="F398">
        <v>13870</v>
      </c>
      <c r="G398" t="s">
        <v>66</v>
      </c>
      <c r="H398">
        <v>34</v>
      </c>
    </row>
    <row r="399" spans="1:8" x14ac:dyDescent="0.3">
      <c r="A399" t="s">
        <v>190</v>
      </c>
      <c r="B399">
        <v>2014</v>
      </c>
      <c r="C399" t="s">
        <v>147</v>
      </c>
      <c r="D399" t="s">
        <v>148</v>
      </c>
      <c r="E399" t="s">
        <v>65</v>
      </c>
      <c r="F399">
        <v>155000</v>
      </c>
      <c r="G399" t="s">
        <v>83</v>
      </c>
      <c r="H399">
        <v>1</v>
      </c>
    </row>
    <row r="400" spans="1:8" x14ac:dyDescent="0.3">
      <c r="A400" t="s">
        <v>190</v>
      </c>
      <c r="B400">
        <v>2015</v>
      </c>
      <c r="C400" t="s">
        <v>147</v>
      </c>
      <c r="D400" t="s">
        <v>148</v>
      </c>
      <c r="E400" t="s">
        <v>65</v>
      </c>
      <c r="F400">
        <v>155000</v>
      </c>
      <c r="G400" t="s">
        <v>83</v>
      </c>
      <c r="H400">
        <v>1</v>
      </c>
    </row>
    <row r="401" spans="1:8" x14ac:dyDescent="0.3">
      <c r="A401" t="s">
        <v>190</v>
      </c>
      <c r="B401">
        <v>2016</v>
      </c>
      <c r="C401" t="s">
        <v>147</v>
      </c>
      <c r="D401" t="s">
        <v>148</v>
      </c>
      <c r="E401" t="s">
        <v>65</v>
      </c>
      <c r="F401">
        <v>155000</v>
      </c>
      <c r="G401" t="s">
        <v>83</v>
      </c>
      <c r="H401">
        <v>8</v>
      </c>
    </row>
    <row r="402" spans="1:8" x14ac:dyDescent="0.3">
      <c r="A402" t="s">
        <v>190</v>
      </c>
      <c r="B402">
        <v>2017</v>
      </c>
      <c r="C402" t="s">
        <v>147</v>
      </c>
      <c r="D402" t="s">
        <v>148</v>
      </c>
      <c r="E402" t="s">
        <v>65</v>
      </c>
      <c r="F402">
        <v>155000</v>
      </c>
      <c r="G402" t="s">
        <v>83</v>
      </c>
      <c r="H402">
        <v>7</v>
      </c>
    </row>
    <row r="403" spans="1:8" x14ac:dyDescent="0.3">
      <c r="A403" t="s">
        <v>190</v>
      </c>
      <c r="B403">
        <v>2018</v>
      </c>
      <c r="C403" t="s">
        <v>147</v>
      </c>
      <c r="D403" t="s">
        <v>148</v>
      </c>
      <c r="E403" t="s">
        <v>65</v>
      </c>
      <c r="F403">
        <v>155000</v>
      </c>
      <c r="G403" t="s">
        <v>83</v>
      </c>
      <c r="H403">
        <v>6</v>
      </c>
    </row>
    <row r="404" spans="1:8" x14ac:dyDescent="0.3">
      <c r="A404" t="s">
        <v>190</v>
      </c>
      <c r="B404">
        <v>2019</v>
      </c>
      <c r="C404" t="s">
        <v>147</v>
      </c>
      <c r="D404" t="s">
        <v>148</v>
      </c>
      <c r="E404" t="s">
        <v>65</v>
      </c>
      <c r="F404">
        <v>155000</v>
      </c>
      <c r="G404" t="s">
        <v>83</v>
      </c>
      <c r="H404">
        <v>3</v>
      </c>
    </row>
    <row r="405" spans="1:8" x14ac:dyDescent="0.3">
      <c r="A405" t="s">
        <v>190</v>
      </c>
      <c r="B405">
        <v>2020</v>
      </c>
      <c r="C405" t="s">
        <v>147</v>
      </c>
      <c r="D405" t="s">
        <v>148</v>
      </c>
      <c r="E405" t="s">
        <v>65</v>
      </c>
      <c r="F405">
        <v>155000</v>
      </c>
      <c r="G405" t="s">
        <v>83</v>
      </c>
      <c r="H405">
        <v>4</v>
      </c>
    </row>
    <row r="406" spans="1:8" x14ac:dyDescent="0.3">
      <c r="A406" t="s">
        <v>190</v>
      </c>
      <c r="B406">
        <v>2021</v>
      </c>
      <c r="C406" t="s">
        <v>147</v>
      </c>
      <c r="D406" t="s">
        <v>148</v>
      </c>
      <c r="E406" t="s">
        <v>65</v>
      </c>
      <c r="F406">
        <v>155000</v>
      </c>
      <c r="G406" t="s">
        <v>83</v>
      </c>
      <c r="H406">
        <v>1</v>
      </c>
    </row>
    <row r="407" spans="1:8" x14ac:dyDescent="0.3">
      <c r="A407" t="s">
        <v>96</v>
      </c>
      <c r="B407">
        <v>2014</v>
      </c>
      <c r="C407" t="s">
        <v>147</v>
      </c>
      <c r="D407" t="s">
        <v>148</v>
      </c>
      <c r="E407" t="s">
        <v>65</v>
      </c>
      <c r="F407">
        <v>4600</v>
      </c>
      <c r="G407" t="s">
        <v>66</v>
      </c>
      <c r="H407">
        <v>15</v>
      </c>
    </row>
    <row r="408" spans="1:8" x14ac:dyDescent="0.3">
      <c r="A408" t="s">
        <v>96</v>
      </c>
      <c r="B408">
        <v>2015</v>
      </c>
      <c r="C408" t="s">
        <v>147</v>
      </c>
      <c r="D408" t="s">
        <v>148</v>
      </c>
      <c r="E408" t="s">
        <v>65</v>
      </c>
      <c r="F408">
        <v>4600</v>
      </c>
      <c r="G408" t="s">
        <v>66</v>
      </c>
      <c r="H408">
        <v>37</v>
      </c>
    </row>
    <row r="409" spans="1:8" x14ac:dyDescent="0.3">
      <c r="A409" t="s">
        <v>96</v>
      </c>
      <c r="B409">
        <v>2016</v>
      </c>
      <c r="C409" t="s">
        <v>147</v>
      </c>
      <c r="D409" t="s">
        <v>148</v>
      </c>
      <c r="E409" t="s">
        <v>65</v>
      </c>
      <c r="F409">
        <v>4600</v>
      </c>
      <c r="G409" t="s">
        <v>66</v>
      </c>
      <c r="H409">
        <v>27</v>
      </c>
    </row>
    <row r="410" spans="1:8" x14ac:dyDescent="0.3">
      <c r="A410" t="s">
        <v>96</v>
      </c>
      <c r="B410">
        <v>2017</v>
      </c>
      <c r="C410" t="s">
        <v>147</v>
      </c>
      <c r="D410" t="s">
        <v>148</v>
      </c>
      <c r="E410" t="s">
        <v>65</v>
      </c>
      <c r="F410">
        <v>4600</v>
      </c>
      <c r="G410" t="s">
        <v>66</v>
      </c>
      <c r="H410">
        <v>21</v>
      </c>
    </row>
    <row r="411" spans="1:8" x14ac:dyDescent="0.3">
      <c r="A411" t="s">
        <v>96</v>
      </c>
      <c r="B411">
        <v>2018</v>
      </c>
      <c r="C411" t="s">
        <v>147</v>
      </c>
      <c r="D411" t="s">
        <v>148</v>
      </c>
      <c r="E411" t="s">
        <v>65</v>
      </c>
      <c r="F411">
        <v>4600</v>
      </c>
      <c r="G411" t="s">
        <v>66</v>
      </c>
      <c r="H411">
        <v>26</v>
      </c>
    </row>
    <row r="412" spans="1:8" x14ac:dyDescent="0.3">
      <c r="A412" t="s">
        <v>96</v>
      </c>
      <c r="B412">
        <v>2019</v>
      </c>
      <c r="C412" t="s">
        <v>147</v>
      </c>
      <c r="D412" t="s">
        <v>148</v>
      </c>
      <c r="E412" t="s">
        <v>65</v>
      </c>
      <c r="F412">
        <v>4600</v>
      </c>
      <c r="G412" t="s">
        <v>66</v>
      </c>
      <c r="H412">
        <v>4</v>
      </c>
    </row>
    <row r="413" spans="1:8" x14ac:dyDescent="0.3">
      <c r="A413" t="s">
        <v>96</v>
      </c>
      <c r="B413">
        <v>2020</v>
      </c>
      <c r="C413" t="s">
        <v>147</v>
      </c>
      <c r="D413" t="s">
        <v>148</v>
      </c>
      <c r="E413" t="s">
        <v>65</v>
      </c>
      <c r="F413">
        <v>4600</v>
      </c>
      <c r="G413" t="s">
        <v>66</v>
      </c>
      <c r="H413">
        <v>7</v>
      </c>
    </row>
    <row r="414" spans="1:8" x14ac:dyDescent="0.3">
      <c r="A414" t="s">
        <v>96</v>
      </c>
      <c r="B414">
        <v>2021</v>
      </c>
      <c r="C414" t="s">
        <v>147</v>
      </c>
      <c r="D414" t="s">
        <v>148</v>
      </c>
      <c r="E414" t="s">
        <v>65</v>
      </c>
      <c r="F414">
        <v>4600</v>
      </c>
      <c r="G414" t="s">
        <v>66</v>
      </c>
      <c r="H414">
        <v>18</v>
      </c>
    </row>
    <row r="415" spans="1:8" x14ac:dyDescent="0.3">
      <c r="A415" t="s">
        <v>191</v>
      </c>
      <c r="B415">
        <v>2020</v>
      </c>
      <c r="C415" t="s">
        <v>147</v>
      </c>
      <c r="D415" t="s">
        <v>148</v>
      </c>
      <c r="E415" t="s">
        <v>65</v>
      </c>
      <c r="F415">
        <v>5990</v>
      </c>
      <c r="G415" t="s">
        <v>66</v>
      </c>
      <c r="H415">
        <v>8</v>
      </c>
    </row>
    <row r="416" spans="1:8" x14ac:dyDescent="0.3">
      <c r="A416" t="s">
        <v>191</v>
      </c>
      <c r="B416">
        <v>2021</v>
      </c>
      <c r="C416" t="s">
        <v>147</v>
      </c>
      <c r="D416" t="s">
        <v>148</v>
      </c>
      <c r="E416" t="s">
        <v>65</v>
      </c>
      <c r="F416">
        <v>5990</v>
      </c>
      <c r="G416" t="s">
        <v>66</v>
      </c>
      <c r="H416">
        <v>1</v>
      </c>
    </row>
    <row r="417" spans="1:8" x14ac:dyDescent="0.3">
      <c r="A417" t="s">
        <v>192</v>
      </c>
      <c r="B417">
        <v>2014</v>
      </c>
      <c r="C417" t="s">
        <v>147</v>
      </c>
      <c r="D417" t="s">
        <v>148</v>
      </c>
      <c r="E417" t="s">
        <v>65</v>
      </c>
      <c r="F417">
        <v>4850</v>
      </c>
      <c r="G417" t="s">
        <v>66</v>
      </c>
      <c r="H417">
        <v>1</v>
      </c>
    </row>
    <row r="418" spans="1:8" x14ac:dyDescent="0.3">
      <c r="A418" t="s">
        <v>192</v>
      </c>
      <c r="B418">
        <v>2015</v>
      </c>
      <c r="C418" t="s">
        <v>147</v>
      </c>
      <c r="D418" t="s">
        <v>148</v>
      </c>
      <c r="E418" t="s">
        <v>65</v>
      </c>
      <c r="F418">
        <v>4850</v>
      </c>
      <c r="G418" t="s">
        <v>66</v>
      </c>
      <c r="H418">
        <v>1</v>
      </c>
    </row>
    <row r="419" spans="1:8" x14ac:dyDescent="0.3">
      <c r="A419" t="s">
        <v>192</v>
      </c>
      <c r="B419">
        <v>2016</v>
      </c>
      <c r="C419" t="s">
        <v>147</v>
      </c>
      <c r="D419" t="s">
        <v>148</v>
      </c>
      <c r="E419" t="s">
        <v>65</v>
      </c>
      <c r="F419">
        <v>4850</v>
      </c>
      <c r="G419" t="s">
        <v>66</v>
      </c>
      <c r="H419">
        <v>6</v>
      </c>
    </row>
    <row r="420" spans="1:8" x14ac:dyDescent="0.3">
      <c r="A420" t="s">
        <v>192</v>
      </c>
      <c r="B420">
        <v>2017</v>
      </c>
      <c r="C420" t="s">
        <v>147</v>
      </c>
      <c r="D420" t="s">
        <v>148</v>
      </c>
      <c r="E420" t="s">
        <v>65</v>
      </c>
      <c r="F420">
        <v>4850</v>
      </c>
      <c r="G420" t="s">
        <v>66</v>
      </c>
      <c r="H420">
        <v>1</v>
      </c>
    </row>
    <row r="421" spans="1:8" x14ac:dyDescent="0.3">
      <c r="A421" t="s">
        <v>192</v>
      </c>
      <c r="B421">
        <v>2018</v>
      </c>
      <c r="C421" t="s">
        <v>147</v>
      </c>
      <c r="D421" t="s">
        <v>148</v>
      </c>
      <c r="E421" t="s">
        <v>65</v>
      </c>
      <c r="F421">
        <v>4850</v>
      </c>
      <c r="G421" t="s">
        <v>66</v>
      </c>
      <c r="H421">
        <v>1</v>
      </c>
    </row>
    <row r="422" spans="1:8" x14ac:dyDescent="0.3">
      <c r="A422" t="s">
        <v>192</v>
      </c>
      <c r="B422">
        <v>2019</v>
      </c>
      <c r="C422" t="s">
        <v>147</v>
      </c>
      <c r="D422" t="s">
        <v>148</v>
      </c>
      <c r="E422" t="s">
        <v>65</v>
      </c>
      <c r="F422">
        <v>4850</v>
      </c>
      <c r="G422" t="s">
        <v>66</v>
      </c>
      <c r="H422">
        <v>3</v>
      </c>
    </row>
    <row r="423" spans="1:8" x14ac:dyDescent="0.3">
      <c r="A423" t="s">
        <v>192</v>
      </c>
      <c r="B423">
        <v>2020</v>
      </c>
      <c r="C423" t="s">
        <v>147</v>
      </c>
      <c r="D423" t="s">
        <v>148</v>
      </c>
      <c r="E423" t="s">
        <v>65</v>
      </c>
      <c r="F423">
        <v>4850</v>
      </c>
      <c r="G423" t="s">
        <v>66</v>
      </c>
      <c r="H423">
        <v>2</v>
      </c>
    </row>
    <row r="424" spans="1:8" x14ac:dyDescent="0.3">
      <c r="A424" t="s">
        <v>192</v>
      </c>
      <c r="B424">
        <v>2021</v>
      </c>
      <c r="C424" t="s">
        <v>147</v>
      </c>
      <c r="D424" t="s">
        <v>148</v>
      </c>
      <c r="E424" t="s">
        <v>65</v>
      </c>
      <c r="F424">
        <v>4850</v>
      </c>
      <c r="G424" t="s">
        <v>66</v>
      </c>
      <c r="H424">
        <v>1</v>
      </c>
    </row>
    <row r="425" spans="1:8" x14ac:dyDescent="0.3">
      <c r="A425" t="s">
        <v>97</v>
      </c>
      <c r="B425">
        <v>2014</v>
      </c>
      <c r="C425" t="s">
        <v>147</v>
      </c>
      <c r="D425" t="s">
        <v>148</v>
      </c>
      <c r="E425" t="s">
        <v>65</v>
      </c>
      <c r="F425">
        <v>5974</v>
      </c>
      <c r="G425" t="s">
        <v>66</v>
      </c>
      <c r="H425">
        <v>6</v>
      </c>
    </row>
    <row r="426" spans="1:8" x14ac:dyDescent="0.3">
      <c r="A426" t="s">
        <v>97</v>
      </c>
      <c r="B426">
        <v>2015</v>
      </c>
      <c r="C426" t="s">
        <v>147</v>
      </c>
      <c r="D426" t="s">
        <v>148</v>
      </c>
      <c r="E426" t="s">
        <v>65</v>
      </c>
      <c r="F426">
        <v>5974</v>
      </c>
      <c r="G426" t="s">
        <v>66</v>
      </c>
      <c r="H426">
        <v>18</v>
      </c>
    </row>
    <row r="427" spans="1:8" x14ac:dyDescent="0.3">
      <c r="A427" t="s">
        <v>97</v>
      </c>
      <c r="B427">
        <v>2016</v>
      </c>
      <c r="C427" t="s">
        <v>147</v>
      </c>
      <c r="D427" t="s">
        <v>148</v>
      </c>
      <c r="E427" t="s">
        <v>65</v>
      </c>
      <c r="F427">
        <v>5974</v>
      </c>
      <c r="G427" t="s">
        <v>66</v>
      </c>
      <c r="H427">
        <v>16</v>
      </c>
    </row>
    <row r="428" spans="1:8" x14ac:dyDescent="0.3">
      <c r="A428" t="s">
        <v>97</v>
      </c>
      <c r="B428">
        <v>2017</v>
      </c>
      <c r="C428" t="s">
        <v>147</v>
      </c>
      <c r="D428" t="s">
        <v>148</v>
      </c>
      <c r="E428" t="s">
        <v>65</v>
      </c>
      <c r="F428">
        <v>5974</v>
      </c>
      <c r="G428" t="s">
        <v>66</v>
      </c>
      <c r="H428">
        <v>19</v>
      </c>
    </row>
    <row r="429" spans="1:8" x14ac:dyDescent="0.3">
      <c r="A429" t="s">
        <v>97</v>
      </c>
      <c r="B429">
        <v>2018</v>
      </c>
      <c r="C429" t="s">
        <v>147</v>
      </c>
      <c r="D429" t="s">
        <v>148</v>
      </c>
      <c r="E429" t="s">
        <v>65</v>
      </c>
      <c r="F429">
        <v>5974</v>
      </c>
      <c r="G429" t="s">
        <v>66</v>
      </c>
      <c r="H429">
        <v>12</v>
      </c>
    </row>
    <row r="430" spans="1:8" x14ac:dyDescent="0.3">
      <c r="A430" t="s">
        <v>97</v>
      </c>
      <c r="B430">
        <v>2019</v>
      </c>
      <c r="C430" t="s">
        <v>147</v>
      </c>
      <c r="D430" t="s">
        <v>148</v>
      </c>
      <c r="E430" t="s">
        <v>65</v>
      </c>
      <c r="F430">
        <v>5974</v>
      </c>
      <c r="G430" t="s">
        <v>66</v>
      </c>
      <c r="H430">
        <v>24</v>
      </c>
    </row>
    <row r="431" spans="1:8" x14ac:dyDescent="0.3">
      <c r="A431" t="s">
        <v>97</v>
      </c>
      <c r="B431">
        <v>2020</v>
      </c>
      <c r="C431" t="s">
        <v>147</v>
      </c>
      <c r="D431" t="s">
        <v>148</v>
      </c>
      <c r="E431" t="s">
        <v>65</v>
      </c>
      <c r="F431">
        <v>5974</v>
      </c>
      <c r="G431" t="s">
        <v>66</v>
      </c>
      <c r="H431">
        <v>12</v>
      </c>
    </row>
    <row r="432" spans="1:8" x14ac:dyDescent="0.3">
      <c r="A432" t="s">
        <v>97</v>
      </c>
      <c r="B432">
        <v>2021</v>
      </c>
      <c r="C432" t="s">
        <v>147</v>
      </c>
      <c r="D432" t="s">
        <v>148</v>
      </c>
      <c r="E432" t="s">
        <v>65</v>
      </c>
      <c r="F432">
        <v>5974</v>
      </c>
      <c r="G432" t="s">
        <v>66</v>
      </c>
      <c r="H432">
        <v>16</v>
      </c>
    </row>
    <row r="433" spans="1:8" x14ac:dyDescent="0.3">
      <c r="A433" t="s">
        <v>98</v>
      </c>
      <c r="B433">
        <v>2014</v>
      </c>
      <c r="C433" t="s">
        <v>147</v>
      </c>
      <c r="D433" t="s">
        <v>148</v>
      </c>
      <c r="E433" t="s">
        <v>65</v>
      </c>
      <c r="F433">
        <v>6850</v>
      </c>
      <c r="G433" t="s">
        <v>66</v>
      </c>
      <c r="H433">
        <v>2</v>
      </c>
    </row>
    <row r="434" spans="1:8" x14ac:dyDescent="0.3">
      <c r="A434" t="s">
        <v>98</v>
      </c>
      <c r="B434">
        <v>2015</v>
      </c>
      <c r="C434" t="s">
        <v>147</v>
      </c>
      <c r="D434" t="s">
        <v>148</v>
      </c>
      <c r="E434" t="s">
        <v>65</v>
      </c>
      <c r="F434">
        <v>6850</v>
      </c>
      <c r="G434" t="s">
        <v>66</v>
      </c>
      <c r="H434">
        <v>1</v>
      </c>
    </row>
    <row r="435" spans="1:8" x14ac:dyDescent="0.3">
      <c r="A435" t="s">
        <v>98</v>
      </c>
      <c r="B435">
        <v>2016</v>
      </c>
      <c r="C435" t="s">
        <v>147</v>
      </c>
      <c r="D435" t="s">
        <v>148</v>
      </c>
      <c r="E435" t="s">
        <v>65</v>
      </c>
      <c r="F435">
        <v>6850</v>
      </c>
      <c r="G435" t="s">
        <v>66</v>
      </c>
      <c r="H435">
        <v>3</v>
      </c>
    </row>
    <row r="436" spans="1:8" x14ac:dyDescent="0.3">
      <c r="A436" t="s">
        <v>98</v>
      </c>
      <c r="B436">
        <v>2017</v>
      </c>
      <c r="C436" t="s">
        <v>147</v>
      </c>
      <c r="D436" t="s">
        <v>148</v>
      </c>
      <c r="E436" t="s">
        <v>65</v>
      </c>
      <c r="F436">
        <v>6850</v>
      </c>
      <c r="G436" t="s">
        <v>66</v>
      </c>
      <c r="H436">
        <v>1</v>
      </c>
    </row>
    <row r="437" spans="1:8" x14ac:dyDescent="0.3">
      <c r="A437" t="s">
        <v>98</v>
      </c>
      <c r="B437">
        <v>2018</v>
      </c>
      <c r="C437" t="s">
        <v>147</v>
      </c>
      <c r="D437" t="s">
        <v>148</v>
      </c>
      <c r="E437" t="s">
        <v>65</v>
      </c>
      <c r="F437">
        <v>6850</v>
      </c>
      <c r="G437" t="s">
        <v>66</v>
      </c>
      <c r="H437">
        <v>3</v>
      </c>
    </row>
    <row r="438" spans="1:8" x14ac:dyDescent="0.3">
      <c r="A438" t="s">
        <v>98</v>
      </c>
      <c r="B438">
        <v>2019</v>
      </c>
      <c r="C438" t="s">
        <v>147</v>
      </c>
      <c r="D438" t="s">
        <v>148</v>
      </c>
      <c r="E438" t="s">
        <v>65</v>
      </c>
      <c r="F438">
        <v>6850</v>
      </c>
      <c r="G438" t="s">
        <v>66</v>
      </c>
      <c r="H438">
        <v>3</v>
      </c>
    </row>
    <row r="439" spans="1:8" x14ac:dyDescent="0.3">
      <c r="A439" t="s">
        <v>99</v>
      </c>
      <c r="B439">
        <v>2017</v>
      </c>
      <c r="C439" t="s">
        <v>147</v>
      </c>
      <c r="D439" t="s">
        <v>148</v>
      </c>
      <c r="E439" t="s">
        <v>65</v>
      </c>
      <c r="F439">
        <v>8400</v>
      </c>
      <c r="G439" t="s">
        <v>66</v>
      </c>
      <c r="H439">
        <v>1</v>
      </c>
    </row>
    <row r="440" spans="1:8" x14ac:dyDescent="0.3">
      <c r="A440" t="s">
        <v>99</v>
      </c>
      <c r="B440">
        <v>2018</v>
      </c>
      <c r="C440" t="s">
        <v>147</v>
      </c>
      <c r="D440" t="s">
        <v>148</v>
      </c>
      <c r="E440" t="s">
        <v>65</v>
      </c>
      <c r="F440">
        <v>8400</v>
      </c>
      <c r="G440" t="s">
        <v>66</v>
      </c>
      <c r="H440">
        <v>1</v>
      </c>
    </row>
    <row r="441" spans="1:8" x14ac:dyDescent="0.3">
      <c r="A441" t="s">
        <v>99</v>
      </c>
      <c r="B441">
        <v>2019</v>
      </c>
      <c r="C441" t="s">
        <v>147</v>
      </c>
      <c r="D441" t="s">
        <v>148</v>
      </c>
      <c r="E441" t="s">
        <v>65</v>
      </c>
      <c r="F441">
        <v>8400</v>
      </c>
      <c r="G441" t="s">
        <v>66</v>
      </c>
      <c r="H441">
        <v>14</v>
      </c>
    </row>
    <row r="442" spans="1:8" x14ac:dyDescent="0.3">
      <c r="A442" t="s">
        <v>99</v>
      </c>
      <c r="B442">
        <v>2020</v>
      </c>
      <c r="C442" t="s">
        <v>147</v>
      </c>
      <c r="D442" t="s">
        <v>148</v>
      </c>
      <c r="E442" t="s">
        <v>65</v>
      </c>
      <c r="F442">
        <v>8400</v>
      </c>
      <c r="G442" t="s">
        <v>66</v>
      </c>
      <c r="H442">
        <v>6</v>
      </c>
    </row>
    <row r="443" spans="1:8" x14ac:dyDescent="0.3">
      <c r="A443" t="s">
        <v>100</v>
      </c>
      <c r="B443">
        <v>2014</v>
      </c>
      <c r="C443" t="s">
        <v>147</v>
      </c>
      <c r="D443" t="s">
        <v>148</v>
      </c>
      <c r="E443" t="s">
        <v>65</v>
      </c>
      <c r="F443">
        <v>6750</v>
      </c>
      <c r="G443" t="s">
        <v>66</v>
      </c>
      <c r="H443">
        <v>10</v>
      </c>
    </row>
    <row r="444" spans="1:8" x14ac:dyDescent="0.3">
      <c r="A444" t="s">
        <v>100</v>
      </c>
      <c r="B444">
        <v>2015</v>
      </c>
      <c r="C444" t="s">
        <v>147</v>
      </c>
      <c r="D444" t="s">
        <v>148</v>
      </c>
      <c r="E444" t="s">
        <v>65</v>
      </c>
      <c r="F444">
        <v>6750</v>
      </c>
      <c r="G444" t="s">
        <v>66</v>
      </c>
      <c r="H444">
        <v>16</v>
      </c>
    </row>
    <row r="445" spans="1:8" x14ac:dyDescent="0.3">
      <c r="A445" t="s">
        <v>100</v>
      </c>
      <c r="B445">
        <v>2016</v>
      </c>
      <c r="C445" t="s">
        <v>147</v>
      </c>
      <c r="D445" t="s">
        <v>148</v>
      </c>
      <c r="E445" t="s">
        <v>65</v>
      </c>
      <c r="F445">
        <v>6750</v>
      </c>
      <c r="G445" t="s">
        <v>66</v>
      </c>
      <c r="H445">
        <v>17</v>
      </c>
    </row>
    <row r="446" spans="1:8" x14ac:dyDescent="0.3">
      <c r="A446" t="s">
        <v>100</v>
      </c>
      <c r="B446">
        <v>2017</v>
      </c>
      <c r="C446" t="s">
        <v>147</v>
      </c>
      <c r="D446" t="s">
        <v>148</v>
      </c>
      <c r="E446" t="s">
        <v>65</v>
      </c>
      <c r="F446">
        <v>6750</v>
      </c>
      <c r="G446" t="s">
        <v>66</v>
      </c>
      <c r="H446">
        <v>9</v>
      </c>
    </row>
    <row r="447" spans="1:8" x14ac:dyDescent="0.3">
      <c r="A447" t="s">
        <v>100</v>
      </c>
      <c r="B447">
        <v>2018</v>
      </c>
      <c r="C447" t="s">
        <v>147</v>
      </c>
      <c r="D447" t="s">
        <v>148</v>
      </c>
      <c r="E447" t="s">
        <v>65</v>
      </c>
      <c r="F447">
        <v>6750</v>
      </c>
      <c r="G447" t="s">
        <v>66</v>
      </c>
      <c r="H447">
        <v>16</v>
      </c>
    </row>
    <row r="448" spans="1:8" x14ac:dyDescent="0.3">
      <c r="A448" t="s">
        <v>100</v>
      </c>
      <c r="B448">
        <v>2019</v>
      </c>
      <c r="C448" t="s">
        <v>147</v>
      </c>
      <c r="D448" t="s">
        <v>148</v>
      </c>
      <c r="E448" t="s">
        <v>65</v>
      </c>
      <c r="F448">
        <v>6750</v>
      </c>
      <c r="G448" t="s">
        <v>66</v>
      </c>
      <c r="H448">
        <v>4</v>
      </c>
    </row>
    <row r="449" spans="1:8" x14ac:dyDescent="0.3">
      <c r="A449" t="s">
        <v>100</v>
      </c>
      <c r="B449">
        <v>2020</v>
      </c>
      <c r="C449" t="s">
        <v>147</v>
      </c>
      <c r="D449" t="s">
        <v>148</v>
      </c>
      <c r="E449" t="s">
        <v>65</v>
      </c>
      <c r="F449">
        <v>6750</v>
      </c>
      <c r="G449" t="s">
        <v>66</v>
      </c>
      <c r="H449">
        <v>26</v>
      </c>
    </row>
    <row r="450" spans="1:8" x14ac:dyDescent="0.3">
      <c r="A450" t="s">
        <v>100</v>
      </c>
      <c r="B450">
        <v>2021</v>
      </c>
      <c r="C450" t="s">
        <v>147</v>
      </c>
      <c r="D450" t="s">
        <v>148</v>
      </c>
      <c r="E450" t="s">
        <v>65</v>
      </c>
      <c r="F450">
        <v>6750</v>
      </c>
      <c r="G450" t="s">
        <v>66</v>
      </c>
      <c r="H450">
        <v>10</v>
      </c>
    </row>
    <row r="451" spans="1:8" x14ac:dyDescent="0.3">
      <c r="A451" t="s">
        <v>101</v>
      </c>
      <c r="B451">
        <v>2014</v>
      </c>
      <c r="C451" t="s">
        <v>147</v>
      </c>
      <c r="D451" t="s">
        <v>148</v>
      </c>
      <c r="E451" t="s">
        <v>65</v>
      </c>
      <c r="F451">
        <v>7450</v>
      </c>
      <c r="G451" t="s">
        <v>66</v>
      </c>
      <c r="H451">
        <v>9</v>
      </c>
    </row>
    <row r="452" spans="1:8" x14ac:dyDescent="0.3">
      <c r="A452" t="s">
        <v>101</v>
      </c>
      <c r="B452">
        <v>2015</v>
      </c>
      <c r="C452" t="s">
        <v>147</v>
      </c>
      <c r="D452" t="s">
        <v>148</v>
      </c>
      <c r="E452" t="s">
        <v>65</v>
      </c>
      <c r="F452">
        <v>7450</v>
      </c>
      <c r="G452" t="s">
        <v>66</v>
      </c>
      <c r="H452">
        <v>17</v>
      </c>
    </row>
    <row r="453" spans="1:8" x14ac:dyDescent="0.3">
      <c r="A453" t="s">
        <v>101</v>
      </c>
      <c r="B453">
        <v>2016</v>
      </c>
      <c r="C453" t="s">
        <v>147</v>
      </c>
      <c r="D453" t="s">
        <v>148</v>
      </c>
      <c r="E453" t="s">
        <v>65</v>
      </c>
      <c r="F453">
        <v>7450</v>
      </c>
      <c r="G453" t="s">
        <v>66</v>
      </c>
      <c r="H453">
        <v>10</v>
      </c>
    </row>
    <row r="454" spans="1:8" x14ac:dyDescent="0.3">
      <c r="A454" t="s">
        <v>101</v>
      </c>
      <c r="B454">
        <v>2017</v>
      </c>
      <c r="C454" t="s">
        <v>147</v>
      </c>
      <c r="D454" t="s">
        <v>148</v>
      </c>
      <c r="E454" t="s">
        <v>65</v>
      </c>
      <c r="F454">
        <v>7450</v>
      </c>
      <c r="G454" t="s">
        <v>66</v>
      </c>
      <c r="H454">
        <v>15</v>
      </c>
    </row>
    <row r="455" spans="1:8" x14ac:dyDescent="0.3">
      <c r="A455" t="s">
        <v>101</v>
      </c>
      <c r="B455">
        <v>2018</v>
      </c>
      <c r="C455" t="s">
        <v>147</v>
      </c>
      <c r="D455" t="s">
        <v>148</v>
      </c>
      <c r="E455" t="s">
        <v>65</v>
      </c>
      <c r="F455">
        <v>7450</v>
      </c>
      <c r="G455" t="s">
        <v>66</v>
      </c>
      <c r="H455">
        <v>15</v>
      </c>
    </row>
    <row r="456" spans="1:8" x14ac:dyDescent="0.3">
      <c r="A456" t="s">
        <v>101</v>
      </c>
      <c r="B456">
        <v>2019</v>
      </c>
      <c r="C456" t="s">
        <v>147</v>
      </c>
      <c r="D456" t="s">
        <v>148</v>
      </c>
      <c r="E456" t="s">
        <v>65</v>
      </c>
      <c r="F456">
        <v>7450</v>
      </c>
      <c r="G456" t="s">
        <v>66</v>
      </c>
      <c r="H456">
        <v>15</v>
      </c>
    </row>
    <row r="457" spans="1:8" x14ac:dyDescent="0.3">
      <c r="A457" t="s">
        <v>101</v>
      </c>
      <c r="B457">
        <v>2020</v>
      </c>
      <c r="C457" t="s">
        <v>147</v>
      </c>
      <c r="D457" t="s">
        <v>148</v>
      </c>
      <c r="E457" t="s">
        <v>65</v>
      </c>
      <c r="F457">
        <v>7450</v>
      </c>
      <c r="G457" t="s">
        <v>66</v>
      </c>
      <c r="H457">
        <v>17</v>
      </c>
    </row>
    <row r="458" spans="1:8" x14ac:dyDescent="0.3">
      <c r="A458" t="s">
        <v>101</v>
      </c>
      <c r="B458">
        <v>2021</v>
      </c>
      <c r="C458" t="s">
        <v>147</v>
      </c>
      <c r="D458" t="s">
        <v>148</v>
      </c>
      <c r="E458" t="s">
        <v>65</v>
      </c>
      <c r="F458">
        <v>7450</v>
      </c>
      <c r="G458" t="s">
        <v>66</v>
      </c>
      <c r="H458">
        <v>22</v>
      </c>
    </row>
    <row r="459" spans="1:8" x14ac:dyDescent="0.3">
      <c r="A459" t="s">
        <v>193</v>
      </c>
      <c r="B459">
        <v>2014</v>
      </c>
      <c r="C459" t="s">
        <v>147</v>
      </c>
      <c r="D459" t="s">
        <v>148</v>
      </c>
      <c r="E459" t="s">
        <v>65</v>
      </c>
      <c r="F459">
        <v>8598</v>
      </c>
      <c r="G459" t="s">
        <v>66</v>
      </c>
      <c r="H459">
        <v>8</v>
      </c>
    </row>
    <row r="460" spans="1:8" x14ac:dyDescent="0.3">
      <c r="A460" t="s">
        <v>193</v>
      </c>
      <c r="B460">
        <v>2015</v>
      </c>
      <c r="C460" t="s">
        <v>147</v>
      </c>
      <c r="D460" t="s">
        <v>148</v>
      </c>
      <c r="E460" t="s">
        <v>65</v>
      </c>
      <c r="F460">
        <v>8598</v>
      </c>
      <c r="G460" t="s">
        <v>66</v>
      </c>
      <c r="H460">
        <v>37</v>
      </c>
    </row>
    <row r="461" spans="1:8" x14ac:dyDescent="0.3">
      <c r="A461" t="s">
        <v>193</v>
      </c>
      <c r="B461">
        <v>2016</v>
      </c>
      <c r="C461" t="s">
        <v>147</v>
      </c>
      <c r="D461" t="s">
        <v>148</v>
      </c>
      <c r="E461" t="s">
        <v>65</v>
      </c>
      <c r="F461">
        <v>8598</v>
      </c>
      <c r="G461" t="s">
        <v>66</v>
      </c>
      <c r="H461">
        <v>27</v>
      </c>
    </row>
    <row r="462" spans="1:8" x14ac:dyDescent="0.3">
      <c r="A462" t="s">
        <v>193</v>
      </c>
      <c r="B462">
        <v>2017</v>
      </c>
      <c r="C462" t="s">
        <v>147</v>
      </c>
      <c r="D462" t="s">
        <v>148</v>
      </c>
      <c r="E462" t="s">
        <v>65</v>
      </c>
      <c r="F462">
        <v>8598</v>
      </c>
      <c r="G462" t="s">
        <v>66</v>
      </c>
      <c r="H462">
        <v>11</v>
      </c>
    </row>
    <row r="463" spans="1:8" x14ac:dyDescent="0.3">
      <c r="A463" t="s">
        <v>193</v>
      </c>
      <c r="B463">
        <v>2018</v>
      </c>
      <c r="C463" t="s">
        <v>147</v>
      </c>
      <c r="D463" t="s">
        <v>148</v>
      </c>
      <c r="E463" t="s">
        <v>65</v>
      </c>
      <c r="F463">
        <v>8598</v>
      </c>
      <c r="G463" t="s">
        <v>66</v>
      </c>
      <c r="H463">
        <v>19</v>
      </c>
    </row>
    <row r="464" spans="1:8" x14ac:dyDescent="0.3">
      <c r="A464" t="s">
        <v>193</v>
      </c>
      <c r="B464">
        <v>2019</v>
      </c>
      <c r="C464" t="s">
        <v>147</v>
      </c>
      <c r="D464" t="s">
        <v>148</v>
      </c>
      <c r="E464" t="s">
        <v>65</v>
      </c>
      <c r="F464">
        <v>8598</v>
      </c>
      <c r="G464" t="s">
        <v>66</v>
      </c>
      <c r="H464">
        <v>14</v>
      </c>
    </row>
    <row r="465" spans="1:8" x14ac:dyDescent="0.3">
      <c r="A465" t="s">
        <v>193</v>
      </c>
      <c r="B465">
        <v>2020</v>
      </c>
      <c r="C465" t="s">
        <v>147</v>
      </c>
      <c r="D465" t="s">
        <v>148</v>
      </c>
      <c r="E465" t="s">
        <v>65</v>
      </c>
      <c r="F465">
        <v>8598</v>
      </c>
      <c r="G465" t="s">
        <v>66</v>
      </c>
      <c r="H465">
        <v>19</v>
      </c>
    </row>
    <row r="466" spans="1:8" x14ac:dyDescent="0.3">
      <c r="A466" t="s">
        <v>193</v>
      </c>
      <c r="B466">
        <v>2021</v>
      </c>
      <c r="C466" t="s">
        <v>147</v>
      </c>
      <c r="D466" t="s">
        <v>148</v>
      </c>
      <c r="E466" t="s">
        <v>65</v>
      </c>
      <c r="F466">
        <v>8598</v>
      </c>
      <c r="G466" t="s">
        <v>66</v>
      </c>
      <c r="H466">
        <v>12</v>
      </c>
    </row>
    <row r="467" spans="1:8" x14ac:dyDescent="0.3">
      <c r="A467" t="s">
        <v>102</v>
      </c>
      <c r="B467">
        <v>2014</v>
      </c>
      <c r="C467" t="s">
        <v>147</v>
      </c>
      <c r="D467" t="s">
        <v>148</v>
      </c>
      <c r="E467" t="s">
        <v>65</v>
      </c>
      <c r="F467">
        <v>9850</v>
      </c>
      <c r="G467" t="s">
        <v>66</v>
      </c>
      <c r="H467">
        <v>5</v>
      </c>
    </row>
    <row r="468" spans="1:8" x14ac:dyDescent="0.3">
      <c r="A468" t="s">
        <v>102</v>
      </c>
      <c r="B468">
        <v>2015</v>
      </c>
      <c r="C468" t="s">
        <v>147</v>
      </c>
      <c r="D468" t="s">
        <v>148</v>
      </c>
      <c r="E468" t="s">
        <v>65</v>
      </c>
      <c r="F468">
        <v>9850</v>
      </c>
      <c r="G468" t="s">
        <v>66</v>
      </c>
      <c r="H468">
        <v>10</v>
      </c>
    </row>
    <row r="469" spans="1:8" x14ac:dyDescent="0.3">
      <c r="A469" t="s">
        <v>102</v>
      </c>
      <c r="B469">
        <v>2016</v>
      </c>
      <c r="C469" t="s">
        <v>147</v>
      </c>
      <c r="D469" t="s">
        <v>148</v>
      </c>
      <c r="E469" t="s">
        <v>65</v>
      </c>
      <c r="F469">
        <v>9850</v>
      </c>
      <c r="G469" t="s">
        <v>66</v>
      </c>
      <c r="H469">
        <v>19</v>
      </c>
    </row>
    <row r="470" spans="1:8" x14ac:dyDescent="0.3">
      <c r="A470" t="s">
        <v>102</v>
      </c>
      <c r="B470">
        <v>2017</v>
      </c>
      <c r="C470" t="s">
        <v>147</v>
      </c>
      <c r="D470" t="s">
        <v>148</v>
      </c>
      <c r="E470" t="s">
        <v>65</v>
      </c>
      <c r="F470">
        <v>9850</v>
      </c>
      <c r="G470" t="s">
        <v>66</v>
      </c>
      <c r="H470">
        <v>35</v>
      </c>
    </row>
    <row r="471" spans="1:8" x14ac:dyDescent="0.3">
      <c r="A471" t="s">
        <v>102</v>
      </c>
      <c r="B471">
        <v>2018</v>
      </c>
      <c r="C471" t="s">
        <v>147</v>
      </c>
      <c r="D471" t="s">
        <v>148</v>
      </c>
      <c r="E471" t="s">
        <v>65</v>
      </c>
      <c r="F471">
        <v>9850</v>
      </c>
      <c r="G471" t="s">
        <v>66</v>
      </c>
      <c r="H471">
        <v>20</v>
      </c>
    </row>
    <row r="472" spans="1:8" x14ac:dyDescent="0.3">
      <c r="A472" t="s">
        <v>102</v>
      </c>
      <c r="B472">
        <v>2019</v>
      </c>
      <c r="C472" t="s">
        <v>147</v>
      </c>
      <c r="D472" t="s">
        <v>148</v>
      </c>
      <c r="E472" t="s">
        <v>65</v>
      </c>
      <c r="F472">
        <v>9850</v>
      </c>
      <c r="G472" t="s">
        <v>66</v>
      </c>
      <c r="H472">
        <v>31</v>
      </c>
    </row>
    <row r="473" spans="1:8" x14ac:dyDescent="0.3">
      <c r="A473" t="s">
        <v>102</v>
      </c>
      <c r="B473">
        <v>2020</v>
      </c>
      <c r="C473" t="s">
        <v>147</v>
      </c>
      <c r="D473" t="s">
        <v>148</v>
      </c>
      <c r="E473" t="s">
        <v>65</v>
      </c>
      <c r="F473">
        <v>9850</v>
      </c>
      <c r="G473" t="s">
        <v>66</v>
      </c>
      <c r="H473">
        <v>33</v>
      </c>
    </row>
    <row r="474" spans="1:8" x14ac:dyDescent="0.3">
      <c r="A474" t="s">
        <v>102</v>
      </c>
      <c r="B474">
        <v>2021</v>
      </c>
      <c r="C474" t="s">
        <v>147</v>
      </c>
      <c r="D474" t="s">
        <v>148</v>
      </c>
      <c r="E474" t="s">
        <v>65</v>
      </c>
      <c r="F474">
        <v>9850</v>
      </c>
      <c r="G474" t="s">
        <v>66</v>
      </c>
      <c r="H474">
        <v>33</v>
      </c>
    </row>
    <row r="475" spans="1:8" x14ac:dyDescent="0.3">
      <c r="A475" t="s">
        <v>194</v>
      </c>
      <c r="B475">
        <v>2014</v>
      </c>
      <c r="C475" t="s">
        <v>147</v>
      </c>
      <c r="D475" t="s">
        <v>148</v>
      </c>
      <c r="E475" t="s">
        <v>65</v>
      </c>
      <c r="F475">
        <v>9502</v>
      </c>
      <c r="G475" t="s">
        <v>66</v>
      </c>
      <c r="H475">
        <v>4</v>
      </c>
    </row>
    <row r="476" spans="1:8" x14ac:dyDescent="0.3">
      <c r="A476" t="s">
        <v>194</v>
      </c>
      <c r="B476">
        <v>2015</v>
      </c>
      <c r="C476" t="s">
        <v>147</v>
      </c>
      <c r="D476" t="s">
        <v>148</v>
      </c>
      <c r="E476" t="s">
        <v>65</v>
      </c>
      <c r="F476">
        <v>9502</v>
      </c>
      <c r="G476" t="s">
        <v>66</v>
      </c>
      <c r="H476">
        <v>3</v>
      </c>
    </row>
    <row r="477" spans="1:8" x14ac:dyDescent="0.3">
      <c r="A477" t="s">
        <v>194</v>
      </c>
      <c r="B477">
        <v>2016</v>
      </c>
      <c r="C477" t="s">
        <v>147</v>
      </c>
      <c r="D477" t="s">
        <v>148</v>
      </c>
      <c r="E477" t="s">
        <v>65</v>
      </c>
      <c r="F477">
        <v>9502</v>
      </c>
      <c r="G477" t="s">
        <v>66</v>
      </c>
      <c r="H477">
        <v>12</v>
      </c>
    </row>
    <row r="478" spans="1:8" x14ac:dyDescent="0.3">
      <c r="A478" t="s">
        <v>194</v>
      </c>
      <c r="B478">
        <v>2017</v>
      </c>
      <c r="C478" t="s">
        <v>147</v>
      </c>
      <c r="D478" t="s">
        <v>148</v>
      </c>
      <c r="E478" t="s">
        <v>65</v>
      </c>
      <c r="F478">
        <v>9502</v>
      </c>
      <c r="G478" t="s">
        <v>66</v>
      </c>
      <c r="H478">
        <v>3</v>
      </c>
    </row>
    <row r="479" spans="1:8" x14ac:dyDescent="0.3">
      <c r="A479" t="s">
        <v>194</v>
      </c>
      <c r="B479">
        <v>2018</v>
      </c>
      <c r="C479" t="s">
        <v>147</v>
      </c>
      <c r="D479" t="s">
        <v>148</v>
      </c>
      <c r="E479" t="s">
        <v>65</v>
      </c>
      <c r="F479">
        <v>9502</v>
      </c>
      <c r="G479" t="s">
        <v>66</v>
      </c>
      <c r="H479">
        <v>1</v>
      </c>
    </row>
    <row r="480" spans="1:8" x14ac:dyDescent="0.3">
      <c r="A480" t="s">
        <v>194</v>
      </c>
      <c r="B480">
        <v>2020</v>
      </c>
      <c r="C480" t="s">
        <v>147</v>
      </c>
      <c r="D480" t="s">
        <v>148</v>
      </c>
      <c r="E480" t="s">
        <v>65</v>
      </c>
      <c r="F480">
        <v>9502</v>
      </c>
      <c r="G480" t="s">
        <v>66</v>
      </c>
      <c r="H480">
        <v>1</v>
      </c>
    </row>
    <row r="481" spans="1:8" x14ac:dyDescent="0.3">
      <c r="A481" t="s">
        <v>194</v>
      </c>
      <c r="B481">
        <v>2021</v>
      </c>
      <c r="C481" t="s">
        <v>147</v>
      </c>
      <c r="D481" t="s">
        <v>148</v>
      </c>
      <c r="E481" t="s">
        <v>65</v>
      </c>
      <c r="F481">
        <v>9502</v>
      </c>
      <c r="G481" t="s">
        <v>66</v>
      </c>
      <c r="H481">
        <v>3</v>
      </c>
    </row>
    <row r="482" spans="1:8" x14ac:dyDescent="0.3">
      <c r="A482" t="s">
        <v>195</v>
      </c>
      <c r="B482">
        <v>2014</v>
      </c>
      <c r="C482" t="s">
        <v>147</v>
      </c>
      <c r="D482" t="s">
        <v>148</v>
      </c>
      <c r="E482" t="s">
        <v>65</v>
      </c>
      <c r="F482">
        <v>13227</v>
      </c>
      <c r="G482" t="s">
        <v>66</v>
      </c>
      <c r="H482">
        <v>7</v>
      </c>
    </row>
    <row r="483" spans="1:8" x14ac:dyDescent="0.3">
      <c r="A483" t="s">
        <v>195</v>
      </c>
      <c r="B483">
        <v>2015</v>
      </c>
      <c r="C483" t="s">
        <v>147</v>
      </c>
      <c r="D483" t="s">
        <v>148</v>
      </c>
      <c r="E483" t="s">
        <v>65</v>
      </c>
      <c r="F483">
        <v>13227</v>
      </c>
      <c r="G483" t="s">
        <v>66</v>
      </c>
      <c r="H483">
        <v>12</v>
      </c>
    </row>
    <row r="484" spans="1:8" x14ac:dyDescent="0.3">
      <c r="A484" t="s">
        <v>195</v>
      </c>
      <c r="B484">
        <v>2016</v>
      </c>
      <c r="C484" t="s">
        <v>147</v>
      </c>
      <c r="D484" t="s">
        <v>148</v>
      </c>
      <c r="E484" t="s">
        <v>65</v>
      </c>
      <c r="F484">
        <v>13227</v>
      </c>
      <c r="G484" t="s">
        <v>66</v>
      </c>
      <c r="H484">
        <v>16</v>
      </c>
    </row>
    <row r="485" spans="1:8" x14ac:dyDescent="0.3">
      <c r="A485" t="s">
        <v>195</v>
      </c>
      <c r="B485">
        <v>2017</v>
      </c>
      <c r="C485" t="s">
        <v>147</v>
      </c>
      <c r="D485" t="s">
        <v>148</v>
      </c>
      <c r="E485" t="s">
        <v>65</v>
      </c>
      <c r="F485">
        <v>13227</v>
      </c>
      <c r="G485" t="s">
        <v>66</v>
      </c>
      <c r="H485">
        <v>10</v>
      </c>
    </row>
    <row r="486" spans="1:8" x14ac:dyDescent="0.3">
      <c r="A486" t="s">
        <v>195</v>
      </c>
      <c r="B486">
        <v>2018</v>
      </c>
      <c r="C486" t="s">
        <v>147</v>
      </c>
      <c r="D486" t="s">
        <v>148</v>
      </c>
      <c r="E486" t="s">
        <v>65</v>
      </c>
      <c r="F486">
        <v>13227</v>
      </c>
      <c r="G486" t="s">
        <v>66</v>
      </c>
      <c r="H486">
        <v>8</v>
      </c>
    </row>
    <row r="487" spans="1:8" x14ac:dyDescent="0.3">
      <c r="A487" t="s">
        <v>195</v>
      </c>
      <c r="B487">
        <v>2019</v>
      </c>
      <c r="C487" t="s">
        <v>147</v>
      </c>
      <c r="D487" t="s">
        <v>148</v>
      </c>
      <c r="E487" t="s">
        <v>65</v>
      </c>
      <c r="F487">
        <v>13227</v>
      </c>
      <c r="G487" t="s">
        <v>66</v>
      </c>
      <c r="H487">
        <v>7</v>
      </c>
    </row>
    <row r="488" spans="1:8" x14ac:dyDescent="0.3">
      <c r="A488" t="s">
        <v>195</v>
      </c>
      <c r="B488">
        <v>2020</v>
      </c>
      <c r="C488" t="s">
        <v>147</v>
      </c>
      <c r="D488" t="s">
        <v>148</v>
      </c>
      <c r="E488" t="s">
        <v>65</v>
      </c>
      <c r="F488">
        <v>13227</v>
      </c>
      <c r="G488" t="s">
        <v>66</v>
      </c>
      <c r="H488">
        <v>8</v>
      </c>
    </row>
    <row r="489" spans="1:8" x14ac:dyDescent="0.3">
      <c r="A489" t="s">
        <v>195</v>
      </c>
      <c r="B489">
        <v>2021</v>
      </c>
      <c r="C489" t="s">
        <v>147</v>
      </c>
      <c r="D489" t="s">
        <v>148</v>
      </c>
      <c r="E489" t="s">
        <v>65</v>
      </c>
      <c r="F489">
        <v>13227</v>
      </c>
      <c r="G489" t="s">
        <v>66</v>
      </c>
      <c r="H489">
        <v>22</v>
      </c>
    </row>
    <row r="490" spans="1:8" x14ac:dyDescent="0.3">
      <c r="A490" t="s">
        <v>196</v>
      </c>
      <c r="B490">
        <v>2014</v>
      </c>
      <c r="C490" t="s">
        <v>147</v>
      </c>
      <c r="D490" t="s">
        <v>148</v>
      </c>
      <c r="E490" t="s">
        <v>65</v>
      </c>
      <c r="F490">
        <v>7716</v>
      </c>
      <c r="G490" t="s">
        <v>66</v>
      </c>
      <c r="H490">
        <v>24</v>
      </c>
    </row>
    <row r="491" spans="1:8" x14ac:dyDescent="0.3">
      <c r="A491" t="s">
        <v>196</v>
      </c>
      <c r="B491">
        <v>2015</v>
      </c>
      <c r="C491" t="s">
        <v>147</v>
      </c>
      <c r="D491" t="s">
        <v>148</v>
      </c>
      <c r="E491" t="s">
        <v>65</v>
      </c>
      <c r="F491">
        <v>7716</v>
      </c>
      <c r="G491" t="s">
        <v>66</v>
      </c>
      <c r="H491">
        <v>55</v>
      </c>
    </row>
    <row r="492" spans="1:8" x14ac:dyDescent="0.3">
      <c r="A492" t="s">
        <v>196</v>
      </c>
      <c r="B492">
        <v>2016</v>
      </c>
      <c r="C492" t="s">
        <v>147</v>
      </c>
      <c r="D492" t="s">
        <v>148</v>
      </c>
      <c r="E492" t="s">
        <v>65</v>
      </c>
      <c r="F492">
        <v>7716</v>
      </c>
      <c r="G492" t="s">
        <v>66</v>
      </c>
      <c r="H492">
        <v>48</v>
      </c>
    </row>
    <row r="493" spans="1:8" x14ac:dyDescent="0.3">
      <c r="A493" t="s">
        <v>196</v>
      </c>
      <c r="B493">
        <v>2017</v>
      </c>
      <c r="C493" t="s">
        <v>147</v>
      </c>
      <c r="D493" t="s">
        <v>148</v>
      </c>
      <c r="E493" t="s">
        <v>65</v>
      </c>
      <c r="F493">
        <v>7716</v>
      </c>
      <c r="G493" t="s">
        <v>66</v>
      </c>
      <c r="H493">
        <v>51</v>
      </c>
    </row>
    <row r="494" spans="1:8" x14ac:dyDescent="0.3">
      <c r="A494" t="s">
        <v>196</v>
      </c>
      <c r="B494">
        <v>2018</v>
      </c>
      <c r="C494" t="s">
        <v>147</v>
      </c>
      <c r="D494" t="s">
        <v>148</v>
      </c>
      <c r="E494" t="s">
        <v>65</v>
      </c>
      <c r="F494">
        <v>7716</v>
      </c>
      <c r="G494" t="s">
        <v>66</v>
      </c>
      <c r="H494">
        <v>40</v>
      </c>
    </row>
    <row r="495" spans="1:8" x14ac:dyDescent="0.3">
      <c r="A495" t="s">
        <v>196</v>
      </c>
      <c r="B495">
        <v>2019</v>
      </c>
      <c r="C495" t="s">
        <v>147</v>
      </c>
      <c r="D495" t="s">
        <v>148</v>
      </c>
      <c r="E495" t="s">
        <v>65</v>
      </c>
      <c r="F495">
        <v>7716</v>
      </c>
      <c r="G495" t="s">
        <v>66</v>
      </c>
      <c r="H495">
        <v>37</v>
      </c>
    </row>
    <row r="496" spans="1:8" x14ac:dyDescent="0.3">
      <c r="A496" t="s">
        <v>196</v>
      </c>
      <c r="B496">
        <v>2020</v>
      </c>
      <c r="C496" t="s">
        <v>147</v>
      </c>
      <c r="D496" t="s">
        <v>148</v>
      </c>
      <c r="E496" t="s">
        <v>65</v>
      </c>
      <c r="F496">
        <v>7716</v>
      </c>
      <c r="G496" t="s">
        <v>66</v>
      </c>
      <c r="H496">
        <v>30</v>
      </c>
    </row>
    <row r="497" spans="1:8" x14ac:dyDescent="0.3">
      <c r="A497" t="s">
        <v>196</v>
      </c>
      <c r="B497">
        <v>2021</v>
      </c>
      <c r="C497" t="s">
        <v>147</v>
      </c>
      <c r="D497" t="s">
        <v>148</v>
      </c>
      <c r="E497" t="s">
        <v>65</v>
      </c>
      <c r="F497">
        <v>7716</v>
      </c>
      <c r="G497" t="s">
        <v>66</v>
      </c>
      <c r="H497">
        <v>50</v>
      </c>
    </row>
    <row r="498" spans="1:8" x14ac:dyDescent="0.3">
      <c r="A498" t="s">
        <v>103</v>
      </c>
      <c r="B498">
        <v>2014</v>
      </c>
      <c r="C498" t="s">
        <v>147</v>
      </c>
      <c r="D498" t="s">
        <v>148</v>
      </c>
      <c r="E498" t="s">
        <v>65</v>
      </c>
      <c r="F498">
        <v>10700</v>
      </c>
      <c r="G498" t="s">
        <v>66</v>
      </c>
      <c r="H498">
        <v>90</v>
      </c>
    </row>
    <row r="499" spans="1:8" x14ac:dyDescent="0.3">
      <c r="A499" t="s">
        <v>103</v>
      </c>
      <c r="B499">
        <v>2015</v>
      </c>
      <c r="C499" t="s">
        <v>147</v>
      </c>
      <c r="D499" t="s">
        <v>148</v>
      </c>
      <c r="E499" t="s">
        <v>65</v>
      </c>
      <c r="F499">
        <v>10700</v>
      </c>
      <c r="G499" t="s">
        <v>66</v>
      </c>
      <c r="H499">
        <v>165</v>
      </c>
    </row>
    <row r="500" spans="1:8" x14ac:dyDescent="0.3">
      <c r="A500" t="s">
        <v>103</v>
      </c>
      <c r="B500">
        <v>2016</v>
      </c>
      <c r="C500" t="s">
        <v>147</v>
      </c>
      <c r="D500" t="s">
        <v>148</v>
      </c>
      <c r="E500" t="s">
        <v>65</v>
      </c>
      <c r="F500">
        <v>10700</v>
      </c>
      <c r="G500" t="s">
        <v>66</v>
      </c>
      <c r="H500">
        <v>159</v>
      </c>
    </row>
    <row r="501" spans="1:8" x14ac:dyDescent="0.3">
      <c r="A501" t="s">
        <v>103</v>
      </c>
      <c r="B501">
        <v>2017</v>
      </c>
      <c r="C501" t="s">
        <v>147</v>
      </c>
      <c r="D501" t="s">
        <v>148</v>
      </c>
      <c r="E501" t="s">
        <v>65</v>
      </c>
      <c r="F501">
        <v>10700</v>
      </c>
      <c r="G501" t="s">
        <v>66</v>
      </c>
      <c r="H501">
        <v>108</v>
      </c>
    </row>
    <row r="502" spans="1:8" x14ac:dyDescent="0.3">
      <c r="A502" t="s">
        <v>103</v>
      </c>
      <c r="B502">
        <v>2018</v>
      </c>
      <c r="C502" t="s">
        <v>147</v>
      </c>
      <c r="D502" t="s">
        <v>148</v>
      </c>
      <c r="E502" t="s">
        <v>65</v>
      </c>
      <c r="F502">
        <v>10700</v>
      </c>
      <c r="G502" t="s">
        <v>66</v>
      </c>
      <c r="H502">
        <v>117</v>
      </c>
    </row>
    <row r="503" spans="1:8" x14ac:dyDescent="0.3">
      <c r="A503" t="s">
        <v>103</v>
      </c>
      <c r="B503">
        <v>2019</v>
      </c>
      <c r="C503" t="s">
        <v>147</v>
      </c>
      <c r="D503" t="s">
        <v>148</v>
      </c>
      <c r="E503" t="s">
        <v>65</v>
      </c>
      <c r="F503">
        <v>10700</v>
      </c>
      <c r="G503" t="s">
        <v>66</v>
      </c>
      <c r="H503">
        <v>94</v>
      </c>
    </row>
    <row r="504" spans="1:8" x14ac:dyDescent="0.3">
      <c r="A504" t="s">
        <v>103</v>
      </c>
      <c r="B504">
        <v>2020</v>
      </c>
      <c r="C504" t="s">
        <v>147</v>
      </c>
      <c r="D504" t="s">
        <v>148</v>
      </c>
      <c r="E504" t="s">
        <v>65</v>
      </c>
      <c r="F504">
        <v>10700</v>
      </c>
      <c r="G504" t="s">
        <v>66</v>
      </c>
      <c r="H504">
        <v>99</v>
      </c>
    </row>
    <row r="505" spans="1:8" x14ac:dyDescent="0.3">
      <c r="A505" t="s">
        <v>103</v>
      </c>
      <c r="B505">
        <v>2021</v>
      </c>
      <c r="C505" t="s">
        <v>147</v>
      </c>
      <c r="D505" t="s">
        <v>148</v>
      </c>
      <c r="E505" t="s">
        <v>65</v>
      </c>
      <c r="F505">
        <v>10700</v>
      </c>
      <c r="G505" t="s">
        <v>66</v>
      </c>
      <c r="H505">
        <v>82</v>
      </c>
    </row>
    <row r="506" spans="1:8" x14ac:dyDescent="0.3">
      <c r="A506" t="s">
        <v>104</v>
      </c>
      <c r="B506">
        <v>2014</v>
      </c>
      <c r="C506" t="s">
        <v>147</v>
      </c>
      <c r="D506" t="s">
        <v>148</v>
      </c>
      <c r="E506" t="s">
        <v>65</v>
      </c>
      <c r="F506">
        <v>14800</v>
      </c>
      <c r="G506" t="s">
        <v>66</v>
      </c>
      <c r="H506">
        <v>39</v>
      </c>
    </row>
    <row r="507" spans="1:8" x14ac:dyDescent="0.3">
      <c r="A507" t="s">
        <v>104</v>
      </c>
      <c r="B507">
        <v>2015</v>
      </c>
      <c r="C507" t="s">
        <v>147</v>
      </c>
      <c r="D507" t="s">
        <v>148</v>
      </c>
      <c r="E507" t="s">
        <v>65</v>
      </c>
      <c r="F507">
        <v>14800</v>
      </c>
      <c r="G507" t="s">
        <v>66</v>
      </c>
      <c r="H507">
        <v>77</v>
      </c>
    </row>
    <row r="508" spans="1:8" x14ac:dyDescent="0.3">
      <c r="A508" t="s">
        <v>104</v>
      </c>
      <c r="B508">
        <v>2016</v>
      </c>
      <c r="C508" t="s">
        <v>147</v>
      </c>
      <c r="D508" t="s">
        <v>148</v>
      </c>
      <c r="E508" t="s">
        <v>65</v>
      </c>
      <c r="F508">
        <v>14800</v>
      </c>
      <c r="G508" t="s">
        <v>66</v>
      </c>
      <c r="H508">
        <v>87</v>
      </c>
    </row>
    <row r="509" spans="1:8" x14ac:dyDescent="0.3">
      <c r="A509" t="s">
        <v>104</v>
      </c>
      <c r="B509">
        <v>2017</v>
      </c>
      <c r="C509" t="s">
        <v>147</v>
      </c>
      <c r="D509" t="s">
        <v>148</v>
      </c>
      <c r="E509" t="s">
        <v>65</v>
      </c>
      <c r="F509">
        <v>14800</v>
      </c>
      <c r="G509" t="s">
        <v>66</v>
      </c>
      <c r="H509">
        <v>83</v>
      </c>
    </row>
    <row r="510" spans="1:8" x14ac:dyDescent="0.3">
      <c r="A510" t="s">
        <v>104</v>
      </c>
      <c r="B510">
        <v>2018</v>
      </c>
      <c r="C510" t="s">
        <v>147</v>
      </c>
      <c r="D510" t="s">
        <v>148</v>
      </c>
      <c r="E510" t="s">
        <v>65</v>
      </c>
      <c r="F510">
        <v>14800</v>
      </c>
      <c r="G510" t="s">
        <v>66</v>
      </c>
      <c r="H510">
        <v>70</v>
      </c>
    </row>
    <row r="511" spans="1:8" x14ac:dyDescent="0.3">
      <c r="A511" t="s">
        <v>104</v>
      </c>
      <c r="B511">
        <v>2019</v>
      </c>
      <c r="C511" t="s">
        <v>147</v>
      </c>
      <c r="D511" t="s">
        <v>148</v>
      </c>
      <c r="E511" t="s">
        <v>65</v>
      </c>
      <c r="F511">
        <v>14800</v>
      </c>
      <c r="G511" t="s">
        <v>66</v>
      </c>
      <c r="H511">
        <v>58</v>
      </c>
    </row>
    <row r="512" spans="1:8" x14ac:dyDescent="0.3">
      <c r="A512" t="s">
        <v>104</v>
      </c>
      <c r="B512">
        <v>2020</v>
      </c>
      <c r="C512" t="s">
        <v>147</v>
      </c>
      <c r="D512" t="s">
        <v>148</v>
      </c>
      <c r="E512" t="s">
        <v>65</v>
      </c>
      <c r="F512">
        <v>14800</v>
      </c>
      <c r="G512" t="s">
        <v>66</v>
      </c>
      <c r="H512">
        <v>47</v>
      </c>
    </row>
    <row r="513" spans="1:8" x14ac:dyDescent="0.3">
      <c r="A513" t="s">
        <v>104</v>
      </c>
      <c r="B513">
        <v>2021</v>
      </c>
      <c r="C513" t="s">
        <v>147</v>
      </c>
      <c r="D513" t="s">
        <v>148</v>
      </c>
      <c r="E513" t="s">
        <v>65</v>
      </c>
      <c r="F513">
        <v>14800</v>
      </c>
      <c r="G513" t="s">
        <v>66</v>
      </c>
      <c r="H513">
        <v>49</v>
      </c>
    </row>
    <row r="514" spans="1:8" x14ac:dyDescent="0.3">
      <c r="A514" t="s">
        <v>197</v>
      </c>
      <c r="B514">
        <v>2018</v>
      </c>
      <c r="C514" t="s">
        <v>147</v>
      </c>
      <c r="D514" t="s">
        <v>148</v>
      </c>
      <c r="E514" t="s">
        <v>65</v>
      </c>
      <c r="F514">
        <v>42300</v>
      </c>
      <c r="G514" t="s">
        <v>66</v>
      </c>
      <c r="H514">
        <v>2</v>
      </c>
    </row>
    <row r="515" spans="1:8" x14ac:dyDescent="0.3">
      <c r="A515" t="s">
        <v>197</v>
      </c>
      <c r="B515">
        <v>2020</v>
      </c>
      <c r="C515" t="s">
        <v>147</v>
      </c>
      <c r="D515" t="s">
        <v>148</v>
      </c>
      <c r="E515" t="s">
        <v>65</v>
      </c>
      <c r="F515">
        <v>42300</v>
      </c>
      <c r="G515" t="s">
        <v>66</v>
      </c>
      <c r="H515">
        <v>11</v>
      </c>
    </row>
    <row r="516" spans="1:8" x14ac:dyDescent="0.3">
      <c r="A516" t="s">
        <v>197</v>
      </c>
      <c r="B516">
        <v>2021</v>
      </c>
      <c r="C516" t="s">
        <v>147</v>
      </c>
      <c r="D516" t="s">
        <v>148</v>
      </c>
      <c r="E516" t="s">
        <v>65</v>
      </c>
      <c r="F516">
        <v>42300</v>
      </c>
      <c r="G516" t="s">
        <v>66</v>
      </c>
      <c r="H516">
        <v>11</v>
      </c>
    </row>
    <row r="517" spans="1:8" x14ac:dyDescent="0.3">
      <c r="A517" t="s">
        <v>105</v>
      </c>
      <c r="B517">
        <v>2014</v>
      </c>
      <c r="C517" t="s">
        <v>147</v>
      </c>
      <c r="D517" t="s">
        <v>148</v>
      </c>
      <c r="E517" t="s">
        <v>65</v>
      </c>
      <c r="F517">
        <v>16300</v>
      </c>
      <c r="G517" t="s">
        <v>66</v>
      </c>
      <c r="H517">
        <v>53</v>
      </c>
    </row>
    <row r="518" spans="1:8" x14ac:dyDescent="0.3">
      <c r="A518" t="s">
        <v>105</v>
      </c>
      <c r="B518">
        <v>2015</v>
      </c>
      <c r="C518" t="s">
        <v>147</v>
      </c>
      <c r="D518" t="s">
        <v>148</v>
      </c>
      <c r="E518" t="s">
        <v>65</v>
      </c>
      <c r="F518">
        <v>16300</v>
      </c>
      <c r="G518" t="s">
        <v>66</v>
      </c>
      <c r="H518">
        <v>85</v>
      </c>
    </row>
    <row r="519" spans="1:8" x14ac:dyDescent="0.3">
      <c r="A519" t="s">
        <v>105</v>
      </c>
      <c r="B519">
        <v>2016</v>
      </c>
      <c r="C519" t="s">
        <v>147</v>
      </c>
      <c r="D519" t="s">
        <v>148</v>
      </c>
      <c r="E519" t="s">
        <v>65</v>
      </c>
      <c r="F519">
        <v>16300</v>
      </c>
      <c r="G519" t="s">
        <v>66</v>
      </c>
      <c r="H519">
        <v>58</v>
      </c>
    </row>
    <row r="520" spans="1:8" x14ac:dyDescent="0.3">
      <c r="A520" t="s">
        <v>105</v>
      </c>
      <c r="B520">
        <v>2017</v>
      </c>
      <c r="C520" t="s">
        <v>147</v>
      </c>
      <c r="D520" t="s">
        <v>148</v>
      </c>
      <c r="E520" t="s">
        <v>65</v>
      </c>
      <c r="F520">
        <v>16300</v>
      </c>
      <c r="G520" t="s">
        <v>66</v>
      </c>
      <c r="H520">
        <v>74</v>
      </c>
    </row>
    <row r="521" spans="1:8" x14ac:dyDescent="0.3">
      <c r="A521" t="s">
        <v>105</v>
      </c>
      <c r="B521">
        <v>2018</v>
      </c>
      <c r="C521" t="s">
        <v>147</v>
      </c>
      <c r="D521" t="s">
        <v>148</v>
      </c>
      <c r="E521" t="s">
        <v>65</v>
      </c>
      <c r="F521">
        <v>16300</v>
      </c>
      <c r="G521" t="s">
        <v>66</v>
      </c>
      <c r="H521">
        <v>70</v>
      </c>
    </row>
    <row r="522" spans="1:8" x14ac:dyDescent="0.3">
      <c r="A522" t="s">
        <v>105</v>
      </c>
      <c r="B522">
        <v>2019</v>
      </c>
      <c r="C522" t="s">
        <v>147</v>
      </c>
      <c r="D522" t="s">
        <v>148</v>
      </c>
      <c r="E522" t="s">
        <v>65</v>
      </c>
      <c r="F522">
        <v>16300</v>
      </c>
      <c r="G522" t="s">
        <v>66</v>
      </c>
      <c r="H522">
        <v>78</v>
      </c>
    </row>
    <row r="523" spans="1:8" x14ac:dyDescent="0.3">
      <c r="A523" t="s">
        <v>105</v>
      </c>
      <c r="B523">
        <v>2020</v>
      </c>
      <c r="C523" t="s">
        <v>147</v>
      </c>
      <c r="D523" t="s">
        <v>148</v>
      </c>
      <c r="E523" t="s">
        <v>65</v>
      </c>
      <c r="F523">
        <v>16300</v>
      </c>
      <c r="G523" t="s">
        <v>66</v>
      </c>
      <c r="H523">
        <v>86</v>
      </c>
    </row>
    <row r="524" spans="1:8" x14ac:dyDescent="0.3">
      <c r="A524" t="s">
        <v>105</v>
      </c>
      <c r="B524">
        <v>2021</v>
      </c>
      <c r="C524" t="s">
        <v>147</v>
      </c>
      <c r="D524" t="s">
        <v>148</v>
      </c>
      <c r="E524" t="s">
        <v>65</v>
      </c>
      <c r="F524">
        <v>16300</v>
      </c>
      <c r="G524" t="s">
        <v>66</v>
      </c>
      <c r="H524">
        <v>100</v>
      </c>
    </row>
    <row r="525" spans="1:8" x14ac:dyDescent="0.3">
      <c r="A525" t="s">
        <v>106</v>
      </c>
      <c r="B525">
        <v>2014</v>
      </c>
      <c r="C525" t="s">
        <v>147</v>
      </c>
      <c r="D525" t="s">
        <v>148</v>
      </c>
      <c r="E525" t="s">
        <v>65</v>
      </c>
      <c r="F525">
        <v>15000</v>
      </c>
      <c r="G525" t="s">
        <v>66</v>
      </c>
      <c r="H525">
        <v>57</v>
      </c>
    </row>
    <row r="526" spans="1:8" x14ac:dyDescent="0.3">
      <c r="A526" t="s">
        <v>106</v>
      </c>
      <c r="B526">
        <v>2015</v>
      </c>
      <c r="C526" t="s">
        <v>147</v>
      </c>
      <c r="D526" t="s">
        <v>148</v>
      </c>
      <c r="E526" t="s">
        <v>65</v>
      </c>
      <c r="F526">
        <v>15000</v>
      </c>
      <c r="G526" t="s">
        <v>66</v>
      </c>
      <c r="H526">
        <v>125</v>
      </c>
    </row>
    <row r="527" spans="1:8" x14ac:dyDescent="0.3">
      <c r="A527" t="s">
        <v>106</v>
      </c>
      <c r="B527">
        <v>2016</v>
      </c>
      <c r="C527" t="s">
        <v>147</v>
      </c>
      <c r="D527" t="s">
        <v>148</v>
      </c>
      <c r="E527" t="s">
        <v>65</v>
      </c>
      <c r="F527">
        <v>15000</v>
      </c>
      <c r="G527" t="s">
        <v>66</v>
      </c>
      <c r="H527">
        <v>118</v>
      </c>
    </row>
    <row r="528" spans="1:8" x14ac:dyDescent="0.3">
      <c r="A528" t="s">
        <v>106</v>
      </c>
      <c r="B528">
        <v>2017</v>
      </c>
      <c r="C528" t="s">
        <v>147</v>
      </c>
      <c r="D528" t="s">
        <v>148</v>
      </c>
      <c r="E528" t="s">
        <v>65</v>
      </c>
      <c r="F528">
        <v>15000</v>
      </c>
      <c r="G528" t="s">
        <v>66</v>
      </c>
      <c r="H528">
        <v>130</v>
      </c>
    </row>
    <row r="529" spans="1:8" x14ac:dyDescent="0.3">
      <c r="A529" t="s">
        <v>106</v>
      </c>
      <c r="B529">
        <v>2018</v>
      </c>
      <c r="C529" t="s">
        <v>147</v>
      </c>
      <c r="D529" t="s">
        <v>148</v>
      </c>
      <c r="E529" t="s">
        <v>65</v>
      </c>
      <c r="F529">
        <v>15000</v>
      </c>
      <c r="G529" t="s">
        <v>66</v>
      </c>
      <c r="H529">
        <v>124</v>
      </c>
    </row>
    <row r="530" spans="1:8" x14ac:dyDescent="0.3">
      <c r="A530" t="s">
        <v>106</v>
      </c>
      <c r="B530">
        <v>2019</v>
      </c>
      <c r="C530" t="s">
        <v>147</v>
      </c>
      <c r="D530" t="s">
        <v>148</v>
      </c>
      <c r="E530" t="s">
        <v>65</v>
      </c>
      <c r="F530">
        <v>15000</v>
      </c>
      <c r="G530" t="s">
        <v>66</v>
      </c>
      <c r="H530">
        <v>155</v>
      </c>
    </row>
    <row r="531" spans="1:8" x14ac:dyDescent="0.3">
      <c r="A531" t="s">
        <v>106</v>
      </c>
      <c r="B531">
        <v>2020</v>
      </c>
      <c r="C531" t="s">
        <v>147</v>
      </c>
      <c r="D531" t="s">
        <v>148</v>
      </c>
      <c r="E531" t="s">
        <v>65</v>
      </c>
      <c r="F531">
        <v>15000</v>
      </c>
      <c r="G531" t="s">
        <v>66</v>
      </c>
      <c r="H531">
        <v>104</v>
      </c>
    </row>
    <row r="532" spans="1:8" x14ac:dyDescent="0.3">
      <c r="A532" t="s">
        <v>106</v>
      </c>
      <c r="B532">
        <v>2021</v>
      </c>
      <c r="C532" t="s">
        <v>147</v>
      </c>
      <c r="D532" t="s">
        <v>148</v>
      </c>
      <c r="E532" t="s">
        <v>65</v>
      </c>
      <c r="F532">
        <v>15000</v>
      </c>
      <c r="G532" t="s">
        <v>66</v>
      </c>
      <c r="H532">
        <v>113</v>
      </c>
    </row>
    <row r="533" spans="1:8" x14ac:dyDescent="0.3">
      <c r="A533" t="s">
        <v>107</v>
      </c>
      <c r="B533">
        <v>2014</v>
      </c>
      <c r="C533" t="s">
        <v>147</v>
      </c>
      <c r="D533" t="s">
        <v>148</v>
      </c>
      <c r="E533" t="s">
        <v>65</v>
      </c>
      <c r="F533">
        <v>22002</v>
      </c>
      <c r="G533" t="s">
        <v>72</v>
      </c>
      <c r="H533">
        <v>25</v>
      </c>
    </row>
    <row r="534" spans="1:8" x14ac:dyDescent="0.3">
      <c r="A534" t="s">
        <v>107</v>
      </c>
      <c r="B534">
        <v>2015</v>
      </c>
      <c r="C534" t="s">
        <v>147</v>
      </c>
      <c r="D534" t="s">
        <v>148</v>
      </c>
      <c r="E534" t="s">
        <v>65</v>
      </c>
      <c r="F534">
        <v>22002</v>
      </c>
      <c r="G534" t="s">
        <v>72</v>
      </c>
      <c r="H534">
        <v>39</v>
      </c>
    </row>
    <row r="535" spans="1:8" x14ac:dyDescent="0.3">
      <c r="A535" t="s">
        <v>107</v>
      </c>
      <c r="B535">
        <v>2016</v>
      </c>
      <c r="C535" t="s">
        <v>147</v>
      </c>
      <c r="D535" t="s">
        <v>148</v>
      </c>
      <c r="E535" t="s">
        <v>65</v>
      </c>
      <c r="F535">
        <v>22002</v>
      </c>
      <c r="G535" t="s">
        <v>72</v>
      </c>
      <c r="H535">
        <v>38</v>
      </c>
    </row>
    <row r="536" spans="1:8" x14ac:dyDescent="0.3">
      <c r="A536" t="s">
        <v>107</v>
      </c>
      <c r="B536">
        <v>2017</v>
      </c>
      <c r="C536" t="s">
        <v>147</v>
      </c>
      <c r="D536" t="s">
        <v>148</v>
      </c>
      <c r="E536" t="s">
        <v>65</v>
      </c>
      <c r="F536">
        <v>22002</v>
      </c>
      <c r="G536" t="s">
        <v>72</v>
      </c>
      <c r="H536">
        <v>30</v>
      </c>
    </row>
    <row r="537" spans="1:8" x14ac:dyDescent="0.3">
      <c r="A537" t="s">
        <v>107</v>
      </c>
      <c r="B537">
        <v>2018</v>
      </c>
      <c r="C537" t="s">
        <v>147</v>
      </c>
      <c r="D537" t="s">
        <v>148</v>
      </c>
      <c r="E537" t="s">
        <v>65</v>
      </c>
      <c r="F537">
        <v>22002</v>
      </c>
      <c r="G537" t="s">
        <v>72</v>
      </c>
      <c r="H537">
        <v>29</v>
      </c>
    </row>
    <row r="538" spans="1:8" x14ac:dyDescent="0.3">
      <c r="A538" t="s">
        <v>107</v>
      </c>
      <c r="B538">
        <v>2019</v>
      </c>
      <c r="C538" t="s">
        <v>147</v>
      </c>
      <c r="D538" t="s">
        <v>148</v>
      </c>
      <c r="E538" t="s">
        <v>65</v>
      </c>
      <c r="F538">
        <v>22002</v>
      </c>
      <c r="G538" t="s">
        <v>72</v>
      </c>
      <c r="H538">
        <v>39</v>
      </c>
    </row>
    <row r="539" spans="1:8" x14ac:dyDescent="0.3">
      <c r="A539" t="s">
        <v>107</v>
      </c>
      <c r="B539">
        <v>2020</v>
      </c>
      <c r="C539" t="s">
        <v>147</v>
      </c>
      <c r="D539" t="s">
        <v>148</v>
      </c>
      <c r="E539" t="s">
        <v>65</v>
      </c>
      <c r="F539">
        <v>22002</v>
      </c>
      <c r="G539" t="s">
        <v>72</v>
      </c>
      <c r="H539">
        <v>22</v>
      </c>
    </row>
    <row r="540" spans="1:8" x14ac:dyDescent="0.3">
      <c r="A540" t="s">
        <v>107</v>
      </c>
      <c r="B540">
        <v>2021</v>
      </c>
      <c r="C540" t="s">
        <v>147</v>
      </c>
      <c r="D540" t="s">
        <v>148</v>
      </c>
      <c r="E540" t="s">
        <v>65</v>
      </c>
      <c r="F540">
        <v>22002</v>
      </c>
      <c r="G540" t="s">
        <v>72</v>
      </c>
      <c r="H540">
        <v>28</v>
      </c>
    </row>
    <row r="541" spans="1:8" x14ac:dyDescent="0.3">
      <c r="A541" t="s">
        <v>198</v>
      </c>
      <c r="B541">
        <v>2014</v>
      </c>
      <c r="C541" t="s">
        <v>147</v>
      </c>
      <c r="D541" t="s">
        <v>148</v>
      </c>
      <c r="E541" t="s">
        <v>65</v>
      </c>
      <c r="F541">
        <v>30000</v>
      </c>
      <c r="G541" t="s">
        <v>72</v>
      </c>
      <c r="H541">
        <v>15</v>
      </c>
    </row>
    <row r="542" spans="1:8" x14ac:dyDescent="0.3">
      <c r="A542" t="s">
        <v>198</v>
      </c>
      <c r="B542">
        <v>2015</v>
      </c>
      <c r="C542" t="s">
        <v>147</v>
      </c>
      <c r="D542" t="s">
        <v>148</v>
      </c>
      <c r="E542" t="s">
        <v>65</v>
      </c>
      <c r="F542">
        <v>30000</v>
      </c>
      <c r="G542" t="s">
        <v>72</v>
      </c>
      <c r="H542">
        <v>18</v>
      </c>
    </row>
    <row r="543" spans="1:8" x14ac:dyDescent="0.3">
      <c r="A543" t="s">
        <v>198</v>
      </c>
      <c r="B543">
        <v>2016</v>
      </c>
      <c r="C543" t="s">
        <v>147</v>
      </c>
      <c r="D543" t="s">
        <v>148</v>
      </c>
      <c r="E543" t="s">
        <v>65</v>
      </c>
      <c r="F543">
        <v>30000</v>
      </c>
      <c r="G543" t="s">
        <v>72</v>
      </c>
      <c r="H543">
        <v>27</v>
      </c>
    </row>
    <row r="544" spans="1:8" x14ac:dyDescent="0.3">
      <c r="A544" t="s">
        <v>198</v>
      </c>
      <c r="B544">
        <v>2017</v>
      </c>
      <c r="C544" t="s">
        <v>147</v>
      </c>
      <c r="D544" t="s">
        <v>148</v>
      </c>
      <c r="E544" t="s">
        <v>65</v>
      </c>
      <c r="F544">
        <v>30000</v>
      </c>
      <c r="G544" t="s">
        <v>72</v>
      </c>
      <c r="H544">
        <v>22</v>
      </c>
    </row>
    <row r="545" spans="1:8" x14ac:dyDescent="0.3">
      <c r="A545" t="s">
        <v>198</v>
      </c>
      <c r="B545">
        <v>2018</v>
      </c>
      <c r="C545" t="s">
        <v>147</v>
      </c>
      <c r="D545" t="s">
        <v>148</v>
      </c>
      <c r="E545" t="s">
        <v>65</v>
      </c>
      <c r="F545">
        <v>30000</v>
      </c>
      <c r="G545" t="s">
        <v>72</v>
      </c>
      <c r="H545">
        <v>24</v>
      </c>
    </row>
    <row r="546" spans="1:8" x14ac:dyDescent="0.3">
      <c r="A546" t="s">
        <v>198</v>
      </c>
      <c r="B546">
        <v>2019</v>
      </c>
      <c r="C546" t="s">
        <v>147</v>
      </c>
      <c r="D546" t="s">
        <v>148</v>
      </c>
      <c r="E546" t="s">
        <v>65</v>
      </c>
      <c r="F546">
        <v>30000</v>
      </c>
      <c r="G546" t="s">
        <v>72</v>
      </c>
      <c r="H546">
        <v>8</v>
      </c>
    </row>
    <row r="547" spans="1:8" x14ac:dyDescent="0.3">
      <c r="A547" t="s">
        <v>198</v>
      </c>
      <c r="B547">
        <v>2020</v>
      </c>
      <c r="C547" t="s">
        <v>147</v>
      </c>
      <c r="D547" t="s">
        <v>148</v>
      </c>
      <c r="E547" t="s">
        <v>65</v>
      </c>
      <c r="F547">
        <v>30000</v>
      </c>
      <c r="G547" t="s">
        <v>72</v>
      </c>
      <c r="H547">
        <v>7</v>
      </c>
    </row>
    <row r="548" spans="1:8" x14ac:dyDescent="0.3">
      <c r="A548" t="s">
        <v>198</v>
      </c>
      <c r="B548">
        <v>2021</v>
      </c>
      <c r="C548" t="s">
        <v>147</v>
      </c>
      <c r="D548" t="s">
        <v>148</v>
      </c>
      <c r="E548" t="s">
        <v>65</v>
      </c>
      <c r="F548">
        <v>30000</v>
      </c>
      <c r="G548" t="s">
        <v>72</v>
      </c>
      <c r="H548">
        <v>9</v>
      </c>
    </row>
    <row r="549" spans="1:8" x14ac:dyDescent="0.3">
      <c r="A549" t="s">
        <v>199</v>
      </c>
      <c r="B549">
        <v>2017</v>
      </c>
      <c r="C549" t="s">
        <v>147</v>
      </c>
      <c r="D549" t="s">
        <v>148</v>
      </c>
      <c r="E549" t="s">
        <v>65</v>
      </c>
      <c r="F549">
        <v>30800</v>
      </c>
      <c r="G549" t="s">
        <v>72</v>
      </c>
      <c r="H549">
        <v>9</v>
      </c>
    </row>
    <row r="550" spans="1:8" x14ac:dyDescent="0.3">
      <c r="A550" t="s">
        <v>199</v>
      </c>
      <c r="B550">
        <v>2018</v>
      </c>
      <c r="C550" t="s">
        <v>147</v>
      </c>
      <c r="D550" t="s">
        <v>148</v>
      </c>
      <c r="E550" t="s">
        <v>65</v>
      </c>
      <c r="F550">
        <v>30800</v>
      </c>
      <c r="G550" t="s">
        <v>72</v>
      </c>
      <c r="H550">
        <v>13</v>
      </c>
    </row>
    <row r="551" spans="1:8" x14ac:dyDescent="0.3">
      <c r="A551" t="s">
        <v>199</v>
      </c>
      <c r="B551">
        <v>2019</v>
      </c>
      <c r="C551" t="s">
        <v>147</v>
      </c>
      <c r="D551" t="s">
        <v>148</v>
      </c>
      <c r="E551" t="s">
        <v>65</v>
      </c>
      <c r="F551">
        <v>30800</v>
      </c>
      <c r="G551" t="s">
        <v>72</v>
      </c>
      <c r="H551">
        <v>6</v>
      </c>
    </row>
    <row r="552" spans="1:8" x14ac:dyDescent="0.3">
      <c r="A552" t="s">
        <v>199</v>
      </c>
      <c r="B552">
        <v>2020</v>
      </c>
      <c r="C552" t="s">
        <v>147</v>
      </c>
      <c r="D552" t="s">
        <v>148</v>
      </c>
      <c r="E552" t="s">
        <v>65</v>
      </c>
      <c r="F552">
        <v>30800</v>
      </c>
      <c r="G552" t="s">
        <v>72</v>
      </c>
      <c r="H552">
        <v>14</v>
      </c>
    </row>
    <row r="553" spans="1:8" x14ac:dyDescent="0.3">
      <c r="A553" t="s">
        <v>199</v>
      </c>
      <c r="B553">
        <v>2021</v>
      </c>
      <c r="C553" t="s">
        <v>147</v>
      </c>
      <c r="D553" t="s">
        <v>148</v>
      </c>
      <c r="E553" t="s">
        <v>65</v>
      </c>
      <c r="F553">
        <v>30800</v>
      </c>
      <c r="G553" t="s">
        <v>72</v>
      </c>
      <c r="H553">
        <v>22</v>
      </c>
    </row>
    <row r="554" spans="1:8" x14ac:dyDescent="0.3">
      <c r="A554" t="s">
        <v>200</v>
      </c>
      <c r="B554">
        <v>2014</v>
      </c>
      <c r="C554" t="s">
        <v>147</v>
      </c>
      <c r="D554" t="s">
        <v>148</v>
      </c>
      <c r="E554" t="s">
        <v>65</v>
      </c>
      <c r="F554">
        <v>35699</v>
      </c>
      <c r="G554" t="s">
        <v>66</v>
      </c>
      <c r="H554">
        <v>15</v>
      </c>
    </row>
    <row r="555" spans="1:8" x14ac:dyDescent="0.3">
      <c r="A555" t="s">
        <v>200</v>
      </c>
      <c r="B555">
        <v>2015</v>
      </c>
      <c r="C555" t="s">
        <v>147</v>
      </c>
      <c r="D555" t="s">
        <v>148</v>
      </c>
      <c r="E555" t="s">
        <v>65</v>
      </c>
      <c r="F555">
        <v>35699</v>
      </c>
      <c r="G555" t="s">
        <v>66</v>
      </c>
      <c r="H555">
        <v>34</v>
      </c>
    </row>
    <row r="556" spans="1:8" x14ac:dyDescent="0.3">
      <c r="A556" t="s">
        <v>200</v>
      </c>
      <c r="B556">
        <v>2016</v>
      </c>
      <c r="C556" t="s">
        <v>147</v>
      </c>
      <c r="D556" t="s">
        <v>148</v>
      </c>
      <c r="E556" t="s">
        <v>65</v>
      </c>
      <c r="F556">
        <v>35699</v>
      </c>
      <c r="G556" t="s">
        <v>66</v>
      </c>
      <c r="H556">
        <v>22</v>
      </c>
    </row>
    <row r="557" spans="1:8" x14ac:dyDescent="0.3">
      <c r="A557" t="s">
        <v>200</v>
      </c>
      <c r="B557">
        <v>2017</v>
      </c>
      <c r="C557" t="s">
        <v>147</v>
      </c>
      <c r="D557" t="s">
        <v>148</v>
      </c>
      <c r="E557" t="s">
        <v>65</v>
      </c>
      <c r="F557">
        <v>35699</v>
      </c>
      <c r="G557" t="s">
        <v>66</v>
      </c>
      <c r="H557">
        <v>26</v>
      </c>
    </row>
    <row r="558" spans="1:8" x14ac:dyDescent="0.3">
      <c r="A558" t="s">
        <v>200</v>
      </c>
      <c r="B558">
        <v>2018</v>
      </c>
      <c r="C558" t="s">
        <v>147</v>
      </c>
      <c r="D558" t="s">
        <v>148</v>
      </c>
      <c r="E558" t="s">
        <v>65</v>
      </c>
      <c r="F558">
        <v>35699</v>
      </c>
      <c r="G558" t="s">
        <v>66</v>
      </c>
      <c r="H558">
        <v>14</v>
      </c>
    </row>
    <row r="559" spans="1:8" x14ac:dyDescent="0.3">
      <c r="A559" t="s">
        <v>200</v>
      </c>
      <c r="B559">
        <v>2019</v>
      </c>
      <c r="C559" t="s">
        <v>147</v>
      </c>
      <c r="D559" t="s">
        <v>148</v>
      </c>
      <c r="E559" t="s">
        <v>65</v>
      </c>
      <c r="F559">
        <v>35699</v>
      </c>
      <c r="G559" t="s">
        <v>66</v>
      </c>
      <c r="H559">
        <v>9</v>
      </c>
    </row>
    <row r="560" spans="1:8" x14ac:dyDescent="0.3">
      <c r="A560" t="s">
        <v>200</v>
      </c>
      <c r="B560">
        <v>2020</v>
      </c>
      <c r="C560" t="s">
        <v>147</v>
      </c>
      <c r="D560" t="s">
        <v>148</v>
      </c>
      <c r="E560" t="s">
        <v>65</v>
      </c>
      <c r="F560">
        <v>35699</v>
      </c>
      <c r="G560" t="s">
        <v>66</v>
      </c>
      <c r="H560">
        <v>3</v>
      </c>
    </row>
    <row r="561" spans="1:8" x14ac:dyDescent="0.3">
      <c r="A561" t="s">
        <v>200</v>
      </c>
      <c r="B561">
        <v>2021</v>
      </c>
      <c r="C561" t="s">
        <v>147</v>
      </c>
      <c r="D561" t="s">
        <v>148</v>
      </c>
      <c r="E561" t="s">
        <v>65</v>
      </c>
      <c r="F561">
        <v>35699</v>
      </c>
      <c r="G561" t="s">
        <v>66</v>
      </c>
      <c r="H561">
        <v>9</v>
      </c>
    </row>
    <row r="562" spans="1:8" x14ac:dyDescent="0.3">
      <c r="A562" t="s">
        <v>201</v>
      </c>
      <c r="B562">
        <v>2015</v>
      </c>
      <c r="C562" t="s">
        <v>147</v>
      </c>
      <c r="D562" t="s">
        <v>148</v>
      </c>
      <c r="E562" t="s">
        <v>65</v>
      </c>
      <c r="F562">
        <v>1300</v>
      </c>
      <c r="G562" t="s">
        <v>66</v>
      </c>
      <c r="H562">
        <v>2</v>
      </c>
    </row>
    <row r="563" spans="1:8" x14ac:dyDescent="0.3">
      <c r="A563" t="s">
        <v>201</v>
      </c>
      <c r="B563">
        <v>2017</v>
      </c>
      <c r="C563" t="s">
        <v>147</v>
      </c>
      <c r="D563" t="s">
        <v>148</v>
      </c>
      <c r="E563" t="s">
        <v>65</v>
      </c>
      <c r="F563">
        <v>1300</v>
      </c>
      <c r="G563" t="s">
        <v>66</v>
      </c>
      <c r="H563">
        <v>2</v>
      </c>
    </row>
    <row r="564" spans="1:8" x14ac:dyDescent="0.3">
      <c r="A564" t="s">
        <v>201</v>
      </c>
      <c r="B564">
        <v>2018</v>
      </c>
      <c r="C564" t="s">
        <v>147</v>
      </c>
      <c r="D564" t="s">
        <v>148</v>
      </c>
      <c r="E564" t="s">
        <v>65</v>
      </c>
      <c r="F564">
        <v>1300</v>
      </c>
      <c r="G564" t="s">
        <v>66</v>
      </c>
      <c r="H564">
        <v>1</v>
      </c>
    </row>
    <row r="565" spans="1:8" x14ac:dyDescent="0.3">
      <c r="A565" t="s">
        <v>201</v>
      </c>
      <c r="B565">
        <v>2020</v>
      </c>
      <c r="C565" t="s">
        <v>147</v>
      </c>
      <c r="D565" t="s">
        <v>148</v>
      </c>
      <c r="E565" t="s">
        <v>65</v>
      </c>
      <c r="F565">
        <v>1300</v>
      </c>
      <c r="G565" t="s">
        <v>66</v>
      </c>
      <c r="H565">
        <v>1</v>
      </c>
    </row>
    <row r="566" spans="1:8" x14ac:dyDescent="0.3">
      <c r="A566" t="s">
        <v>201</v>
      </c>
      <c r="B566">
        <v>2021</v>
      </c>
      <c r="C566" t="s">
        <v>147</v>
      </c>
      <c r="D566" t="s">
        <v>148</v>
      </c>
      <c r="E566" t="s">
        <v>65</v>
      </c>
      <c r="F566">
        <v>1300</v>
      </c>
      <c r="G566" t="s">
        <v>66</v>
      </c>
      <c r="H566">
        <v>1</v>
      </c>
    </row>
    <row r="567" spans="1:8" x14ac:dyDescent="0.3">
      <c r="A567" t="s">
        <v>108</v>
      </c>
      <c r="B567">
        <v>2014</v>
      </c>
      <c r="C567" t="s">
        <v>147</v>
      </c>
      <c r="D567" t="s">
        <v>148</v>
      </c>
      <c r="E567" t="s">
        <v>65</v>
      </c>
      <c r="F567">
        <v>37478</v>
      </c>
      <c r="G567" t="s">
        <v>72</v>
      </c>
      <c r="H567">
        <v>5</v>
      </c>
    </row>
    <row r="568" spans="1:8" x14ac:dyDescent="0.3">
      <c r="A568" t="s">
        <v>108</v>
      </c>
      <c r="B568">
        <v>2015</v>
      </c>
      <c r="C568" t="s">
        <v>147</v>
      </c>
      <c r="D568" t="s">
        <v>148</v>
      </c>
      <c r="E568" t="s">
        <v>65</v>
      </c>
      <c r="F568">
        <v>37478</v>
      </c>
      <c r="G568" t="s">
        <v>72</v>
      </c>
      <c r="H568">
        <v>11</v>
      </c>
    </row>
    <row r="569" spans="1:8" x14ac:dyDescent="0.3">
      <c r="A569" t="s">
        <v>108</v>
      </c>
      <c r="B569">
        <v>2016</v>
      </c>
      <c r="C569" t="s">
        <v>147</v>
      </c>
      <c r="D569" t="s">
        <v>148</v>
      </c>
      <c r="E569" t="s">
        <v>65</v>
      </c>
      <c r="F569">
        <v>37478</v>
      </c>
      <c r="G569" t="s">
        <v>72</v>
      </c>
      <c r="H569">
        <v>12</v>
      </c>
    </row>
    <row r="570" spans="1:8" x14ac:dyDescent="0.3">
      <c r="A570" t="s">
        <v>108</v>
      </c>
      <c r="B570">
        <v>2017</v>
      </c>
      <c r="C570" t="s">
        <v>147</v>
      </c>
      <c r="D570" t="s">
        <v>148</v>
      </c>
      <c r="E570" t="s">
        <v>65</v>
      </c>
      <c r="F570">
        <v>37478</v>
      </c>
      <c r="G570" t="s">
        <v>72</v>
      </c>
      <c r="H570">
        <v>3</v>
      </c>
    </row>
    <row r="571" spans="1:8" x14ac:dyDescent="0.3">
      <c r="A571" t="s">
        <v>108</v>
      </c>
      <c r="B571">
        <v>2018</v>
      </c>
      <c r="C571" t="s">
        <v>147</v>
      </c>
      <c r="D571" t="s">
        <v>148</v>
      </c>
      <c r="E571" t="s">
        <v>65</v>
      </c>
      <c r="F571">
        <v>37478</v>
      </c>
      <c r="G571" t="s">
        <v>72</v>
      </c>
      <c r="H571">
        <v>5</v>
      </c>
    </row>
    <row r="572" spans="1:8" x14ac:dyDescent="0.3">
      <c r="A572" t="s">
        <v>108</v>
      </c>
      <c r="B572">
        <v>2019</v>
      </c>
      <c r="C572" t="s">
        <v>147</v>
      </c>
      <c r="D572" t="s">
        <v>148</v>
      </c>
      <c r="E572" t="s">
        <v>65</v>
      </c>
      <c r="F572">
        <v>37478</v>
      </c>
      <c r="G572" t="s">
        <v>72</v>
      </c>
      <c r="H572">
        <v>7</v>
      </c>
    </row>
    <row r="573" spans="1:8" x14ac:dyDescent="0.3">
      <c r="A573" t="s">
        <v>108</v>
      </c>
      <c r="B573">
        <v>2020</v>
      </c>
      <c r="C573" t="s">
        <v>147</v>
      </c>
      <c r="D573" t="s">
        <v>148</v>
      </c>
      <c r="E573" t="s">
        <v>65</v>
      </c>
      <c r="F573">
        <v>37478</v>
      </c>
      <c r="G573" t="s">
        <v>72</v>
      </c>
      <c r="H573">
        <v>10</v>
      </c>
    </row>
    <row r="574" spans="1:8" x14ac:dyDescent="0.3">
      <c r="A574" t="s">
        <v>108</v>
      </c>
      <c r="B574">
        <v>2021</v>
      </c>
      <c r="C574" t="s">
        <v>147</v>
      </c>
      <c r="D574" t="s">
        <v>148</v>
      </c>
      <c r="E574" t="s">
        <v>65</v>
      </c>
      <c r="F574">
        <v>37478</v>
      </c>
      <c r="G574" t="s">
        <v>72</v>
      </c>
      <c r="H574">
        <v>9</v>
      </c>
    </row>
    <row r="575" spans="1:8" x14ac:dyDescent="0.3">
      <c r="A575" t="s">
        <v>202</v>
      </c>
      <c r="B575">
        <v>2016</v>
      </c>
      <c r="C575" t="s">
        <v>147</v>
      </c>
      <c r="D575" t="s">
        <v>148</v>
      </c>
      <c r="E575" t="s">
        <v>65</v>
      </c>
      <c r="F575">
        <v>40600</v>
      </c>
      <c r="G575" t="s">
        <v>72</v>
      </c>
      <c r="H575">
        <v>4</v>
      </c>
    </row>
    <row r="576" spans="1:8" x14ac:dyDescent="0.3">
      <c r="A576" t="s">
        <v>202</v>
      </c>
      <c r="B576">
        <v>2017</v>
      </c>
      <c r="C576" t="s">
        <v>147</v>
      </c>
      <c r="D576" t="s">
        <v>148</v>
      </c>
      <c r="E576" t="s">
        <v>65</v>
      </c>
      <c r="F576">
        <v>40600</v>
      </c>
      <c r="G576" t="s">
        <v>72</v>
      </c>
      <c r="H576">
        <v>8</v>
      </c>
    </row>
    <row r="577" spans="1:8" x14ac:dyDescent="0.3">
      <c r="A577" t="s">
        <v>202</v>
      </c>
      <c r="B577">
        <v>2018</v>
      </c>
      <c r="C577" t="s">
        <v>147</v>
      </c>
      <c r="D577" t="s">
        <v>148</v>
      </c>
      <c r="E577" t="s">
        <v>65</v>
      </c>
      <c r="F577">
        <v>40600</v>
      </c>
      <c r="G577" t="s">
        <v>72</v>
      </c>
      <c r="H577">
        <v>10</v>
      </c>
    </row>
    <row r="578" spans="1:8" x14ac:dyDescent="0.3">
      <c r="A578" t="s">
        <v>202</v>
      </c>
      <c r="B578">
        <v>2019</v>
      </c>
      <c r="C578" t="s">
        <v>147</v>
      </c>
      <c r="D578" t="s">
        <v>148</v>
      </c>
      <c r="E578" t="s">
        <v>65</v>
      </c>
      <c r="F578">
        <v>40600</v>
      </c>
      <c r="G578" t="s">
        <v>72</v>
      </c>
      <c r="H578">
        <v>19</v>
      </c>
    </row>
    <row r="579" spans="1:8" x14ac:dyDescent="0.3">
      <c r="A579" t="s">
        <v>202</v>
      </c>
      <c r="B579">
        <v>2020</v>
      </c>
      <c r="C579" t="s">
        <v>147</v>
      </c>
      <c r="D579" t="s">
        <v>148</v>
      </c>
      <c r="E579" t="s">
        <v>65</v>
      </c>
      <c r="F579">
        <v>40600</v>
      </c>
      <c r="G579" t="s">
        <v>72</v>
      </c>
      <c r="H579">
        <v>19</v>
      </c>
    </row>
    <row r="580" spans="1:8" x14ac:dyDescent="0.3">
      <c r="A580" t="s">
        <v>202</v>
      </c>
      <c r="B580">
        <v>2021</v>
      </c>
      <c r="C580" t="s">
        <v>147</v>
      </c>
      <c r="D580" t="s">
        <v>148</v>
      </c>
      <c r="E580" t="s">
        <v>65</v>
      </c>
      <c r="F580">
        <v>40600</v>
      </c>
      <c r="G580" t="s">
        <v>72</v>
      </c>
      <c r="H580">
        <v>11</v>
      </c>
    </row>
    <row r="581" spans="1:8" x14ac:dyDescent="0.3">
      <c r="A581" t="s">
        <v>203</v>
      </c>
      <c r="B581">
        <v>2014</v>
      </c>
      <c r="C581" t="s">
        <v>147</v>
      </c>
      <c r="D581" t="s">
        <v>148</v>
      </c>
      <c r="E581" t="s">
        <v>65</v>
      </c>
      <c r="F581">
        <v>48200</v>
      </c>
      <c r="G581" t="s">
        <v>72</v>
      </c>
      <c r="H581">
        <v>7</v>
      </c>
    </row>
    <row r="582" spans="1:8" x14ac:dyDescent="0.3">
      <c r="A582" t="s">
        <v>203</v>
      </c>
      <c r="B582">
        <v>2015</v>
      </c>
      <c r="C582" t="s">
        <v>147</v>
      </c>
      <c r="D582" t="s">
        <v>148</v>
      </c>
      <c r="E582" t="s">
        <v>65</v>
      </c>
      <c r="F582">
        <v>48200</v>
      </c>
      <c r="G582" t="s">
        <v>72</v>
      </c>
      <c r="H582">
        <v>12</v>
      </c>
    </row>
    <row r="583" spans="1:8" x14ac:dyDescent="0.3">
      <c r="A583" t="s">
        <v>203</v>
      </c>
      <c r="B583">
        <v>2016</v>
      </c>
      <c r="C583" t="s">
        <v>147</v>
      </c>
      <c r="D583" t="s">
        <v>148</v>
      </c>
      <c r="E583" t="s">
        <v>65</v>
      </c>
      <c r="F583">
        <v>48200</v>
      </c>
      <c r="G583" t="s">
        <v>72</v>
      </c>
      <c r="H583">
        <v>16</v>
      </c>
    </row>
    <row r="584" spans="1:8" x14ac:dyDescent="0.3">
      <c r="A584" t="s">
        <v>203</v>
      </c>
      <c r="B584">
        <v>2017</v>
      </c>
      <c r="C584" t="s">
        <v>147</v>
      </c>
      <c r="D584" t="s">
        <v>148</v>
      </c>
      <c r="E584" t="s">
        <v>65</v>
      </c>
      <c r="F584">
        <v>48200</v>
      </c>
      <c r="G584" t="s">
        <v>72</v>
      </c>
      <c r="H584">
        <v>12</v>
      </c>
    </row>
    <row r="585" spans="1:8" x14ac:dyDescent="0.3">
      <c r="A585" t="s">
        <v>203</v>
      </c>
      <c r="B585">
        <v>2018</v>
      </c>
      <c r="C585" t="s">
        <v>147</v>
      </c>
      <c r="D585" t="s">
        <v>148</v>
      </c>
      <c r="E585" t="s">
        <v>65</v>
      </c>
      <c r="F585">
        <v>48200</v>
      </c>
      <c r="G585" t="s">
        <v>72</v>
      </c>
      <c r="H585">
        <v>13</v>
      </c>
    </row>
    <row r="586" spans="1:8" x14ac:dyDescent="0.3">
      <c r="A586" t="s">
        <v>203</v>
      </c>
      <c r="B586">
        <v>2019</v>
      </c>
      <c r="C586" t="s">
        <v>147</v>
      </c>
      <c r="D586" t="s">
        <v>148</v>
      </c>
      <c r="E586" t="s">
        <v>65</v>
      </c>
      <c r="F586">
        <v>48200</v>
      </c>
      <c r="G586" t="s">
        <v>72</v>
      </c>
      <c r="H586">
        <v>11</v>
      </c>
    </row>
    <row r="587" spans="1:8" x14ac:dyDescent="0.3">
      <c r="A587" t="s">
        <v>203</v>
      </c>
      <c r="B587">
        <v>2020</v>
      </c>
      <c r="C587" t="s">
        <v>147</v>
      </c>
      <c r="D587" t="s">
        <v>148</v>
      </c>
      <c r="E587" t="s">
        <v>65</v>
      </c>
      <c r="F587">
        <v>48200</v>
      </c>
      <c r="G587" t="s">
        <v>72</v>
      </c>
      <c r="H587">
        <v>12</v>
      </c>
    </row>
    <row r="588" spans="1:8" x14ac:dyDescent="0.3">
      <c r="A588" t="s">
        <v>203</v>
      </c>
      <c r="B588">
        <v>2021</v>
      </c>
      <c r="C588" t="s">
        <v>147</v>
      </c>
      <c r="D588" t="s">
        <v>148</v>
      </c>
      <c r="E588" t="s">
        <v>65</v>
      </c>
      <c r="F588">
        <v>48200</v>
      </c>
      <c r="G588" t="s">
        <v>72</v>
      </c>
      <c r="H588">
        <v>17</v>
      </c>
    </row>
    <row r="589" spans="1:8" x14ac:dyDescent="0.3">
      <c r="A589" t="s">
        <v>109</v>
      </c>
      <c r="B589">
        <v>2014</v>
      </c>
      <c r="C589" t="s">
        <v>147</v>
      </c>
      <c r="D589" t="s">
        <v>148</v>
      </c>
      <c r="E589" t="s">
        <v>65</v>
      </c>
      <c r="F589">
        <v>3600</v>
      </c>
      <c r="G589" t="s">
        <v>66</v>
      </c>
      <c r="H589">
        <v>6</v>
      </c>
    </row>
    <row r="590" spans="1:8" x14ac:dyDescent="0.3">
      <c r="A590" t="s">
        <v>109</v>
      </c>
      <c r="B590">
        <v>2015</v>
      </c>
      <c r="C590" t="s">
        <v>147</v>
      </c>
      <c r="D590" t="s">
        <v>148</v>
      </c>
      <c r="E590" t="s">
        <v>65</v>
      </c>
      <c r="F590">
        <v>3600</v>
      </c>
      <c r="G590" t="s">
        <v>66</v>
      </c>
      <c r="H590">
        <v>4</v>
      </c>
    </row>
    <row r="591" spans="1:8" x14ac:dyDescent="0.3">
      <c r="A591" t="s">
        <v>109</v>
      </c>
      <c r="B591">
        <v>2016</v>
      </c>
      <c r="C591" t="s">
        <v>147</v>
      </c>
      <c r="D591" t="s">
        <v>148</v>
      </c>
      <c r="E591" t="s">
        <v>65</v>
      </c>
      <c r="F591">
        <v>3600</v>
      </c>
      <c r="G591" t="s">
        <v>66</v>
      </c>
      <c r="H591">
        <v>9</v>
      </c>
    </row>
    <row r="592" spans="1:8" x14ac:dyDescent="0.3">
      <c r="A592" t="s">
        <v>109</v>
      </c>
      <c r="B592">
        <v>2017</v>
      </c>
      <c r="C592" t="s">
        <v>147</v>
      </c>
      <c r="D592" t="s">
        <v>148</v>
      </c>
      <c r="E592" t="s">
        <v>65</v>
      </c>
      <c r="F592">
        <v>3600</v>
      </c>
      <c r="G592" t="s">
        <v>66</v>
      </c>
      <c r="H592">
        <v>9</v>
      </c>
    </row>
    <row r="593" spans="1:8" x14ac:dyDescent="0.3">
      <c r="A593" t="s">
        <v>109</v>
      </c>
      <c r="B593">
        <v>2018</v>
      </c>
      <c r="C593" t="s">
        <v>147</v>
      </c>
      <c r="D593" t="s">
        <v>148</v>
      </c>
      <c r="E593" t="s">
        <v>65</v>
      </c>
      <c r="F593">
        <v>3600</v>
      </c>
      <c r="G593" t="s">
        <v>66</v>
      </c>
      <c r="H593">
        <v>3</v>
      </c>
    </row>
    <row r="594" spans="1:8" x14ac:dyDescent="0.3">
      <c r="A594" t="s">
        <v>109</v>
      </c>
      <c r="B594">
        <v>2019</v>
      </c>
      <c r="C594" t="s">
        <v>147</v>
      </c>
      <c r="D594" t="s">
        <v>148</v>
      </c>
      <c r="E594" t="s">
        <v>65</v>
      </c>
      <c r="F594">
        <v>3600</v>
      </c>
      <c r="G594" t="s">
        <v>66</v>
      </c>
      <c r="H594">
        <v>15</v>
      </c>
    </row>
    <row r="595" spans="1:8" x14ac:dyDescent="0.3">
      <c r="A595" t="s">
        <v>109</v>
      </c>
      <c r="B595">
        <v>2020</v>
      </c>
      <c r="C595" t="s">
        <v>147</v>
      </c>
      <c r="D595" t="s">
        <v>148</v>
      </c>
      <c r="E595" t="s">
        <v>65</v>
      </c>
      <c r="F595">
        <v>3600</v>
      </c>
      <c r="G595" t="s">
        <v>66</v>
      </c>
      <c r="H595">
        <v>4</v>
      </c>
    </row>
    <row r="596" spans="1:8" x14ac:dyDescent="0.3">
      <c r="A596" t="s">
        <v>109</v>
      </c>
      <c r="B596">
        <v>2021</v>
      </c>
      <c r="C596" t="s">
        <v>147</v>
      </c>
      <c r="D596" t="s">
        <v>148</v>
      </c>
      <c r="E596" t="s">
        <v>65</v>
      </c>
      <c r="F596">
        <v>3600</v>
      </c>
      <c r="G596" t="s">
        <v>66</v>
      </c>
      <c r="H596">
        <v>3</v>
      </c>
    </row>
    <row r="597" spans="1:8" x14ac:dyDescent="0.3">
      <c r="A597" t="s">
        <v>204</v>
      </c>
      <c r="B597">
        <v>2014</v>
      </c>
      <c r="C597" t="s">
        <v>147</v>
      </c>
      <c r="D597" t="s">
        <v>148</v>
      </c>
      <c r="E597" t="s">
        <v>65</v>
      </c>
      <c r="F597">
        <v>53000</v>
      </c>
      <c r="G597" t="s">
        <v>72</v>
      </c>
      <c r="H597">
        <v>3</v>
      </c>
    </row>
    <row r="598" spans="1:8" x14ac:dyDescent="0.3">
      <c r="A598" t="s">
        <v>204</v>
      </c>
      <c r="B598">
        <v>2015</v>
      </c>
      <c r="C598" t="s">
        <v>147</v>
      </c>
      <c r="D598" t="s">
        <v>148</v>
      </c>
      <c r="E598" t="s">
        <v>65</v>
      </c>
      <c r="F598">
        <v>53000</v>
      </c>
      <c r="G598" t="s">
        <v>72</v>
      </c>
      <c r="H598">
        <v>191</v>
      </c>
    </row>
    <row r="599" spans="1:8" x14ac:dyDescent="0.3">
      <c r="A599" t="s">
        <v>204</v>
      </c>
      <c r="B599">
        <v>2016</v>
      </c>
      <c r="C599" t="s">
        <v>147</v>
      </c>
      <c r="D599" t="s">
        <v>148</v>
      </c>
      <c r="E599" t="s">
        <v>65</v>
      </c>
      <c r="F599">
        <v>53000</v>
      </c>
      <c r="G599" t="s">
        <v>72</v>
      </c>
      <c r="H599">
        <v>7</v>
      </c>
    </row>
    <row r="600" spans="1:8" x14ac:dyDescent="0.3">
      <c r="A600" t="s">
        <v>204</v>
      </c>
      <c r="B600">
        <v>2017</v>
      </c>
      <c r="C600" t="s">
        <v>147</v>
      </c>
      <c r="D600" t="s">
        <v>148</v>
      </c>
      <c r="E600" t="s">
        <v>65</v>
      </c>
      <c r="F600">
        <v>53000</v>
      </c>
      <c r="G600" t="s">
        <v>72</v>
      </c>
      <c r="H600">
        <v>31</v>
      </c>
    </row>
    <row r="601" spans="1:8" x14ac:dyDescent="0.3">
      <c r="A601" t="s">
        <v>204</v>
      </c>
      <c r="B601">
        <v>2018</v>
      </c>
      <c r="C601" t="s">
        <v>147</v>
      </c>
      <c r="D601" t="s">
        <v>148</v>
      </c>
      <c r="E601" t="s">
        <v>65</v>
      </c>
      <c r="F601">
        <v>53000</v>
      </c>
      <c r="G601" t="s">
        <v>72</v>
      </c>
      <c r="H601">
        <v>775</v>
      </c>
    </row>
    <row r="602" spans="1:8" x14ac:dyDescent="0.3">
      <c r="A602" t="s">
        <v>204</v>
      </c>
      <c r="B602">
        <v>2019</v>
      </c>
      <c r="C602" t="s">
        <v>147</v>
      </c>
      <c r="D602" t="s">
        <v>148</v>
      </c>
      <c r="E602" t="s">
        <v>65</v>
      </c>
      <c r="F602">
        <v>53000</v>
      </c>
      <c r="G602" t="s">
        <v>72</v>
      </c>
      <c r="H602">
        <v>793</v>
      </c>
    </row>
    <row r="603" spans="1:8" x14ac:dyDescent="0.3">
      <c r="A603" t="s">
        <v>204</v>
      </c>
      <c r="B603">
        <v>2020</v>
      </c>
      <c r="C603" t="s">
        <v>147</v>
      </c>
      <c r="D603" t="s">
        <v>148</v>
      </c>
      <c r="E603" t="s">
        <v>65</v>
      </c>
      <c r="F603">
        <v>53000</v>
      </c>
      <c r="G603" t="s">
        <v>72</v>
      </c>
      <c r="H603">
        <v>616</v>
      </c>
    </row>
    <row r="604" spans="1:8" x14ac:dyDescent="0.3">
      <c r="A604" t="s">
        <v>204</v>
      </c>
      <c r="B604">
        <v>2021</v>
      </c>
      <c r="C604" t="s">
        <v>147</v>
      </c>
      <c r="D604" t="s">
        <v>148</v>
      </c>
      <c r="E604" t="s">
        <v>65</v>
      </c>
      <c r="F604">
        <v>53000</v>
      </c>
      <c r="G604" t="s">
        <v>72</v>
      </c>
      <c r="H604">
        <v>425</v>
      </c>
    </row>
    <row r="605" spans="1:8" x14ac:dyDescent="0.3">
      <c r="A605" t="s">
        <v>205</v>
      </c>
      <c r="B605">
        <v>2014</v>
      </c>
      <c r="C605" t="s">
        <v>147</v>
      </c>
      <c r="D605" t="s">
        <v>148</v>
      </c>
      <c r="E605" t="s">
        <v>65</v>
      </c>
      <c r="F605">
        <v>84500</v>
      </c>
      <c r="G605" t="s">
        <v>72</v>
      </c>
      <c r="H605">
        <v>8</v>
      </c>
    </row>
    <row r="606" spans="1:8" x14ac:dyDescent="0.3">
      <c r="A606" t="s">
        <v>205</v>
      </c>
      <c r="B606">
        <v>2015</v>
      </c>
      <c r="C606" t="s">
        <v>147</v>
      </c>
      <c r="D606" t="s">
        <v>148</v>
      </c>
      <c r="E606" t="s">
        <v>65</v>
      </c>
      <c r="F606">
        <v>84500</v>
      </c>
      <c r="G606" t="s">
        <v>72</v>
      </c>
      <c r="H606">
        <v>12</v>
      </c>
    </row>
    <row r="607" spans="1:8" x14ac:dyDescent="0.3">
      <c r="A607" t="s">
        <v>205</v>
      </c>
      <c r="B607">
        <v>2016</v>
      </c>
      <c r="C607" t="s">
        <v>147</v>
      </c>
      <c r="D607" t="s">
        <v>148</v>
      </c>
      <c r="E607" t="s">
        <v>65</v>
      </c>
      <c r="F607">
        <v>84500</v>
      </c>
      <c r="G607" t="s">
        <v>72</v>
      </c>
      <c r="H607">
        <v>4</v>
      </c>
    </row>
    <row r="608" spans="1:8" x14ac:dyDescent="0.3">
      <c r="A608" t="s">
        <v>205</v>
      </c>
      <c r="B608">
        <v>2017</v>
      </c>
      <c r="C608" t="s">
        <v>147</v>
      </c>
      <c r="D608" t="s">
        <v>148</v>
      </c>
      <c r="E608" t="s">
        <v>65</v>
      </c>
      <c r="F608">
        <v>84500</v>
      </c>
      <c r="G608" t="s">
        <v>72</v>
      </c>
      <c r="H608">
        <v>13</v>
      </c>
    </row>
    <row r="609" spans="1:8" x14ac:dyDescent="0.3">
      <c r="A609" t="s">
        <v>205</v>
      </c>
      <c r="B609">
        <v>2018</v>
      </c>
      <c r="C609" t="s">
        <v>147</v>
      </c>
      <c r="D609" t="s">
        <v>148</v>
      </c>
      <c r="E609" t="s">
        <v>65</v>
      </c>
      <c r="F609">
        <v>84500</v>
      </c>
      <c r="G609" t="s">
        <v>72</v>
      </c>
      <c r="H609">
        <v>9</v>
      </c>
    </row>
    <row r="610" spans="1:8" x14ac:dyDescent="0.3">
      <c r="A610" t="s">
        <v>205</v>
      </c>
      <c r="B610">
        <v>2019</v>
      </c>
      <c r="C610" t="s">
        <v>147</v>
      </c>
      <c r="D610" t="s">
        <v>148</v>
      </c>
      <c r="E610" t="s">
        <v>65</v>
      </c>
      <c r="F610">
        <v>84500</v>
      </c>
      <c r="G610" t="s">
        <v>72</v>
      </c>
      <c r="H610">
        <v>12</v>
      </c>
    </row>
    <row r="611" spans="1:8" x14ac:dyDescent="0.3">
      <c r="A611" t="s">
        <v>205</v>
      </c>
      <c r="B611">
        <v>2021</v>
      </c>
      <c r="C611" t="s">
        <v>147</v>
      </c>
      <c r="D611" t="s">
        <v>148</v>
      </c>
      <c r="E611" t="s">
        <v>65</v>
      </c>
      <c r="F611">
        <v>84500</v>
      </c>
      <c r="G611" t="s">
        <v>72</v>
      </c>
      <c r="H611">
        <v>1</v>
      </c>
    </row>
    <row r="612" spans="1:8" x14ac:dyDescent="0.3">
      <c r="A612" t="s">
        <v>110</v>
      </c>
      <c r="B612">
        <v>2021</v>
      </c>
      <c r="C612" t="s">
        <v>147</v>
      </c>
      <c r="D612" t="s">
        <v>148</v>
      </c>
      <c r="E612" t="s">
        <v>65</v>
      </c>
      <c r="F612">
        <v>80500</v>
      </c>
      <c r="G612" t="s">
        <v>72</v>
      </c>
      <c r="H612">
        <v>1</v>
      </c>
    </row>
    <row r="613" spans="1:8" x14ac:dyDescent="0.3">
      <c r="A613" t="s">
        <v>206</v>
      </c>
      <c r="B613">
        <v>2014</v>
      </c>
      <c r="C613" t="s">
        <v>147</v>
      </c>
      <c r="D613" t="s">
        <v>148</v>
      </c>
      <c r="E613" t="s">
        <v>65</v>
      </c>
      <c r="F613">
        <v>30842</v>
      </c>
      <c r="G613" t="s">
        <v>72</v>
      </c>
      <c r="H613">
        <v>5</v>
      </c>
    </row>
    <row r="614" spans="1:8" x14ac:dyDescent="0.3">
      <c r="A614" t="s">
        <v>206</v>
      </c>
      <c r="B614">
        <v>2015</v>
      </c>
      <c r="C614" t="s">
        <v>147</v>
      </c>
      <c r="D614" t="s">
        <v>148</v>
      </c>
      <c r="E614" t="s">
        <v>65</v>
      </c>
      <c r="F614">
        <v>30842</v>
      </c>
      <c r="G614" t="s">
        <v>72</v>
      </c>
      <c r="H614">
        <v>9</v>
      </c>
    </row>
    <row r="615" spans="1:8" x14ac:dyDescent="0.3">
      <c r="A615" t="s">
        <v>206</v>
      </c>
      <c r="B615">
        <v>2016</v>
      </c>
      <c r="C615" t="s">
        <v>147</v>
      </c>
      <c r="D615" t="s">
        <v>148</v>
      </c>
      <c r="E615" t="s">
        <v>65</v>
      </c>
      <c r="F615">
        <v>30842</v>
      </c>
      <c r="G615" t="s">
        <v>72</v>
      </c>
      <c r="H615">
        <v>4</v>
      </c>
    </row>
    <row r="616" spans="1:8" x14ac:dyDescent="0.3">
      <c r="A616" t="s">
        <v>206</v>
      </c>
      <c r="B616">
        <v>2017</v>
      </c>
      <c r="C616" t="s">
        <v>147</v>
      </c>
      <c r="D616" t="s">
        <v>148</v>
      </c>
      <c r="E616" t="s">
        <v>65</v>
      </c>
      <c r="F616">
        <v>30842</v>
      </c>
      <c r="G616" t="s">
        <v>72</v>
      </c>
      <c r="H616">
        <v>2</v>
      </c>
    </row>
    <row r="617" spans="1:8" x14ac:dyDescent="0.3">
      <c r="A617" t="s">
        <v>206</v>
      </c>
      <c r="B617">
        <v>2018</v>
      </c>
      <c r="C617" t="s">
        <v>147</v>
      </c>
      <c r="D617" t="s">
        <v>148</v>
      </c>
      <c r="E617" t="s">
        <v>65</v>
      </c>
      <c r="F617">
        <v>30842</v>
      </c>
      <c r="G617" t="s">
        <v>72</v>
      </c>
      <c r="H617">
        <v>2</v>
      </c>
    </row>
    <row r="618" spans="1:8" x14ac:dyDescent="0.3">
      <c r="A618" t="s">
        <v>206</v>
      </c>
      <c r="B618">
        <v>2019</v>
      </c>
      <c r="C618" t="s">
        <v>147</v>
      </c>
      <c r="D618" t="s">
        <v>148</v>
      </c>
      <c r="E618" t="s">
        <v>65</v>
      </c>
      <c r="F618">
        <v>30842</v>
      </c>
      <c r="G618" t="s">
        <v>72</v>
      </c>
      <c r="H618">
        <v>1</v>
      </c>
    </row>
    <row r="619" spans="1:8" x14ac:dyDescent="0.3">
      <c r="A619" t="s">
        <v>111</v>
      </c>
      <c r="B619">
        <v>2014</v>
      </c>
      <c r="C619" t="s">
        <v>147</v>
      </c>
      <c r="D619" t="s">
        <v>148</v>
      </c>
      <c r="E619" t="s">
        <v>65</v>
      </c>
      <c r="F619">
        <v>1764</v>
      </c>
      <c r="G619" t="s">
        <v>66</v>
      </c>
      <c r="H619">
        <v>15</v>
      </c>
    </row>
    <row r="620" spans="1:8" x14ac:dyDescent="0.3">
      <c r="A620" t="s">
        <v>111</v>
      </c>
      <c r="B620">
        <v>2015</v>
      </c>
      <c r="C620" t="s">
        <v>147</v>
      </c>
      <c r="D620" t="s">
        <v>148</v>
      </c>
      <c r="E620" t="s">
        <v>65</v>
      </c>
      <c r="F620">
        <v>1764</v>
      </c>
      <c r="G620" t="s">
        <v>66</v>
      </c>
      <c r="H620">
        <v>47</v>
      </c>
    </row>
    <row r="621" spans="1:8" x14ac:dyDescent="0.3">
      <c r="A621" t="s">
        <v>111</v>
      </c>
      <c r="B621">
        <v>2016</v>
      </c>
      <c r="C621" t="s">
        <v>147</v>
      </c>
      <c r="D621" t="s">
        <v>148</v>
      </c>
      <c r="E621" t="s">
        <v>65</v>
      </c>
      <c r="F621">
        <v>1764</v>
      </c>
      <c r="G621" t="s">
        <v>66</v>
      </c>
      <c r="H621">
        <v>41</v>
      </c>
    </row>
    <row r="622" spans="1:8" x14ac:dyDescent="0.3">
      <c r="A622" t="s">
        <v>111</v>
      </c>
      <c r="B622">
        <v>2017</v>
      </c>
      <c r="C622" t="s">
        <v>147</v>
      </c>
      <c r="D622" t="s">
        <v>148</v>
      </c>
      <c r="E622" t="s">
        <v>65</v>
      </c>
      <c r="F622">
        <v>1764</v>
      </c>
      <c r="G622" t="s">
        <v>66</v>
      </c>
      <c r="H622">
        <v>90</v>
      </c>
    </row>
    <row r="623" spans="1:8" x14ac:dyDescent="0.3">
      <c r="A623" t="s">
        <v>111</v>
      </c>
      <c r="B623">
        <v>2018</v>
      </c>
      <c r="C623" t="s">
        <v>147</v>
      </c>
      <c r="D623" t="s">
        <v>148</v>
      </c>
      <c r="E623" t="s">
        <v>65</v>
      </c>
      <c r="F623">
        <v>1764</v>
      </c>
      <c r="G623" t="s">
        <v>66</v>
      </c>
      <c r="H623">
        <v>41</v>
      </c>
    </row>
    <row r="624" spans="1:8" x14ac:dyDescent="0.3">
      <c r="A624" t="s">
        <v>111</v>
      </c>
      <c r="B624">
        <v>2019</v>
      </c>
      <c r="C624" t="s">
        <v>147</v>
      </c>
      <c r="D624" t="s">
        <v>148</v>
      </c>
      <c r="E624" t="s">
        <v>65</v>
      </c>
      <c r="F624">
        <v>1764</v>
      </c>
      <c r="G624" t="s">
        <v>66</v>
      </c>
      <c r="H624">
        <v>21</v>
      </c>
    </row>
    <row r="625" spans="1:8" x14ac:dyDescent="0.3">
      <c r="A625" t="s">
        <v>111</v>
      </c>
      <c r="B625">
        <v>2020</v>
      </c>
      <c r="C625" t="s">
        <v>147</v>
      </c>
      <c r="D625" t="s">
        <v>148</v>
      </c>
      <c r="E625" t="s">
        <v>65</v>
      </c>
      <c r="F625">
        <v>1764</v>
      </c>
      <c r="G625" t="s">
        <v>66</v>
      </c>
      <c r="H625">
        <v>10</v>
      </c>
    </row>
    <row r="626" spans="1:8" x14ac:dyDescent="0.3">
      <c r="A626" t="s">
        <v>111</v>
      </c>
      <c r="B626">
        <v>2021</v>
      </c>
      <c r="C626" t="s">
        <v>147</v>
      </c>
      <c r="D626" t="s">
        <v>148</v>
      </c>
      <c r="E626" t="s">
        <v>65</v>
      </c>
      <c r="F626">
        <v>1764</v>
      </c>
      <c r="G626" t="s">
        <v>66</v>
      </c>
      <c r="H626">
        <v>3</v>
      </c>
    </row>
    <row r="627" spans="1:8" x14ac:dyDescent="0.3">
      <c r="A627" t="s">
        <v>112</v>
      </c>
      <c r="B627">
        <v>2014</v>
      </c>
      <c r="C627" t="s">
        <v>147</v>
      </c>
      <c r="D627" t="s">
        <v>148</v>
      </c>
      <c r="E627" t="s">
        <v>65</v>
      </c>
      <c r="F627">
        <v>2888</v>
      </c>
      <c r="G627" t="s">
        <v>66</v>
      </c>
      <c r="H627">
        <v>5</v>
      </c>
    </row>
    <row r="628" spans="1:8" x14ac:dyDescent="0.3">
      <c r="A628" t="s">
        <v>112</v>
      </c>
      <c r="B628">
        <v>2015</v>
      </c>
      <c r="C628" t="s">
        <v>147</v>
      </c>
      <c r="D628" t="s">
        <v>148</v>
      </c>
      <c r="E628" t="s">
        <v>65</v>
      </c>
      <c r="F628">
        <v>2888</v>
      </c>
      <c r="G628" t="s">
        <v>66</v>
      </c>
      <c r="H628">
        <v>17</v>
      </c>
    </row>
    <row r="629" spans="1:8" x14ac:dyDescent="0.3">
      <c r="A629" t="s">
        <v>112</v>
      </c>
      <c r="B629">
        <v>2016</v>
      </c>
      <c r="C629" t="s">
        <v>147</v>
      </c>
      <c r="D629" t="s">
        <v>148</v>
      </c>
      <c r="E629" t="s">
        <v>65</v>
      </c>
      <c r="F629">
        <v>2888</v>
      </c>
      <c r="G629" t="s">
        <v>66</v>
      </c>
      <c r="H629">
        <v>19</v>
      </c>
    </row>
    <row r="630" spans="1:8" x14ac:dyDescent="0.3">
      <c r="A630" t="s">
        <v>112</v>
      </c>
      <c r="B630">
        <v>2017</v>
      </c>
      <c r="C630" t="s">
        <v>147</v>
      </c>
      <c r="D630" t="s">
        <v>148</v>
      </c>
      <c r="E630" t="s">
        <v>65</v>
      </c>
      <c r="F630">
        <v>2888</v>
      </c>
      <c r="G630" t="s">
        <v>66</v>
      </c>
      <c r="H630">
        <v>23</v>
      </c>
    </row>
    <row r="631" spans="1:8" x14ac:dyDescent="0.3">
      <c r="A631" t="s">
        <v>112</v>
      </c>
      <c r="B631">
        <v>2018</v>
      </c>
      <c r="C631" t="s">
        <v>147</v>
      </c>
      <c r="D631" t="s">
        <v>148</v>
      </c>
      <c r="E631" t="s">
        <v>65</v>
      </c>
      <c r="F631">
        <v>2888</v>
      </c>
      <c r="G631" t="s">
        <v>66</v>
      </c>
      <c r="H631">
        <v>20</v>
      </c>
    </row>
    <row r="632" spans="1:8" x14ac:dyDescent="0.3">
      <c r="A632" t="s">
        <v>112</v>
      </c>
      <c r="B632">
        <v>2019</v>
      </c>
      <c r="C632" t="s">
        <v>147</v>
      </c>
      <c r="D632" t="s">
        <v>148</v>
      </c>
      <c r="E632" t="s">
        <v>65</v>
      </c>
      <c r="F632">
        <v>2888</v>
      </c>
      <c r="G632" t="s">
        <v>66</v>
      </c>
      <c r="H632">
        <v>18</v>
      </c>
    </row>
    <row r="633" spans="1:8" x14ac:dyDescent="0.3">
      <c r="A633" t="s">
        <v>112</v>
      </c>
      <c r="B633">
        <v>2020</v>
      </c>
      <c r="C633" t="s">
        <v>147</v>
      </c>
      <c r="D633" t="s">
        <v>148</v>
      </c>
      <c r="E633" t="s">
        <v>65</v>
      </c>
      <c r="F633">
        <v>2888</v>
      </c>
      <c r="G633" t="s">
        <v>66</v>
      </c>
      <c r="H633">
        <v>15</v>
      </c>
    </row>
    <row r="634" spans="1:8" x14ac:dyDescent="0.3">
      <c r="A634" t="s">
        <v>112</v>
      </c>
      <c r="B634">
        <v>2021</v>
      </c>
      <c r="C634" t="s">
        <v>147</v>
      </c>
      <c r="D634" t="s">
        <v>148</v>
      </c>
      <c r="E634" t="s">
        <v>65</v>
      </c>
      <c r="F634">
        <v>2888</v>
      </c>
      <c r="G634" t="s">
        <v>66</v>
      </c>
      <c r="H634">
        <v>12</v>
      </c>
    </row>
    <row r="635" spans="1:8" x14ac:dyDescent="0.3">
      <c r="A635" t="s">
        <v>113</v>
      </c>
      <c r="B635">
        <v>2015</v>
      </c>
      <c r="C635" t="s">
        <v>147</v>
      </c>
      <c r="D635" t="s">
        <v>148</v>
      </c>
      <c r="E635" t="s">
        <v>65</v>
      </c>
      <c r="F635">
        <v>4407</v>
      </c>
      <c r="G635" t="s">
        <v>66</v>
      </c>
      <c r="H635">
        <v>1</v>
      </c>
    </row>
    <row r="636" spans="1:8" x14ac:dyDescent="0.3">
      <c r="A636" t="s">
        <v>113</v>
      </c>
      <c r="B636">
        <v>2016</v>
      </c>
      <c r="C636" t="s">
        <v>147</v>
      </c>
      <c r="D636" t="s">
        <v>148</v>
      </c>
      <c r="E636" t="s">
        <v>65</v>
      </c>
      <c r="F636">
        <v>4407</v>
      </c>
      <c r="G636" t="s">
        <v>66</v>
      </c>
      <c r="H636">
        <v>3</v>
      </c>
    </row>
    <row r="637" spans="1:8" x14ac:dyDescent="0.3">
      <c r="A637" t="s">
        <v>113</v>
      </c>
      <c r="B637">
        <v>2017</v>
      </c>
      <c r="C637" t="s">
        <v>147</v>
      </c>
      <c r="D637" t="s">
        <v>148</v>
      </c>
      <c r="E637" t="s">
        <v>65</v>
      </c>
      <c r="F637">
        <v>4407</v>
      </c>
      <c r="G637" t="s">
        <v>66</v>
      </c>
      <c r="H637">
        <v>9</v>
      </c>
    </row>
    <row r="638" spans="1:8" x14ac:dyDescent="0.3">
      <c r="A638" t="s">
        <v>113</v>
      </c>
      <c r="B638">
        <v>2018</v>
      </c>
      <c r="C638" t="s">
        <v>147</v>
      </c>
      <c r="D638" t="s">
        <v>148</v>
      </c>
      <c r="E638" t="s">
        <v>65</v>
      </c>
      <c r="F638">
        <v>4407</v>
      </c>
      <c r="G638" t="s">
        <v>66</v>
      </c>
      <c r="H638">
        <v>1</v>
      </c>
    </row>
    <row r="639" spans="1:8" x14ac:dyDescent="0.3">
      <c r="A639" t="s">
        <v>113</v>
      </c>
      <c r="B639">
        <v>2019</v>
      </c>
      <c r="C639" t="s">
        <v>147</v>
      </c>
      <c r="D639" t="s">
        <v>148</v>
      </c>
      <c r="E639" t="s">
        <v>65</v>
      </c>
      <c r="F639">
        <v>4407</v>
      </c>
      <c r="G639" t="s">
        <v>66</v>
      </c>
      <c r="H639">
        <v>1</v>
      </c>
    </row>
    <row r="640" spans="1:8" x14ac:dyDescent="0.3">
      <c r="A640" t="s">
        <v>113</v>
      </c>
      <c r="B640">
        <v>2020</v>
      </c>
      <c r="C640" t="s">
        <v>147</v>
      </c>
      <c r="D640" t="s">
        <v>148</v>
      </c>
      <c r="E640" t="s">
        <v>65</v>
      </c>
      <c r="F640">
        <v>4407</v>
      </c>
      <c r="G640" t="s">
        <v>66</v>
      </c>
      <c r="H640">
        <v>3</v>
      </c>
    </row>
    <row r="641" spans="1:8" x14ac:dyDescent="0.3">
      <c r="A641" t="s">
        <v>207</v>
      </c>
      <c r="B641">
        <v>2014</v>
      </c>
      <c r="C641" t="s">
        <v>147</v>
      </c>
      <c r="D641" t="s">
        <v>148</v>
      </c>
      <c r="E641" t="s">
        <v>65</v>
      </c>
      <c r="F641">
        <v>430000</v>
      </c>
      <c r="G641" t="s">
        <v>83</v>
      </c>
      <c r="H641">
        <v>5</v>
      </c>
    </row>
    <row r="642" spans="1:8" x14ac:dyDescent="0.3">
      <c r="A642" t="s">
        <v>207</v>
      </c>
      <c r="B642">
        <v>2016</v>
      </c>
      <c r="C642" t="s">
        <v>147</v>
      </c>
      <c r="D642" t="s">
        <v>148</v>
      </c>
      <c r="E642" t="s">
        <v>65</v>
      </c>
      <c r="F642">
        <v>430000</v>
      </c>
      <c r="G642" t="s">
        <v>83</v>
      </c>
      <c r="H642">
        <v>1</v>
      </c>
    </row>
    <row r="643" spans="1:8" x14ac:dyDescent="0.3">
      <c r="A643" t="s">
        <v>207</v>
      </c>
      <c r="B643">
        <v>2018</v>
      </c>
      <c r="C643" t="s">
        <v>147</v>
      </c>
      <c r="D643" t="s">
        <v>148</v>
      </c>
      <c r="E643" t="s">
        <v>65</v>
      </c>
      <c r="F643">
        <v>430000</v>
      </c>
      <c r="G643" t="s">
        <v>83</v>
      </c>
      <c r="H643">
        <v>1</v>
      </c>
    </row>
    <row r="644" spans="1:8" x14ac:dyDescent="0.3">
      <c r="A644" t="s">
        <v>208</v>
      </c>
      <c r="B644">
        <v>2014</v>
      </c>
      <c r="C644" t="s">
        <v>147</v>
      </c>
      <c r="D644" t="s">
        <v>148</v>
      </c>
      <c r="E644" t="s">
        <v>65</v>
      </c>
      <c r="F644">
        <v>90700</v>
      </c>
      <c r="G644" t="s">
        <v>72</v>
      </c>
      <c r="H644">
        <v>1</v>
      </c>
    </row>
    <row r="645" spans="1:8" x14ac:dyDescent="0.3">
      <c r="A645" t="s">
        <v>208</v>
      </c>
      <c r="B645">
        <v>2015</v>
      </c>
      <c r="C645" t="s">
        <v>147</v>
      </c>
      <c r="D645" t="s">
        <v>148</v>
      </c>
      <c r="E645" t="s">
        <v>65</v>
      </c>
      <c r="F645">
        <v>90700</v>
      </c>
      <c r="G645" t="s">
        <v>72</v>
      </c>
      <c r="H645">
        <v>1</v>
      </c>
    </row>
    <row r="646" spans="1:8" x14ac:dyDescent="0.3">
      <c r="A646" t="s">
        <v>208</v>
      </c>
      <c r="B646">
        <v>2016</v>
      </c>
      <c r="C646" t="s">
        <v>147</v>
      </c>
      <c r="D646" t="s">
        <v>148</v>
      </c>
      <c r="E646" t="s">
        <v>65</v>
      </c>
      <c r="F646">
        <v>90700</v>
      </c>
      <c r="G646" t="s">
        <v>72</v>
      </c>
      <c r="H646">
        <v>6</v>
      </c>
    </row>
    <row r="647" spans="1:8" x14ac:dyDescent="0.3">
      <c r="A647" t="s">
        <v>208</v>
      </c>
      <c r="B647">
        <v>2018</v>
      </c>
      <c r="C647" t="s">
        <v>147</v>
      </c>
      <c r="D647" t="s">
        <v>148</v>
      </c>
      <c r="E647" t="s">
        <v>65</v>
      </c>
      <c r="F647">
        <v>90700</v>
      </c>
      <c r="G647" t="s">
        <v>72</v>
      </c>
      <c r="H647">
        <v>2</v>
      </c>
    </row>
    <row r="648" spans="1:8" x14ac:dyDescent="0.3">
      <c r="A648" t="s">
        <v>208</v>
      </c>
      <c r="B648">
        <v>2019</v>
      </c>
      <c r="C648" t="s">
        <v>147</v>
      </c>
      <c r="D648" t="s">
        <v>148</v>
      </c>
      <c r="E648" t="s">
        <v>65</v>
      </c>
      <c r="F648">
        <v>90700</v>
      </c>
      <c r="G648" t="s">
        <v>72</v>
      </c>
      <c r="H648">
        <v>1</v>
      </c>
    </row>
    <row r="649" spans="1:8" x14ac:dyDescent="0.3">
      <c r="A649" t="s">
        <v>209</v>
      </c>
      <c r="B649">
        <v>2014</v>
      </c>
      <c r="C649" t="s">
        <v>147</v>
      </c>
      <c r="D649" t="s">
        <v>148</v>
      </c>
      <c r="E649" t="s">
        <v>65</v>
      </c>
      <c r="F649">
        <v>110098</v>
      </c>
      <c r="G649" t="s">
        <v>72</v>
      </c>
      <c r="H649">
        <v>5</v>
      </c>
    </row>
    <row r="650" spans="1:8" x14ac:dyDescent="0.3">
      <c r="A650" t="s">
        <v>209</v>
      </c>
      <c r="B650">
        <v>2015</v>
      </c>
      <c r="C650" t="s">
        <v>147</v>
      </c>
      <c r="D650" t="s">
        <v>148</v>
      </c>
      <c r="E650" t="s">
        <v>65</v>
      </c>
      <c r="F650">
        <v>110098</v>
      </c>
      <c r="G650" t="s">
        <v>72</v>
      </c>
      <c r="H650">
        <v>5</v>
      </c>
    </row>
    <row r="651" spans="1:8" x14ac:dyDescent="0.3">
      <c r="A651" t="s">
        <v>209</v>
      </c>
      <c r="B651">
        <v>2017</v>
      </c>
      <c r="C651" t="s">
        <v>147</v>
      </c>
      <c r="D651" t="s">
        <v>148</v>
      </c>
      <c r="E651" t="s">
        <v>65</v>
      </c>
      <c r="F651">
        <v>110098</v>
      </c>
      <c r="G651" t="s">
        <v>72</v>
      </c>
      <c r="H651">
        <v>1</v>
      </c>
    </row>
    <row r="652" spans="1:8" x14ac:dyDescent="0.3">
      <c r="A652" t="s">
        <v>209</v>
      </c>
      <c r="B652">
        <v>2018</v>
      </c>
      <c r="C652" t="s">
        <v>147</v>
      </c>
      <c r="D652" t="s">
        <v>148</v>
      </c>
      <c r="E652" t="s">
        <v>65</v>
      </c>
      <c r="F652">
        <v>110098</v>
      </c>
      <c r="G652" t="s">
        <v>72</v>
      </c>
      <c r="H652">
        <v>1</v>
      </c>
    </row>
    <row r="653" spans="1:8" x14ac:dyDescent="0.3">
      <c r="A653" t="s">
        <v>209</v>
      </c>
      <c r="B653">
        <v>2020</v>
      </c>
      <c r="C653" t="s">
        <v>147</v>
      </c>
      <c r="D653" t="s">
        <v>148</v>
      </c>
      <c r="E653" t="s">
        <v>65</v>
      </c>
      <c r="F653">
        <v>110098</v>
      </c>
      <c r="G653" t="s">
        <v>72</v>
      </c>
      <c r="H653">
        <v>1</v>
      </c>
    </row>
    <row r="654" spans="1:8" x14ac:dyDescent="0.3">
      <c r="A654" t="s">
        <v>209</v>
      </c>
      <c r="B654">
        <v>2021</v>
      </c>
      <c r="C654" t="s">
        <v>147</v>
      </c>
      <c r="D654" t="s">
        <v>148</v>
      </c>
      <c r="E654" t="s">
        <v>65</v>
      </c>
      <c r="F654">
        <v>110098</v>
      </c>
      <c r="G654" t="s">
        <v>72</v>
      </c>
      <c r="H654">
        <v>4</v>
      </c>
    </row>
    <row r="655" spans="1:8" x14ac:dyDescent="0.3">
      <c r="A655" t="s">
        <v>210</v>
      </c>
      <c r="B655">
        <v>2016</v>
      </c>
      <c r="C655" t="s">
        <v>147</v>
      </c>
      <c r="D655" t="s">
        <v>148</v>
      </c>
      <c r="E655" t="s">
        <v>65</v>
      </c>
      <c r="F655">
        <v>34392</v>
      </c>
      <c r="G655" t="s">
        <v>72</v>
      </c>
      <c r="H655">
        <v>2</v>
      </c>
    </row>
    <row r="656" spans="1:8" x14ac:dyDescent="0.3">
      <c r="A656" t="s">
        <v>210</v>
      </c>
      <c r="B656">
        <v>2020</v>
      </c>
      <c r="C656" t="s">
        <v>147</v>
      </c>
      <c r="D656" t="s">
        <v>148</v>
      </c>
      <c r="E656" t="s">
        <v>65</v>
      </c>
      <c r="F656">
        <v>34392</v>
      </c>
      <c r="G656" t="s">
        <v>72</v>
      </c>
      <c r="H656">
        <v>2</v>
      </c>
    </row>
    <row r="657" spans="1:8" x14ac:dyDescent="0.3">
      <c r="A657" t="s">
        <v>210</v>
      </c>
      <c r="B657">
        <v>2021</v>
      </c>
      <c r="C657" t="s">
        <v>147</v>
      </c>
      <c r="D657" t="s">
        <v>148</v>
      </c>
      <c r="E657" t="s">
        <v>65</v>
      </c>
      <c r="F657">
        <v>34392</v>
      </c>
      <c r="G657" t="s">
        <v>72</v>
      </c>
      <c r="H657">
        <v>1</v>
      </c>
    </row>
    <row r="658" spans="1:8" x14ac:dyDescent="0.3">
      <c r="A658" t="s">
        <v>211</v>
      </c>
      <c r="B658">
        <v>2014</v>
      </c>
      <c r="C658" t="s">
        <v>147</v>
      </c>
      <c r="D658" t="s">
        <v>148</v>
      </c>
      <c r="E658" t="s">
        <v>65</v>
      </c>
      <c r="F658">
        <v>63052</v>
      </c>
      <c r="G658" t="s">
        <v>72</v>
      </c>
      <c r="H658">
        <v>2</v>
      </c>
    </row>
    <row r="659" spans="1:8" x14ac:dyDescent="0.3">
      <c r="A659" t="s">
        <v>211</v>
      </c>
      <c r="B659">
        <v>2015</v>
      </c>
      <c r="C659" t="s">
        <v>147</v>
      </c>
      <c r="D659" t="s">
        <v>148</v>
      </c>
      <c r="E659" t="s">
        <v>65</v>
      </c>
      <c r="F659">
        <v>63052</v>
      </c>
      <c r="G659" t="s">
        <v>72</v>
      </c>
      <c r="H659">
        <v>5</v>
      </c>
    </row>
    <row r="660" spans="1:8" x14ac:dyDescent="0.3">
      <c r="A660" t="s">
        <v>114</v>
      </c>
      <c r="B660">
        <v>2014</v>
      </c>
      <c r="C660" t="s">
        <v>147</v>
      </c>
      <c r="D660" t="s">
        <v>148</v>
      </c>
      <c r="E660" t="s">
        <v>65</v>
      </c>
      <c r="F660">
        <v>12500</v>
      </c>
      <c r="G660" t="s">
        <v>66</v>
      </c>
      <c r="H660">
        <v>9</v>
      </c>
    </row>
    <row r="661" spans="1:8" x14ac:dyDescent="0.3">
      <c r="A661" t="s">
        <v>114</v>
      </c>
      <c r="B661">
        <v>2015</v>
      </c>
      <c r="C661" t="s">
        <v>147</v>
      </c>
      <c r="D661" t="s">
        <v>148</v>
      </c>
      <c r="E661" t="s">
        <v>65</v>
      </c>
      <c r="F661">
        <v>12500</v>
      </c>
      <c r="G661" t="s">
        <v>66</v>
      </c>
      <c r="H661">
        <v>26</v>
      </c>
    </row>
    <row r="662" spans="1:8" x14ac:dyDescent="0.3">
      <c r="A662" t="s">
        <v>114</v>
      </c>
      <c r="B662">
        <v>2016</v>
      </c>
      <c r="C662" t="s">
        <v>147</v>
      </c>
      <c r="D662" t="s">
        <v>148</v>
      </c>
      <c r="E662" t="s">
        <v>65</v>
      </c>
      <c r="F662">
        <v>12500</v>
      </c>
      <c r="G662" t="s">
        <v>66</v>
      </c>
      <c r="H662">
        <v>18</v>
      </c>
    </row>
    <row r="663" spans="1:8" x14ac:dyDescent="0.3">
      <c r="A663" t="s">
        <v>114</v>
      </c>
      <c r="B663">
        <v>2017</v>
      </c>
      <c r="C663" t="s">
        <v>147</v>
      </c>
      <c r="D663" t="s">
        <v>148</v>
      </c>
      <c r="E663" t="s">
        <v>65</v>
      </c>
      <c r="F663">
        <v>12500</v>
      </c>
      <c r="G663" t="s">
        <v>66</v>
      </c>
      <c r="H663">
        <v>7</v>
      </c>
    </row>
    <row r="664" spans="1:8" x14ac:dyDescent="0.3">
      <c r="A664" t="s">
        <v>114</v>
      </c>
      <c r="B664">
        <v>2018</v>
      </c>
      <c r="C664" t="s">
        <v>147</v>
      </c>
      <c r="D664" t="s">
        <v>148</v>
      </c>
      <c r="E664" t="s">
        <v>65</v>
      </c>
      <c r="F664">
        <v>12500</v>
      </c>
      <c r="G664" t="s">
        <v>66</v>
      </c>
      <c r="H664">
        <v>12</v>
      </c>
    </row>
    <row r="665" spans="1:8" x14ac:dyDescent="0.3">
      <c r="A665" t="s">
        <v>114</v>
      </c>
      <c r="B665">
        <v>2019</v>
      </c>
      <c r="C665" t="s">
        <v>147</v>
      </c>
      <c r="D665" t="s">
        <v>148</v>
      </c>
      <c r="E665" t="s">
        <v>65</v>
      </c>
      <c r="F665">
        <v>12500</v>
      </c>
      <c r="G665" t="s">
        <v>66</v>
      </c>
      <c r="H665">
        <v>3</v>
      </c>
    </row>
    <row r="666" spans="1:8" x14ac:dyDescent="0.3">
      <c r="A666" t="s">
        <v>114</v>
      </c>
      <c r="B666">
        <v>2020</v>
      </c>
      <c r="C666" t="s">
        <v>147</v>
      </c>
      <c r="D666" t="s">
        <v>148</v>
      </c>
      <c r="E666" t="s">
        <v>65</v>
      </c>
      <c r="F666">
        <v>12500</v>
      </c>
      <c r="G666" t="s">
        <v>66</v>
      </c>
      <c r="H666">
        <v>19</v>
      </c>
    </row>
    <row r="667" spans="1:8" x14ac:dyDescent="0.3">
      <c r="A667" t="s">
        <v>114</v>
      </c>
      <c r="B667">
        <v>2021</v>
      </c>
      <c r="C667" t="s">
        <v>147</v>
      </c>
      <c r="D667" t="s">
        <v>148</v>
      </c>
      <c r="E667" t="s">
        <v>65</v>
      </c>
      <c r="F667">
        <v>12500</v>
      </c>
      <c r="G667" t="s">
        <v>66</v>
      </c>
      <c r="H667">
        <v>6</v>
      </c>
    </row>
    <row r="668" spans="1:8" x14ac:dyDescent="0.3">
      <c r="A668" t="s">
        <v>115</v>
      </c>
      <c r="B668">
        <v>2014</v>
      </c>
      <c r="C668" t="s">
        <v>147</v>
      </c>
      <c r="D668" t="s">
        <v>148</v>
      </c>
      <c r="E668" t="s">
        <v>65</v>
      </c>
      <c r="F668">
        <v>1764</v>
      </c>
      <c r="G668" t="s">
        <v>66</v>
      </c>
      <c r="H668">
        <v>4453</v>
      </c>
    </row>
    <row r="669" spans="1:8" x14ac:dyDescent="0.3">
      <c r="A669" t="s">
        <v>115</v>
      </c>
      <c r="B669">
        <v>2015</v>
      </c>
      <c r="C669" t="s">
        <v>147</v>
      </c>
      <c r="D669" t="s">
        <v>148</v>
      </c>
      <c r="E669" t="s">
        <v>65</v>
      </c>
      <c r="F669">
        <v>1764</v>
      </c>
      <c r="G669" t="s">
        <v>66</v>
      </c>
      <c r="H669">
        <v>10601</v>
      </c>
    </row>
    <row r="670" spans="1:8" x14ac:dyDescent="0.3">
      <c r="A670" t="s">
        <v>115</v>
      </c>
      <c r="B670">
        <v>2016</v>
      </c>
      <c r="C670" t="s">
        <v>147</v>
      </c>
      <c r="D670" t="s">
        <v>148</v>
      </c>
      <c r="E670" t="s">
        <v>65</v>
      </c>
      <c r="F670">
        <v>1764</v>
      </c>
      <c r="G670" t="s">
        <v>66</v>
      </c>
      <c r="H670">
        <v>11622</v>
      </c>
    </row>
    <row r="671" spans="1:8" x14ac:dyDescent="0.3">
      <c r="A671" t="s">
        <v>115</v>
      </c>
      <c r="B671">
        <v>2017</v>
      </c>
      <c r="C671" t="s">
        <v>147</v>
      </c>
      <c r="D671" t="s">
        <v>148</v>
      </c>
      <c r="E671" t="s">
        <v>65</v>
      </c>
      <c r="F671">
        <v>1764</v>
      </c>
      <c r="G671" t="s">
        <v>66</v>
      </c>
      <c r="H671">
        <v>10980</v>
      </c>
    </row>
    <row r="672" spans="1:8" x14ac:dyDescent="0.3">
      <c r="A672" t="s">
        <v>115</v>
      </c>
      <c r="B672">
        <v>2018</v>
      </c>
      <c r="C672" t="s">
        <v>147</v>
      </c>
      <c r="D672" t="s">
        <v>148</v>
      </c>
      <c r="E672" t="s">
        <v>65</v>
      </c>
      <c r="F672">
        <v>1764</v>
      </c>
      <c r="G672" t="s">
        <v>66</v>
      </c>
      <c r="H672">
        <v>11595</v>
      </c>
    </row>
    <row r="673" spans="1:8" x14ac:dyDescent="0.3">
      <c r="A673" t="s">
        <v>115</v>
      </c>
      <c r="B673">
        <v>2019</v>
      </c>
      <c r="C673" t="s">
        <v>147</v>
      </c>
      <c r="D673" t="s">
        <v>148</v>
      </c>
      <c r="E673" t="s">
        <v>65</v>
      </c>
      <c r="F673">
        <v>1764</v>
      </c>
      <c r="G673" t="s">
        <v>66</v>
      </c>
      <c r="H673">
        <v>12352</v>
      </c>
    </row>
    <row r="674" spans="1:8" x14ac:dyDescent="0.3">
      <c r="A674" t="s">
        <v>115</v>
      </c>
      <c r="B674">
        <v>2020</v>
      </c>
      <c r="C674" t="s">
        <v>147</v>
      </c>
      <c r="D674" t="s">
        <v>148</v>
      </c>
      <c r="E674" t="s">
        <v>65</v>
      </c>
      <c r="F674">
        <v>1764</v>
      </c>
      <c r="G674" t="s">
        <v>66</v>
      </c>
      <c r="H674">
        <v>8726</v>
      </c>
    </row>
    <row r="675" spans="1:8" x14ac:dyDescent="0.3">
      <c r="A675" t="s">
        <v>115</v>
      </c>
      <c r="B675">
        <v>2021</v>
      </c>
      <c r="C675" t="s">
        <v>147</v>
      </c>
      <c r="D675" t="s">
        <v>148</v>
      </c>
      <c r="E675" t="s">
        <v>65</v>
      </c>
      <c r="F675">
        <v>1764</v>
      </c>
      <c r="G675" t="s">
        <v>66</v>
      </c>
      <c r="H675">
        <v>9555</v>
      </c>
    </row>
    <row r="676" spans="1:8" x14ac:dyDescent="0.3">
      <c r="A676" t="s">
        <v>212</v>
      </c>
      <c r="B676">
        <v>2014</v>
      </c>
      <c r="C676" t="s">
        <v>147</v>
      </c>
      <c r="D676" t="s">
        <v>148</v>
      </c>
      <c r="E676" t="s">
        <v>65</v>
      </c>
      <c r="F676">
        <v>25353</v>
      </c>
      <c r="G676" t="s">
        <v>72</v>
      </c>
      <c r="H676">
        <v>288</v>
      </c>
    </row>
    <row r="677" spans="1:8" x14ac:dyDescent="0.3">
      <c r="A677" t="s">
        <v>212</v>
      </c>
      <c r="B677">
        <v>2015</v>
      </c>
      <c r="C677" t="s">
        <v>147</v>
      </c>
      <c r="D677" t="s">
        <v>148</v>
      </c>
      <c r="E677" t="s">
        <v>65</v>
      </c>
      <c r="F677">
        <v>25353</v>
      </c>
      <c r="G677" t="s">
        <v>72</v>
      </c>
      <c r="H677">
        <v>69</v>
      </c>
    </row>
    <row r="678" spans="1:8" x14ac:dyDescent="0.3">
      <c r="A678" t="s">
        <v>212</v>
      </c>
      <c r="B678">
        <v>2016</v>
      </c>
      <c r="C678" t="s">
        <v>147</v>
      </c>
      <c r="D678" t="s">
        <v>148</v>
      </c>
      <c r="E678" t="s">
        <v>65</v>
      </c>
      <c r="F678">
        <v>25353</v>
      </c>
      <c r="G678" t="s">
        <v>72</v>
      </c>
      <c r="H678">
        <v>358</v>
      </c>
    </row>
    <row r="679" spans="1:8" x14ac:dyDescent="0.3">
      <c r="A679" t="s">
        <v>212</v>
      </c>
      <c r="B679">
        <v>2017</v>
      </c>
      <c r="C679" t="s">
        <v>147</v>
      </c>
      <c r="D679" t="s">
        <v>148</v>
      </c>
      <c r="E679" t="s">
        <v>65</v>
      </c>
      <c r="F679">
        <v>25353</v>
      </c>
      <c r="G679" t="s">
        <v>72</v>
      </c>
      <c r="H679">
        <v>63</v>
      </c>
    </row>
    <row r="680" spans="1:8" x14ac:dyDescent="0.3">
      <c r="A680" t="s">
        <v>212</v>
      </c>
      <c r="B680">
        <v>2018</v>
      </c>
      <c r="C680" t="s">
        <v>147</v>
      </c>
      <c r="D680" t="s">
        <v>148</v>
      </c>
      <c r="E680" t="s">
        <v>65</v>
      </c>
      <c r="F680">
        <v>25353</v>
      </c>
      <c r="G680" t="s">
        <v>72</v>
      </c>
      <c r="H680">
        <v>3</v>
      </c>
    </row>
    <row r="681" spans="1:8" x14ac:dyDescent="0.3">
      <c r="A681" t="s">
        <v>212</v>
      </c>
      <c r="B681">
        <v>2019</v>
      </c>
      <c r="C681" t="s">
        <v>147</v>
      </c>
      <c r="D681" t="s">
        <v>148</v>
      </c>
      <c r="E681" t="s">
        <v>65</v>
      </c>
      <c r="F681">
        <v>25353</v>
      </c>
      <c r="G681" t="s">
        <v>72</v>
      </c>
      <c r="H681">
        <v>3</v>
      </c>
    </row>
    <row r="682" spans="1:8" x14ac:dyDescent="0.3">
      <c r="A682" t="s">
        <v>212</v>
      </c>
      <c r="B682">
        <v>2021</v>
      </c>
      <c r="C682" t="s">
        <v>147</v>
      </c>
      <c r="D682" t="s">
        <v>148</v>
      </c>
      <c r="E682" t="s">
        <v>65</v>
      </c>
      <c r="F682">
        <v>25353</v>
      </c>
      <c r="G682" t="s">
        <v>72</v>
      </c>
      <c r="H682">
        <v>1</v>
      </c>
    </row>
    <row r="683" spans="1:8" x14ac:dyDescent="0.3">
      <c r="A683" t="s">
        <v>213</v>
      </c>
      <c r="B683">
        <v>2014</v>
      </c>
      <c r="C683" t="s">
        <v>147</v>
      </c>
      <c r="D683" t="s">
        <v>148</v>
      </c>
      <c r="E683" t="s">
        <v>65</v>
      </c>
      <c r="F683">
        <v>44070</v>
      </c>
      <c r="G683" t="s">
        <v>72</v>
      </c>
      <c r="H683">
        <v>1</v>
      </c>
    </row>
    <row r="684" spans="1:8" x14ac:dyDescent="0.3">
      <c r="A684" t="s">
        <v>213</v>
      </c>
      <c r="B684">
        <v>2016</v>
      </c>
      <c r="C684" t="s">
        <v>147</v>
      </c>
      <c r="D684" t="s">
        <v>148</v>
      </c>
      <c r="E684" t="s">
        <v>65</v>
      </c>
      <c r="F684">
        <v>44070</v>
      </c>
      <c r="G684" t="s">
        <v>72</v>
      </c>
      <c r="H684">
        <v>3</v>
      </c>
    </row>
    <row r="685" spans="1:8" x14ac:dyDescent="0.3">
      <c r="A685" t="s">
        <v>213</v>
      </c>
      <c r="B685">
        <v>2017</v>
      </c>
      <c r="C685" t="s">
        <v>147</v>
      </c>
      <c r="D685" t="s">
        <v>148</v>
      </c>
      <c r="E685" t="s">
        <v>65</v>
      </c>
      <c r="F685">
        <v>44070</v>
      </c>
      <c r="G685" t="s">
        <v>72</v>
      </c>
      <c r="H685">
        <v>2</v>
      </c>
    </row>
    <row r="686" spans="1:8" x14ac:dyDescent="0.3">
      <c r="A686" t="s">
        <v>213</v>
      </c>
      <c r="B686">
        <v>2018</v>
      </c>
      <c r="C686" t="s">
        <v>147</v>
      </c>
      <c r="D686" t="s">
        <v>148</v>
      </c>
      <c r="E686" t="s">
        <v>65</v>
      </c>
      <c r="F686">
        <v>44070</v>
      </c>
      <c r="G686" t="s">
        <v>72</v>
      </c>
      <c r="H686">
        <v>7</v>
      </c>
    </row>
    <row r="687" spans="1:8" x14ac:dyDescent="0.3">
      <c r="A687" t="s">
        <v>213</v>
      </c>
      <c r="B687">
        <v>2019</v>
      </c>
      <c r="C687" t="s">
        <v>147</v>
      </c>
      <c r="D687" t="s">
        <v>148</v>
      </c>
      <c r="E687" t="s">
        <v>65</v>
      </c>
      <c r="F687">
        <v>44070</v>
      </c>
      <c r="G687" t="s">
        <v>72</v>
      </c>
      <c r="H687">
        <v>3</v>
      </c>
    </row>
    <row r="688" spans="1:8" x14ac:dyDescent="0.3">
      <c r="A688" t="s">
        <v>213</v>
      </c>
      <c r="B688">
        <v>2020</v>
      </c>
      <c r="C688" t="s">
        <v>147</v>
      </c>
      <c r="D688" t="s">
        <v>148</v>
      </c>
      <c r="E688" t="s">
        <v>65</v>
      </c>
      <c r="F688">
        <v>44070</v>
      </c>
      <c r="G688" t="s">
        <v>72</v>
      </c>
      <c r="H688">
        <v>2</v>
      </c>
    </row>
    <row r="689" spans="1:8" x14ac:dyDescent="0.3">
      <c r="A689" t="s">
        <v>213</v>
      </c>
      <c r="B689">
        <v>2021</v>
      </c>
      <c r="C689" t="s">
        <v>147</v>
      </c>
      <c r="D689" t="s">
        <v>148</v>
      </c>
      <c r="E689" t="s">
        <v>65</v>
      </c>
      <c r="F689">
        <v>44070</v>
      </c>
      <c r="G689" t="s">
        <v>72</v>
      </c>
      <c r="H689">
        <v>4</v>
      </c>
    </row>
    <row r="690" spans="1:8" x14ac:dyDescent="0.3">
      <c r="A690" t="s">
        <v>214</v>
      </c>
      <c r="B690">
        <v>2014</v>
      </c>
      <c r="C690" t="s">
        <v>147</v>
      </c>
      <c r="D690" t="s">
        <v>148</v>
      </c>
      <c r="E690" t="s">
        <v>65</v>
      </c>
      <c r="F690">
        <v>53131</v>
      </c>
      <c r="G690" t="s">
        <v>72</v>
      </c>
      <c r="H690">
        <v>2</v>
      </c>
    </row>
    <row r="691" spans="1:8" x14ac:dyDescent="0.3">
      <c r="A691" t="s">
        <v>214</v>
      </c>
      <c r="B691">
        <v>2015</v>
      </c>
      <c r="C691" t="s">
        <v>147</v>
      </c>
      <c r="D691" t="s">
        <v>148</v>
      </c>
      <c r="E691" t="s">
        <v>65</v>
      </c>
      <c r="F691">
        <v>53131</v>
      </c>
      <c r="G691" t="s">
        <v>72</v>
      </c>
      <c r="H691">
        <v>6</v>
      </c>
    </row>
    <row r="692" spans="1:8" x14ac:dyDescent="0.3">
      <c r="A692" t="s">
        <v>214</v>
      </c>
      <c r="B692">
        <v>2016</v>
      </c>
      <c r="C692" t="s">
        <v>147</v>
      </c>
      <c r="D692" t="s">
        <v>148</v>
      </c>
      <c r="E692" t="s">
        <v>65</v>
      </c>
      <c r="F692">
        <v>53131</v>
      </c>
      <c r="G692" t="s">
        <v>72</v>
      </c>
      <c r="H692">
        <v>8</v>
      </c>
    </row>
    <row r="693" spans="1:8" x14ac:dyDescent="0.3">
      <c r="A693" t="s">
        <v>214</v>
      </c>
      <c r="B693">
        <v>2017</v>
      </c>
      <c r="C693" t="s">
        <v>147</v>
      </c>
      <c r="D693" t="s">
        <v>148</v>
      </c>
      <c r="E693" t="s">
        <v>65</v>
      </c>
      <c r="F693">
        <v>53131</v>
      </c>
      <c r="G693" t="s">
        <v>72</v>
      </c>
      <c r="H693">
        <v>5</v>
      </c>
    </row>
    <row r="694" spans="1:8" x14ac:dyDescent="0.3">
      <c r="A694" t="s">
        <v>214</v>
      </c>
      <c r="B694">
        <v>2018</v>
      </c>
      <c r="C694" t="s">
        <v>147</v>
      </c>
      <c r="D694" t="s">
        <v>148</v>
      </c>
      <c r="E694" t="s">
        <v>65</v>
      </c>
      <c r="F694">
        <v>53131</v>
      </c>
      <c r="G694" t="s">
        <v>72</v>
      </c>
      <c r="H694">
        <v>1</v>
      </c>
    </row>
    <row r="695" spans="1:8" x14ac:dyDescent="0.3">
      <c r="A695" t="s">
        <v>214</v>
      </c>
      <c r="B695">
        <v>2019</v>
      </c>
      <c r="C695" t="s">
        <v>147</v>
      </c>
      <c r="D695" t="s">
        <v>148</v>
      </c>
      <c r="E695" t="s">
        <v>65</v>
      </c>
      <c r="F695">
        <v>53131</v>
      </c>
      <c r="G695" t="s">
        <v>72</v>
      </c>
      <c r="H695">
        <v>8</v>
      </c>
    </row>
    <row r="696" spans="1:8" x14ac:dyDescent="0.3">
      <c r="A696" t="s">
        <v>214</v>
      </c>
      <c r="B696">
        <v>2021</v>
      </c>
      <c r="C696" t="s">
        <v>147</v>
      </c>
      <c r="D696" t="s">
        <v>148</v>
      </c>
      <c r="E696" t="s">
        <v>65</v>
      </c>
      <c r="F696">
        <v>53131</v>
      </c>
      <c r="G696" t="s">
        <v>72</v>
      </c>
      <c r="H696">
        <v>2</v>
      </c>
    </row>
    <row r="697" spans="1:8" x14ac:dyDescent="0.3">
      <c r="A697" t="s">
        <v>215</v>
      </c>
      <c r="B697">
        <v>2014</v>
      </c>
      <c r="C697" t="s">
        <v>147</v>
      </c>
      <c r="D697" t="s">
        <v>148</v>
      </c>
      <c r="E697" t="s">
        <v>65</v>
      </c>
      <c r="F697">
        <v>85098</v>
      </c>
      <c r="G697" t="s">
        <v>72</v>
      </c>
      <c r="H697">
        <v>3</v>
      </c>
    </row>
    <row r="698" spans="1:8" x14ac:dyDescent="0.3">
      <c r="A698" t="s">
        <v>215</v>
      </c>
      <c r="B698">
        <v>2015</v>
      </c>
      <c r="C698" t="s">
        <v>147</v>
      </c>
      <c r="D698" t="s">
        <v>148</v>
      </c>
      <c r="E698" t="s">
        <v>65</v>
      </c>
      <c r="F698">
        <v>85098</v>
      </c>
      <c r="G698" t="s">
        <v>72</v>
      </c>
      <c r="H698">
        <v>3</v>
      </c>
    </row>
    <row r="699" spans="1:8" x14ac:dyDescent="0.3">
      <c r="A699" t="s">
        <v>215</v>
      </c>
      <c r="B699">
        <v>2016</v>
      </c>
      <c r="C699" t="s">
        <v>147</v>
      </c>
      <c r="D699" t="s">
        <v>148</v>
      </c>
      <c r="E699" t="s">
        <v>65</v>
      </c>
      <c r="F699">
        <v>85098</v>
      </c>
      <c r="G699" t="s">
        <v>72</v>
      </c>
      <c r="H699">
        <v>1</v>
      </c>
    </row>
    <row r="700" spans="1:8" x14ac:dyDescent="0.3">
      <c r="A700" t="s">
        <v>215</v>
      </c>
      <c r="B700">
        <v>2017</v>
      </c>
      <c r="C700" t="s">
        <v>147</v>
      </c>
      <c r="D700" t="s">
        <v>148</v>
      </c>
      <c r="E700" t="s">
        <v>65</v>
      </c>
      <c r="F700">
        <v>85098</v>
      </c>
      <c r="G700" t="s">
        <v>72</v>
      </c>
      <c r="H700">
        <v>2</v>
      </c>
    </row>
    <row r="701" spans="1:8" x14ac:dyDescent="0.3">
      <c r="A701" t="s">
        <v>215</v>
      </c>
      <c r="B701">
        <v>2019</v>
      </c>
      <c r="C701" t="s">
        <v>147</v>
      </c>
      <c r="D701" t="s">
        <v>148</v>
      </c>
      <c r="E701" t="s">
        <v>65</v>
      </c>
      <c r="F701">
        <v>85098</v>
      </c>
      <c r="G701" t="s">
        <v>72</v>
      </c>
      <c r="H701">
        <v>1</v>
      </c>
    </row>
    <row r="702" spans="1:8" x14ac:dyDescent="0.3">
      <c r="A702" t="s">
        <v>215</v>
      </c>
      <c r="B702">
        <v>2021</v>
      </c>
      <c r="C702" t="s">
        <v>147</v>
      </c>
      <c r="D702" t="s">
        <v>148</v>
      </c>
      <c r="E702" t="s">
        <v>65</v>
      </c>
      <c r="F702">
        <v>85098</v>
      </c>
      <c r="G702" t="s">
        <v>72</v>
      </c>
      <c r="H702">
        <v>1</v>
      </c>
    </row>
    <row r="703" spans="1:8" x14ac:dyDescent="0.3">
      <c r="A703" t="s">
        <v>216</v>
      </c>
      <c r="B703">
        <v>2014</v>
      </c>
      <c r="C703" t="s">
        <v>147</v>
      </c>
      <c r="D703" t="s">
        <v>148</v>
      </c>
      <c r="E703" t="s">
        <v>65</v>
      </c>
      <c r="F703">
        <v>105358</v>
      </c>
      <c r="G703" t="s">
        <v>83</v>
      </c>
      <c r="H703">
        <v>6</v>
      </c>
    </row>
    <row r="704" spans="1:8" x14ac:dyDescent="0.3">
      <c r="A704" t="s">
        <v>216</v>
      </c>
      <c r="B704">
        <v>2015</v>
      </c>
      <c r="C704" t="s">
        <v>147</v>
      </c>
      <c r="D704" t="s">
        <v>148</v>
      </c>
      <c r="E704" t="s">
        <v>65</v>
      </c>
      <c r="F704">
        <v>105358</v>
      </c>
      <c r="G704" t="s">
        <v>83</v>
      </c>
      <c r="H704">
        <v>4</v>
      </c>
    </row>
    <row r="705" spans="1:8" x14ac:dyDescent="0.3">
      <c r="A705" t="s">
        <v>217</v>
      </c>
      <c r="B705">
        <v>2014</v>
      </c>
      <c r="C705" t="s">
        <v>147</v>
      </c>
      <c r="D705" t="s">
        <v>148</v>
      </c>
      <c r="E705" t="s">
        <v>65</v>
      </c>
      <c r="F705">
        <v>53131</v>
      </c>
      <c r="G705" t="s">
        <v>72</v>
      </c>
      <c r="H705">
        <v>7</v>
      </c>
    </row>
    <row r="706" spans="1:8" x14ac:dyDescent="0.3">
      <c r="A706" t="s">
        <v>217</v>
      </c>
      <c r="B706">
        <v>2015</v>
      </c>
      <c r="C706" t="s">
        <v>147</v>
      </c>
      <c r="D706" t="s">
        <v>148</v>
      </c>
      <c r="E706" t="s">
        <v>65</v>
      </c>
      <c r="F706">
        <v>53131</v>
      </c>
      <c r="G706" t="s">
        <v>72</v>
      </c>
      <c r="H706">
        <v>4</v>
      </c>
    </row>
    <row r="707" spans="1:8" x14ac:dyDescent="0.3">
      <c r="A707" t="s">
        <v>217</v>
      </c>
      <c r="B707">
        <v>2021</v>
      </c>
      <c r="C707" t="s">
        <v>147</v>
      </c>
      <c r="D707" t="s">
        <v>148</v>
      </c>
      <c r="E707" t="s">
        <v>65</v>
      </c>
      <c r="F707">
        <v>53131</v>
      </c>
      <c r="G707" t="s">
        <v>72</v>
      </c>
      <c r="H707">
        <v>4</v>
      </c>
    </row>
    <row r="708" spans="1:8" x14ac:dyDescent="0.3">
      <c r="A708" t="s">
        <v>116</v>
      </c>
      <c r="B708">
        <v>2014</v>
      </c>
      <c r="C708" t="s">
        <v>147</v>
      </c>
      <c r="D708" t="s">
        <v>148</v>
      </c>
      <c r="E708" t="s">
        <v>65</v>
      </c>
      <c r="F708">
        <v>10471</v>
      </c>
      <c r="G708" t="s">
        <v>66</v>
      </c>
      <c r="H708">
        <v>32</v>
      </c>
    </row>
    <row r="709" spans="1:8" x14ac:dyDescent="0.3">
      <c r="A709" t="s">
        <v>116</v>
      </c>
      <c r="B709">
        <v>2015</v>
      </c>
      <c r="C709" t="s">
        <v>147</v>
      </c>
      <c r="D709" t="s">
        <v>148</v>
      </c>
      <c r="E709" t="s">
        <v>65</v>
      </c>
      <c r="F709">
        <v>10471</v>
      </c>
      <c r="G709" t="s">
        <v>66</v>
      </c>
      <c r="H709">
        <v>51</v>
      </c>
    </row>
    <row r="710" spans="1:8" x14ac:dyDescent="0.3">
      <c r="A710" t="s">
        <v>116</v>
      </c>
      <c r="B710">
        <v>2016</v>
      </c>
      <c r="C710" t="s">
        <v>147</v>
      </c>
      <c r="D710" t="s">
        <v>148</v>
      </c>
      <c r="E710" t="s">
        <v>65</v>
      </c>
      <c r="F710">
        <v>10471</v>
      </c>
      <c r="G710" t="s">
        <v>66</v>
      </c>
      <c r="H710">
        <v>70</v>
      </c>
    </row>
    <row r="711" spans="1:8" x14ac:dyDescent="0.3">
      <c r="A711" t="s">
        <v>116</v>
      </c>
      <c r="B711">
        <v>2017</v>
      </c>
      <c r="C711" t="s">
        <v>147</v>
      </c>
      <c r="D711" t="s">
        <v>148</v>
      </c>
      <c r="E711" t="s">
        <v>65</v>
      </c>
      <c r="F711">
        <v>10471</v>
      </c>
      <c r="G711" t="s">
        <v>66</v>
      </c>
      <c r="H711">
        <v>56</v>
      </c>
    </row>
    <row r="712" spans="1:8" x14ac:dyDescent="0.3">
      <c r="A712" t="s">
        <v>116</v>
      </c>
      <c r="B712">
        <v>2018</v>
      </c>
      <c r="C712" t="s">
        <v>147</v>
      </c>
      <c r="D712" t="s">
        <v>148</v>
      </c>
      <c r="E712" t="s">
        <v>65</v>
      </c>
      <c r="F712">
        <v>10471</v>
      </c>
      <c r="G712" t="s">
        <v>66</v>
      </c>
      <c r="H712">
        <v>65</v>
      </c>
    </row>
    <row r="713" spans="1:8" x14ac:dyDescent="0.3">
      <c r="A713" t="s">
        <v>116</v>
      </c>
      <c r="B713">
        <v>2019</v>
      </c>
      <c r="C713" t="s">
        <v>147</v>
      </c>
      <c r="D713" t="s">
        <v>148</v>
      </c>
      <c r="E713" t="s">
        <v>65</v>
      </c>
      <c r="F713">
        <v>10471</v>
      </c>
      <c r="G713" t="s">
        <v>66</v>
      </c>
      <c r="H713">
        <v>56</v>
      </c>
    </row>
    <row r="714" spans="1:8" x14ac:dyDescent="0.3">
      <c r="A714" t="s">
        <v>116</v>
      </c>
      <c r="B714">
        <v>2020</v>
      </c>
      <c r="C714" t="s">
        <v>147</v>
      </c>
      <c r="D714" t="s">
        <v>148</v>
      </c>
      <c r="E714" t="s">
        <v>65</v>
      </c>
      <c r="F714">
        <v>10471</v>
      </c>
      <c r="G714" t="s">
        <v>66</v>
      </c>
      <c r="H714">
        <v>31</v>
      </c>
    </row>
    <row r="715" spans="1:8" x14ac:dyDescent="0.3">
      <c r="A715" t="s">
        <v>116</v>
      </c>
      <c r="B715">
        <v>2021</v>
      </c>
      <c r="C715" t="s">
        <v>147</v>
      </c>
      <c r="D715" t="s">
        <v>148</v>
      </c>
      <c r="E715" t="s">
        <v>65</v>
      </c>
      <c r="F715">
        <v>10471</v>
      </c>
      <c r="G715" t="s">
        <v>66</v>
      </c>
      <c r="H715">
        <v>47</v>
      </c>
    </row>
    <row r="716" spans="1:8" x14ac:dyDescent="0.3">
      <c r="A716" t="s">
        <v>218</v>
      </c>
      <c r="B716">
        <v>2014</v>
      </c>
      <c r="C716" t="s">
        <v>147</v>
      </c>
      <c r="D716" t="s">
        <v>148</v>
      </c>
      <c r="E716" t="s">
        <v>65</v>
      </c>
      <c r="F716">
        <v>17528</v>
      </c>
      <c r="G716" t="s">
        <v>66</v>
      </c>
      <c r="H716">
        <v>13</v>
      </c>
    </row>
    <row r="717" spans="1:8" x14ac:dyDescent="0.3">
      <c r="A717" t="s">
        <v>218</v>
      </c>
      <c r="B717">
        <v>2015</v>
      </c>
      <c r="C717" t="s">
        <v>147</v>
      </c>
      <c r="D717" t="s">
        <v>148</v>
      </c>
      <c r="E717" t="s">
        <v>65</v>
      </c>
      <c r="F717">
        <v>17528</v>
      </c>
      <c r="G717" t="s">
        <v>66</v>
      </c>
      <c r="H717">
        <v>26</v>
      </c>
    </row>
    <row r="718" spans="1:8" x14ac:dyDescent="0.3">
      <c r="A718" t="s">
        <v>218</v>
      </c>
      <c r="B718">
        <v>2016</v>
      </c>
      <c r="C718" t="s">
        <v>147</v>
      </c>
      <c r="D718" t="s">
        <v>148</v>
      </c>
      <c r="E718" t="s">
        <v>65</v>
      </c>
      <c r="F718">
        <v>17528</v>
      </c>
      <c r="G718" t="s">
        <v>66</v>
      </c>
      <c r="H718">
        <v>30</v>
      </c>
    </row>
    <row r="719" spans="1:8" x14ac:dyDescent="0.3">
      <c r="A719" t="s">
        <v>218</v>
      </c>
      <c r="B719">
        <v>2017</v>
      </c>
      <c r="C719" t="s">
        <v>147</v>
      </c>
      <c r="D719" t="s">
        <v>148</v>
      </c>
      <c r="E719" t="s">
        <v>65</v>
      </c>
      <c r="F719">
        <v>17528</v>
      </c>
      <c r="G719" t="s">
        <v>66</v>
      </c>
      <c r="H719">
        <v>36</v>
      </c>
    </row>
    <row r="720" spans="1:8" x14ac:dyDescent="0.3">
      <c r="A720" t="s">
        <v>218</v>
      </c>
      <c r="B720">
        <v>2018</v>
      </c>
      <c r="C720" t="s">
        <v>147</v>
      </c>
      <c r="D720" t="s">
        <v>148</v>
      </c>
      <c r="E720" t="s">
        <v>65</v>
      </c>
      <c r="F720">
        <v>17528</v>
      </c>
      <c r="G720" t="s">
        <v>66</v>
      </c>
      <c r="H720">
        <v>39</v>
      </c>
    </row>
    <row r="721" spans="1:8" x14ac:dyDescent="0.3">
      <c r="A721" t="s">
        <v>218</v>
      </c>
      <c r="B721">
        <v>2019</v>
      </c>
      <c r="C721" t="s">
        <v>147</v>
      </c>
      <c r="D721" t="s">
        <v>148</v>
      </c>
      <c r="E721" t="s">
        <v>65</v>
      </c>
      <c r="F721">
        <v>17528</v>
      </c>
      <c r="G721" t="s">
        <v>66</v>
      </c>
      <c r="H721">
        <v>41</v>
      </c>
    </row>
    <row r="722" spans="1:8" x14ac:dyDescent="0.3">
      <c r="A722" t="s">
        <v>218</v>
      </c>
      <c r="B722">
        <v>2020</v>
      </c>
      <c r="C722" t="s">
        <v>147</v>
      </c>
      <c r="D722" t="s">
        <v>148</v>
      </c>
      <c r="E722" t="s">
        <v>65</v>
      </c>
      <c r="F722">
        <v>17528</v>
      </c>
      <c r="G722" t="s">
        <v>66</v>
      </c>
      <c r="H722">
        <v>38</v>
      </c>
    </row>
    <row r="723" spans="1:8" x14ac:dyDescent="0.3">
      <c r="A723" t="s">
        <v>218</v>
      </c>
      <c r="B723">
        <v>2021</v>
      </c>
      <c r="C723" t="s">
        <v>147</v>
      </c>
      <c r="D723" t="s">
        <v>148</v>
      </c>
      <c r="E723" t="s">
        <v>65</v>
      </c>
      <c r="F723">
        <v>17528</v>
      </c>
      <c r="G723" t="s">
        <v>66</v>
      </c>
      <c r="H723">
        <v>49</v>
      </c>
    </row>
    <row r="724" spans="1:8" x14ac:dyDescent="0.3">
      <c r="A724" t="s">
        <v>219</v>
      </c>
      <c r="B724">
        <v>2016</v>
      </c>
      <c r="C724" t="s">
        <v>147</v>
      </c>
      <c r="D724" t="s">
        <v>148</v>
      </c>
      <c r="E724" t="s">
        <v>65</v>
      </c>
      <c r="F724">
        <v>89000</v>
      </c>
      <c r="G724" t="s">
        <v>72</v>
      </c>
      <c r="H724">
        <v>1</v>
      </c>
    </row>
    <row r="725" spans="1:8" x14ac:dyDescent="0.3">
      <c r="A725" t="s">
        <v>219</v>
      </c>
      <c r="B725">
        <v>2018</v>
      </c>
      <c r="C725" t="s">
        <v>147</v>
      </c>
      <c r="D725" t="s">
        <v>148</v>
      </c>
      <c r="E725" t="s">
        <v>65</v>
      </c>
      <c r="F725">
        <v>89000</v>
      </c>
      <c r="G725" t="s">
        <v>72</v>
      </c>
      <c r="H725">
        <v>1</v>
      </c>
    </row>
    <row r="726" spans="1:8" x14ac:dyDescent="0.3">
      <c r="A726" t="s">
        <v>219</v>
      </c>
      <c r="B726">
        <v>2019</v>
      </c>
      <c r="C726" t="s">
        <v>147</v>
      </c>
      <c r="D726" t="s">
        <v>148</v>
      </c>
      <c r="E726" t="s">
        <v>65</v>
      </c>
      <c r="F726">
        <v>89000</v>
      </c>
      <c r="G726" t="s">
        <v>72</v>
      </c>
      <c r="H726">
        <v>2</v>
      </c>
    </row>
    <row r="727" spans="1:8" x14ac:dyDescent="0.3">
      <c r="A727" t="s">
        <v>219</v>
      </c>
      <c r="B727">
        <v>2021</v>
      </c>
      <c r="C727" t="s">
        <v>147</v>
      </c>
      <c r="D727" t="s">
        <v>148</v>
      </c>
      <c r="E727" t="s">
        <v>65</v>
      </c>
      <c r="F727">
        <v>89000</v>
      </c>
      <c r="G727" t="s">
        <v>72</v>
      </c>
      <c r="H727">
        <v>3</v>
      </c>
    </row>
    <row r="728" spans="1:8" x14ac:dyDescent="0.3">
      <c r="A728" t="s">
        <v>220</v>
      </c>
      <c r="B728">
        <v>2017</v>
      </c>
      <c r="C728" t="s">
        <v>147</v>
      </c>
      <c r="D728" t="s">
        <v>148</v>
      </c>
      <c r="E728" t="s">
        <v>65</v>
      </c>
      <c r="F728">
        <v>89000</v>
      </c>
      <c r="G728" t="s">
        <v>72</v>
      </c>
      <c r="H728">
        <v>1</v>
      </c>
    </row>
    <row r="729" spans="1:8" x14ac:dyDescent="0.3">
      <c r="A729" t="s">
        <v>117</v>
      </c>
      <c r="B729">
        <v>2014</v>
      </c>
      <c r="C729" t="s">
        <v>147</v>
      </c>
      <c r="D729" t="s">
        <v>148</v>
      </c>
      <c r="E729" t="s">
        <v>65</v>
      </c>
      <c r="F729">
        <v>39595</v>
      </c>
      <c r="G729" t="s">
        <v>66</v>
      </c>
      <c r="H729">
        <v>20</v>
      </c>
    </row>
    <row r="730" spans="1:8" x14ac:dyDescent="0.3">
      <c r="A730" t="s">
        <v>117</v>
      </c>
      <c r="B730">
        <v>2015</v>
      </c>
      <c r="C730" t="s">
        <v>147</v>
      </c>
      <c r="D730" t="s">
        <v>148</v>
      </c>
      <c r="E730" t="s">
        <v>65</v>
      </c>
      <c r="F730">
        <v>39595</v>
      </c>
      <c r="G730" t="s">
        <v>66</v>
      </c>
      <c r="H730">
        <v>35</v>
      </c>
    </row>
    <row r="731" spans="1:8" x14ac:dyDescent="0.3">
      <c r="A731" t="s">
        <v>117</v>
      </c>
      <c r="B731">
        <v>2016</v>
      </c>
      <c r="C731" t="s">
        <v>147</v>
      </c>
      <c r="D731" t="s">
        <v>148</v>
      </c>
      <c r="E731" t="s">
        <v>65</v>
      </c>
      <c r="F731">
        <v>39595</v>
      </c>
      <c r="G731" t="s">
        <v>66</v>
      </c>
      <c r="H731">
        <v>51</v>
      </c>
    </row>
    <row r="732" spans="1:8" x14ac:dyDescent="0.3">
      <c r="A732" t="s">
        <v>117</v>
      </c>
      <c r="B732">
        <v>2017</v>
      </c>
      <c r="C732" t="s">
        <v>147</v>
      </c>
      <c r="D732" t="s">
        <v>148</v>
      </c>
      <c r="E732" t="s">
        <v>65</v>
      </c>
      <c r="F732">
        <v>39595</v>
      </c>
      <c r="G732" t="s">
        <v>66</v>
      </c>
      <c r="H732">
        <v>43</v>
      </c>
    </row>
    <row r="733" spans="1:8" x14ac:dyDescent="0.3">
      <c r="A733" t="s">
        <v>117</v>
      </c>
      <c r="B733">
        <v>2018</v>
      </c>
      <c r="C733" t="s">
        <v>147</v>
      </c>
      <c r="D733" t="s">
        <v>148</v>
      </c>
      <c r="E733" t="s">
        <v>65</v>
      </c>
      <c r="F733">
        <v>39595</v>
      </c>
      <c r="G733" t="s">
        <v>66</v>
      </c>
      <c r="H733">
        <v>44</v>
      </c>
    </row>
    <row r="734" spans="1:8" x14ac:dyDescent="0.3">
      <c r="A734" t="s">
        <v>117</v>
      </c>
      <c r="B734">
        <v>2019</v>
      </c>
      <c r="C734" t="s">
        <v>147</v>
      </c>
      <c r="D734" t="s">
        <v>148</v>
      </c>
      <c r="E734" t="s">
        <v>65</v>
      </c>
      <c r="F734">
        <v>39595</v>
      </c>
      <c r="G734" t="s">
        <v>66</v>
      </c>
      <c r="H734">
        <v>33</v>
      </c>
    </row>
    <row r="735" spans="1:8" x14ac:dyDescent="0.3">
      <c r="A735" t="s">
        <v>117</v>
      </c>
      <c r="B735">
        <v>2020</v>
      </c>
      <c r="C735" t="s">
        <v>147</v>
      </c>
      <c r="D735" t="s">
        <v>148</v>
      </c>
      <c r="E735" t="s">
        <v>65</v>
      </c>
      <c r="F735">
        <v>39595</v>
      </c>
      <c r="G735" t="s">
        <v>66</v>
      </c>
      <c r="H735">
        <v>32</v>
      </c>
    </row>
    <row r="736" spans="1:8" x14ac:dyDescent="0.3">
      <c r="A736" t="s">
        <v>117</v>
      </c>
      <c r="B736">
        <v>2021</v>
      </c>
      <c r="C736" t="s">
        <v>147</v>
      </c>
      <c r="D736" t="s">
        <v>148</v>
      </c>
      <c r="E736" t="s">
        <v>65</v>
      </c>
      <c r="F736">
        <v>39595</v>
      </c>
      <c r="G736" t="s">
        <v>66</v>
      </c>
      <c r="H736">
        <v>27</v>
      </c>
    </row>
    <row r="737" spans="1:8" x14ac:dyDescent="0.3">
      <c r="A737" t="s">
        <v>221</v>
      </c>
      <c r="B737">
        <v>2015</v>
      </c>
      <c r="C737" t="s">
        <v>147</v>
      </c>
      <c r="D737" t="s">
        <v>148</v>
      </c>
      <c r="E737" t="s">
        <v>65</v>
      </c>
      <c r="F737">
        <v>7500</v>
      </c>
      <c r="G737" t="s">
        <v>66</v>
      </c>
      <c r="H737">
        <v>1</v>
      </c>
    </row>
    <row r="738" spans="1:8" x14ac:dyDescent="0.3">
      <c r="A738" t="s">
        <v>221</v>
      </c>
      <c r="B738">
        <v>2016</v>
      </c>
      <c r="C738" t="s">
        <v>147</v>
      </c>
      <c r="D738" t="s">
        <v>148</v>
      </c>
      <c r="E738" t="s">
        <v>65</v>
      </c>
      <c r="F738">
        <v>7500</v>
      </c>
      <c r="G738" t="s">
        <v>66</v>
      </c>
      <c r="H738">
        <v>1</v>
      </c>
    </row>
    <row r="739" spans="1:8" x14ac:dyDescent="0.3">
      <c r="A739" t="s">
        <v>221</v>
      </c>
      <c r="B739">
        <v>2017</v>
      </c>
      <c r="C739" t="s">
        <v>147</v>
      </c>
      <c r="D739" t="s">
        <v>148</v>
      </c>
      <c r="E739" t="s">
        <v>65</v>
      </c>
      <c r="F739">
        <v>7500</v>
      </c>
      <c r="G739" t="s">
        <v>66</v>
      </c>
      <c r="H739">
        <v>3</v>
      </c>
    </row>
    <row r="740" spans="1:8" x14ac:dyDescent="0.3">
      <c r="A740" t="s">
        <v>221</v>
      </c>
      <c r="B740">
        <v>2018</v>
      </c>
      <c r="C740" t="s">
        <v>147</v>
      </c>
      <c r="D740" t="s">
        <v>148</v>
      </c>
      <c r="E740" t="s">
        <v>65</v>
      </c>
      <c r="F740">
        <v>7500</v>
      </c>
      <c r="G740" t="s">
        <v>66</v>
      </c>
      <c r="H740">
        <v>2</v>
      </c>
    </row>
    <row r="741" spans="1:8" x14ac:dyDescent="0.3">
      <c r="A741" t="s">
        <v>221</v>
      </c>
      <c r="B741">
        <v>2019</v>
      </c>
      <c r="C741" t="s">
        <v>147</v>
      </c>
      <c r="D741" t="s">
        <v>148</v>
      </c>
      <c r="E741" t="s">
        <v>65</v>
      </c>
      <c r="F741">
        <v>7500</v>
      </c>
      <c r="G741" t="s">
        <v>66</v>
      </c>
      <c r="H741">
        <v>3</v>
      </c>
    </row>
    <row r="742" spans="1:8" x14ac:dyDescent="0.3">
      <c r="A742" t="s">
        <v>221</v>
      </c>
      <c r="B742">
        <v>2021</v>
      </c>
      <c r="C742" t="s">
        <v>147</v>
      </c>
      <c r="D742" t="s">
        <v>148</v>
      </c>
      <c r="E742" t="s">
        <v>65</v>
      </c>
      <c r="F742">
        <v>7500</v>
      </c>
      <c r="G742" t="s">
        <v>66</v>
      </c>
      <c r="H742">
        <v>2</v>
      </c>
    </row>
    <row r="743" spans="1:8" x14ac:dyDescent="0.3">
      <c r="A743" t="s">
        <v>118</v>
      </c>
      <c r="B743">
        <v>2014</v>
      </c>
      <c r="C743" t="s">
        <v>147</v>
      </c>
      <c r="D743" t="s">
        <v>148</v>
      </c>
      <c r="E743" t="s">
        <v>65</v>
      </c>
      <c r="F743">
        <v>3306</v>
      </c>
      <c r="G743" t="s">
        <v>66</v>
      </c>
      <c r="H743">
        <v>2</v>
      </c>
    </row>
    <row r="744" spans="1:8" x14ac:dyDescent="0.3">
      <c r="A744" t="s">
        <v>118</v>
      </c>
      <c r="B744">
        <v>2015</v>
      </c>
      <c r="C744" t="s">
        <v>147</v>
      </c>
      <c r="D744" t="s">
        <v>148</v>
      </c>
      <c r="E744" t="s">
        <v>65</v>
      </c>
      <c r="F744">
        <v>3306</v>
      </c>
      <c r="G744" t="s">
        <v>66</v>
      </c>
      <c r="H744">
        <v>1</v>
      </c>
    </row>
    <row r="745" spans="1:8" x14ac:dyDescent="0.3">
      <c r="A745" t="s">
        <v>118</v>
      </c>
      <c r="B745">
        <v>2016</v>
      </c>
      <c r="C745" t="s">
        <v>147</v>
      </c>
      <c r="D745" t="s">
        <v>148</v>
      </c>
      <c r="E745" t="s">
        <v>65</v>
      </c>
      <c r="F745">
        <v>3306</v>
      </c>
      <c r="G745" t="s">
        <v>66</v>
      </c>
      <c r="H745">
        <v>2</v>
      </c>
    </row>
    <row r="746" spans="1:8" x14ac:dyDescent="0.3">
      <c r="A746" t="s">
        <v>118</v>
      </c>
      <c r="B746">
        <v>2017</v>
      </c>
      <c r="C746" t="s">
        <v>147</v>
      </c>
      <c r="D746" t="s">
        <v>148</v>
      </c>
      <c r="E746" t="s">
        <v>65</v>
      </c>
      <c r="F746">
        <v>3306</v>
      </c>
      <c r="G746" t="s">
        <v>66</v>
      </c>
      <c r="H746">
        <v>13</v>
      </c>
    </row>
    <row r="747" spans="1:8" x14ac:dyDescent="0.3">
      <c r="A747" t="s">
        <v>118</v>
      </c>
      <c r="B747">
        <v>2018</v>
      </c>
      <c r="C747" t="s">
        <v>147</v>
      </c>
      <c r="D747" t="s">
        <v>148</v>
      </c>
      <c r="E747" t="s">
        <v>65</v>
      </c>
      <c r="F747">
        <v>3306</v>
      </c>
      <c r="G747" t="s">
        <v>66</v>
      </c>
      <c r="H747">
        <v>2</v>
      </c>
    </row>
    <row r="748" spans="1:8" x14ac:dyDescent="0.3">
      <c r="A748" t="s">
        <v>118</v>
      </c>
      <c r="B748">
        <v>2019</v>
      </c>
      <c r="C748" t="s">
        <v>147</v>
      </c>
      <c r="D748" t="s">
        <v>148</v>
      </c>
      <c r="E748" t="s">
        <v>65</v>
      </c>
      <c r="F748">
        <v>3306</v>
      </c>
      <c r="G748" t="s">
        <v>66</v>
      </c>
      <c r="H748">
        <v>5</v>
      </c>
    </row>
    <row r="749" spans="1:8" x14ac:dyDescent="0.3">
      <c r="A749" t="s">
        <v>118</v>
      </c>
      <c r="B749">
        <v>2020</v>
      </c>
      <c r="C749" t="s">
        <v>147</v>
      </c>
      <c r="D749" t="s">
        <v>148</v>
      </c>
      <c r="E749" t="s">
        <v>65</v>
      </c>
      <c r="F749">
        <v>3306</v>
      </c>
      <c r="G749" t="s">
        <v>66</v>
      </c>
      <c r="H749">
        <v>3</v>
      </c>
    </row>
    <row r="750" spans="1:8" x14ac:dyDescent="0.3">
      <c r="A750" t="s">
        <v>118</v>
      </c>
      <c r="B750">
        <v>2021</v>
      </c>
      <c r="C750" t="s">
        <v>147</v>
      </c>
      <c r="D750" t="s">
        <v>148</v>
      </c>
      <c r="E750" t="s">
        <v>65</v>
      </c>
      <c r="F750">
        <v>3306</v>
      </c>
      <c r="G750" t="s">
        <v>66</v>
      </c>
      <c r="H750">
        <v>1</v>
      </c>
    </row>
    <row r="751" spans="1:8" x14ac:dyDescent="0.3">
      <c r="A751" t="s">
        <v>222</v>
      </c>
      <c r="B751">
        <v>2014</v>
      </c>
      <c r="C751" t="s">
        <v>147</v>
      </c>
      <c r="D751" t="s">
        <v>148</v>
      </c>
      <c r="E751" t="s">
        <v>65</v>
      </c>
      <c r="F751">
        <v>51900</v>
      </c>
      <c r="G751" t="s">
        <v>66</v>
      </c>
      <c r="H751">
        <v>2</v>
      </c>
    </row>
    <row r="752" spans="1:8" x14ac:dyDescent="0.3">
      <c r="A752" t="s">
        <v>222</v>
      </c>
      <c r="B752">
        <v>2015</v>
      </c>
      <c r="C752" t="s">
        <v>147</v>
      </c>
      <c r="D752" t="s">
        <v>148</v>
      </c>
      <c r="E752" t="s">
        <v>65</v>
      </c>
      <c r="F752">
        <v>51900</v>
      </c>
      <c r="G752" t="s">
        <v>66</v>
      </c>
      <c r="H752">
        <v>8</v>
      </c>
    </row>
    <row r="753" spans="1:8" x14ac:dyDescent="0.3">
      <c r="A753" t="s">
        <v>222</v>
      </c>
      <c r="B753">
        <v>2016</v>
      </c>
      <c r="C753" t="s">
        <v>147</v>
      </c>
      <c r="D753" t="s">
        <v>148</v>
      </c>
      <c r="E753" t="s">
        <v>65</v>
      </c>
      <c r="F753">
        <v>51900</v>
      </c>
      <c r="G753" t="s">
        <v>66</v>
      </c>
      <c r="H753">
        <v>3</v>
      </c>
    </row>
    <row r="754" spans="1:8" x14ac:dyDescent="0.3">
      <c r="A754" t="s">
        <v>222</v>
      </c>
      <c r="B754">
        <v>2021</v>
      </c>
      <c r="C754" t="s">
        <v>147</v>
      </c>
      <c r="D754" t="s">
        <v>148</v>
      </c>
      <c r="E754" t="s">
        <v>65</v>
      </c>
      <c r="F754">
        <v>51900</v>
      </c>
      <c r="G754" t="s">
        <v>66</v>
      </c>
      <c r="H754">
        <v>2</v>
      </c>
    </row>
    <row r="755" spans="1:8" x14ac:dyDescent="0.3">
      <c r="A755" t="s">
        <v>223</v>
      </c>
      <c r="B755">
        <v>2016</v>
      </c>
      <c r="C755" t="s">
        <v>147</v>
      </c>
      <c r="D755" t="s">
        <v>148</v>
      </c>
      <c r="E755" t="s">
        <v>65</v>
      </c>
      <c r="F755">
        <v>55997</v>
      </c>
      <c r="G755" t="s">
        <v>66</v>
      </c>
      <c r="H755">
        <v>2</v>
      </c>
    </row>
    <row r="756" spans="1:8" x14ac:dyDescent="0.3">
      <c r="A756" t="s">
        <v>223</v>
      </c>
      <c r="B756">
        <v>2017</v>
      </c>
      <c r="C756" t="s">
        <v>147</v>
      </c>
      <c r="D756" t="s">
        <v>148</v>
      </c>
      <c r="E756" t="s">
        <v>65</v>
      </c>
      <c r="F756">
        <v>55997</v>
      </c>
      <c r="G756" t="s">
        <v>66</v>
      </c>
      <c r="H756">
        <v>12</v>
      </c>
    </row>
    <row r="757" spans="1:8" x14ac:dyDescent="0.3">
      <c r="A757" t="s">
        <v>223</v>
      </c>
      <c r="B757">
        <v>2018</v>
      </c>
      <c r="C757" t="s">
        <v>147</v>
      </c>
      <c r="D757" t="s">
        <v>148</v>
      </c>
      <c r="E757" t="s">
        <v>65</v>
      </c>
      <c r="F757">
        <v>55997</v>
      </c>
      <c r="G757" t="s">
        <v>66</v>
      </c>
      <c r="H757">
        <v>6</v>
      </c>
    </row>
    <row r="758" spans="1:8" x14ac:dyDescent="0.3">
      <c r="A758" t="s">
        <v>223</v>
      </c>
      <c r="B758">
        <v>2019</v>
      </c>
      <c r="C758" t="s">
        <v>147</v>
      </c>
      <c r="D758" t="s">
        <v>148</v>
      </c>
      <c r="E758" t="s">
        <v>65</v>
      </c>
      <c r="F758">
        <v>55997</v>
      </c>
      <c r="G758" t="s">
        <v>66</v>
      </c>
      <c r="H758">
        <v>48</v>
      </c>
    </row>
    <row r="759" spans="1:8" x14ac:dyDescent="0.3">
      <c r="A759" t="s">
        <v>223</v>
      </c>
      <c r="B759">
        <v>2020</v>
      </c>
      <c r="C759" t="s">
        <v>147</v>
      </c>
      <c r="D759" t="s">
        <v>148</v>
      </c>
      <c r="E759" t="s">
        <v>65</v>
      </c>
      <c r="F759">
        <v>55997</v>
      </c>
      <c r="G759" t="s">
        <v>66</v>
      </c>
      <c r="H759">
        <v>16</v>
      </c>
    </row>
    <row r="760" spans="1:8" x14ac:dyDescent="0.3">
      <c r="A760" t="s">
        <v>223</v>
      </c>
      <c r="B760">
        <v>2021</v>
      </c>
      <c r="C760" t="s">
        <v>147</v>
      </c>
      <c r="D760" t="s">
        <v>148</v>
      </c>
      <c r="E760" t="s">
        <v>65</v>
      </c>
      <c r="F760">
        <v>55997</v>
      </c>
      <c r="G760" t="s">
        <v>66</v>
      </c>
      <c r="H760">
        <v>44</v>
      </c>
    </row>
    <row r="761" spans="1:8" x14ac:dyDescent="0.3">
      <c r="A761" t="s">
        <v>119</v>
      </c>
      <c r="B761">
        <v>2014</v>
      </c>
      <c r="C761" t="s">
        <v>147</v>
      </c>
      <c r="D761" t="s">
        <v>148</v>
      </c>
      <c r="E761" t="s">
        <v>65</v>
      </c>
      <c r="F761">
        <v>34833</v>
      </c>
      <c r="G761" t="s">
        <v>72</v>
      </c>
      <c r="H761">
        <v>4</v>
      </c>
    </row>
    <row r="762" spans="1:8" x14ac:dyDescent="0.3">
      <c r="A762" t="s">
        <v>119</v>
      </c>
      <c r="B762">
        <v>2015</v>
      </c>
      <c r="C762" t="s">
        <v>147</v>
      </c>
      <c r="D762" t="s">
        <v>148</v>
      </c>
      <c r="E762" t="s">
        <v>65</v>
      </c>
      <c r="F762">
        <v>34833</v>
      </c>
      <c r="G762" t="s">
        <v>72</v>
      </c>
      <c r="H762">
        <v>11</v>
      </c>
    </row>
    <row r="763" spans="1:8" x14ac:dyDescent="0.3">
      <c r="A763" t="s">
        <v>119</v>
      </c>
      <c r="B763">
        <v>2016</v>
      </c>
      <c r="C763" t="s">
        <v>147</v>
      </c>
      <c r="D763" t="s">
        <v>148</v>
      </c>
      <c r="E763" t="s">
        <v>65</v>
      </c>
      <c r="F763">
        <v>34833</v>
      </c>
      <c r="G763" t="s">
        <v>72</v>
      </c>
      <c r="H763">
        <v>16</v>
      </c>
    </row>
    <row r="764" spans="1:8" x14ac:dyDescent="0.3">
      <c r="A764" t="s">
        <v>119</v>
      </c>
      <c r="B764">
        <v>2017</v>
      </c>
      <c r="C764" t="s">
        <v>147</v>
      </c>
      <c r="D764" t="s">
        <v>148</v>
      </c>
      <c r="E764" t="s">
        <v>65</v>
      </c>
      <c r="F764">
        <v>34833</v>
      </c>
      <c r="G764" t="s">
        <v>72</v>
      </c>
      <c r="H764">
        <v>12</v>
      </c>
    </row>
    <row r="765" spans="1:8" x14ac:dyDescent="0.3">
      <c r="A765" t="s">
        <v>119</v>
      </c>
      <c r="B765">
        <v>2018</v>
      </c>
      <c r="C765" t="s">
        <v>147</v>
      </c>
      <c r="D765" t="s">
        <v>148</v>
      </c>
      <c r="E765" t="s">
        <v>65</v>
      </c>
      <c r="F765">
        <v>34833</v>
      </c>
      <c r="G765" t="s">
        <v>72</v>
      </c>
      <c r="H765">
        <v>18</v>
      </c>
    </row>
    <row r="766" spans="1:8" x14ac:dyDescent="0.3">
      <c r="A766" t="s">
        <v>119</v>
      </c>
      <c r="B766">
        <v>2019</v>
      </c>
      <c r="C766" t="s">
        <v>147</v>
      </c>
      <c r="D766" t="s">
        <v>148</v>
      </c>
      <c r="E766" t="s">
        <v>65</v>
      </c>
      <c r="F766">
        <v>34833</v>
      </c>
      <c r="G766" t="s">
        <v>72</v>
      </c>
      <c r="H766">
        <v>5</v>
      </c>
    </row>
    <row r="767" spans="1:8" x14ac:dyDescent="0.3">
      <c r="A767" t="s">
        <v>119</v>
      </c>
      <c r="B767">
        <v>2020</v>
      </c>
      <c r="C767" t="s">
        <v>147</v>
      </c>
      <c r="D767" t="s">
        <v>148</v>
      </c>
      <c r="E767" t="s">
        <v>65</v>
      </c>
      <c r="F767">
        <v>34833</v>
      </c>
      <c r="G767" t="s">
        <v>72</v>
      </c>
      <c r="H767">
        <v>11</v>
      </c>
    </row>
    <row r="768" spans="1:8" x14ac:dyDescent="0.3">
      <c r="A768" t="s">
        <v>119</v>
      </c>
      <c r="B768">
        <v>2021</v>
      </c>
      <c r="C768" t="s">
        <v>147</v>
      </c>
      <c r="D768" t="s">
        <v>148</v>
      </c>
      <c r="E768" t="s">
        <v>65</v>
      </c>
      <c r="F768">
        <v>34833</v>
      </c>
      <c r="G768" t="s">
        <v>72</v>
      </c>
      <c r="H768">
        <v>8</v>
      </c>
    </row>
    <row r="769" spans="1:8" x14ac:dyDescent="0.3">
      <c r="A769" t="s">
        <v>224</v>
      </c>
      <c r="B769">
        <v>2015</v>
      </c>
      <c r="C769" t="s">
        <v>147</v>
      </c>
      <c r="D769" t="s">
        <v>148</v>
      </c>
      <c r="E769" t="s">
        <v>65</v>
      </c>
      <c r="F769">
        <v>45503</v>
      </c>
      <c r="G769" t="s">
        <v>72</v>
      </c>
      <c r="H769">
        <v>3</v>
      </c>
    </row>
    <row r="770" spans="1:8" x14ac:dyDescent="0.3">
      <c r="A770" t="s">
        <v>224</v>
      </c>
      <c r="B770">
        <v>2016</v>
      </c>
      <c r="C770" t="s">
        <v>147</v>
      </c>
      <c r="D770" t="s">
        <v>148</v>
      </c>
      <c r="E770" t="s">
        <v>65</v>
      </c>
      <c r="F770">
        <v>45503</v>
      </c>
      <c r="G770" t="s">
        <v>72</v>
      </c>
      <c r="H770">
        <v>7</v>
      </c>
    </row>
    <row r="771" spans="1:8" x14ac:dyDescent="0.3">
      <c r="A771" t="s">
        <v>224</v>
      </c>
      <c r="B771">
        <v>2017</v>
      </c>
      <c r="C771" t="s">
        <v>147</v>
      </c>
      <c r="D771" t="s">
        <v>148</v>
      </c>
      <c r="E771" t="s">
        <v>65</v>
      </c>
      <c r="F771">
        <v>45503</v>
      </c>
      <c r="G771" t="s">
        <v>72</v>
      </c>
      <c r="H771">
        <v>3</v>
      </c>
    </row>
    <row r="772" spans="1:8" x14ac:dyDescent="0.3">
      <c r="A772" t="s">
        <v>224</v>
      </c>
      <c r="B772">
        <v>2018</v>
      </c>
      <c r="C772" t="s">
        <v>147</v>
      </c>
      <c r="D772" t="s">
        <v>148</v>
      </c>
      <c r="E772" t="s">
        <v>65</v>
      </c>
      <c r="F772">
        <v>45503</v>
      </c>
      <c r="G772" t="s">
        <v>72</v>
      </c>
      <c r="H772">
        <v>15</v>
      </c>
    </row>
    <row r="773" spans="1:8" x14ac:dyDescent="0.3">
      <c r="A773" t="s">
        <v>224</v>
      </c>
      <c r="B773">
        <v>2019</v>
      </c>
      <c r="C773" t="s">
        <v>147</v>
      </c>
      <c r="D773" t="s">
        <v>148</v>
      </c>
      <c r="E773" t="s">
        <v>65</v>
      </c>
      <c r="F773">
        <v>45503</v>
      </c>
      <c r="G773" t="s">
        <v>72</v>
      </c>
      <c r="H773">
        <v>6</v>
      </c>
    </row>
    <row r="774" spans="1:8" x14ac:dyDescent="0.3">
      <c r="A774" t="s">
        <v>224</v>
      </c>
      <c r="B774">
        <v>2020</v>
      </c>
      <c r="C774" t="s">
        <v>147</v>
      </c>
      <c r="D774" t="s">
        <v>148</v>
      </c>
      <c r="E774" t="s">
        <v>65</v>
      </c>
      <c r="F774">
        <v>45503</v>
      </c>
      <c r="G774" t="s">
        <v>72</v>
      </c>
      <c r="H774">
        <v>4</v>
      </c>
    </row>
    <row r="775" spans="1:8" x14ac:dyDescent="0.3">
      <c r="A775" t="s">
        <v>224</v>
      </c>
      <c r="B775">
        <v>2021</v>
      </c>
      <c r="C775" t="s">
        <v>147</v>
      </c>
      <c r="D775" t="s">
        <v>148</v>
      </c>
      <c r="E775" t="s">
        <v>65</v>
      </c>
      <c r="F775">
        <v>45503</v>
      </c>
      <c r="G775" t="s">
        <v>72</v>
      </c>
      <c r="H775">
        <v>2</v>
      </c>
    </row>
    <row r="776" spans="1:8" x14ac:dyDescent="0.3">
      <c r="A776" t="s">
        <v>225</v>
      </c>
      <c r="B776">
        <v>2014</v>
      </c>
      <c r="C776" t="s">
        <v>147</v>
      </c>
      <c r="D776" t="s">
        <v>148</v>
      </c>
      <c r="E776" t="s">
        <v>65</v>
      </c>
      <c r="F776">
        <v>30325</v>
      </c>
      <c r="G776" t="s">
        <v>72</v>
      </c>
      <c r="H776">
        <v>4</v>
      </c>
    </row>
    <row r="777" spans="1:8" x14ac:dyDescent="0.3">
      <c r="A777" t="s">
        <v>225</v>
      </c>
      <c r="B777">
        <v>2015</v>
      </c>
      <c r="C777" t="s">
        <v>147</v>
      </c>
      <c r="D777" t="s">
        <v>148</v>
      </c>
      <c r="E777" t="s">
        <v>65</v>
      </c>
      <c r="F777">
        <v>30325</v>
      </c>
      <c r="G777" t="s">
        <v>72</v>
      </c>
      <c r="H777">
        <v>5</v>
      </c>
    </row>
    <row r="778" spans="1:8" x14ac:dyDescent="0.3">
      <c r="A778" t="s">
        <v>225</v>
      </c>
      <c r="B778">
        <v>2016</v>
      </c>
      <c r="C778" t="s">
        <v>147</v>
      </c>
      <c r="D778" t="s">
        <v>148</v>
      </c>
      <c r="E778" t="s">
        <v>65</v>
      </c>
      <c r="F778">
        <v>30325</v>
      </c>
      <c r="G778" t="s">
        <v>72</v>
      </c>
      <c r="H778">
        <v>19</v>
      </c>
    </row>
    <row r="779" spans="1:8" x14ac:dyDescent="0.3">
      <c r="A779" t="s">
        <v>225</v>
      </c>
      <c r="B779">
        <v>2017</v>
      </c>
      <c r="C779" t="s">
        <v>147</v>
      </c>
      <c r="D779" t="s">
        <v>148</v>
      </c>
      <c r="E779" t="s">
        <v>65</v>
      </c>
      <c r="F779">
        <v>30325</v>
      </c>
      <c r="G779" t="s">
        <v>72</v>
      </c>
      <c r="H779">
        <v>18</v>
      </c>
    </row>
    <row r="780" spans="1:8" x14ac:dyDescent="0.3">
      <c r="A780" t="s">
        <v>225</v>
      </c>
      <c r="B780">
        <v>2018</v>
      </c>
      <c r="C780" t="s">
        <v>147</v>
      </c>
      <c r="D780" t="s">
        <v>148</v>
      </c>
      <c r="E780" t="s">
        <v>65</v>
      </c>
      <c r="F780">
        <v>30325</v>
      </c>
      <c r="G780" t="s">
        <v>72</v>
      </c>
      <c r="H780">
        <v>10</v>
      </c>
    </row>
    <row r="781" spans="1:8" x14ac:dyDescent="0.3">
      <c r="A781" t="s">
        <v>225</v>
      </c>
      <c r="B781">
        <v>2019</v>
      </c>
      <c r="C781" t="s">
        <v>147</v>
      </c>
      <c r="D781" t="s">
        <v>148</v>
      </c>
      <c r="E781" t="s">
        <v>65</v>
      </c>
      <c r="F781">
        <v>30325</v>
      </c>
      <c r="G781" t="s">
        <v>72</v>
      </c>
      <c r="H781">
        <v>9</v>
      </c>
    </row>
    <row r="782" spans="1:8" x14ac:dyDescent="0.3">
      <c r="A782" t="s">
        <v>225</v>
      </c>
      <c r="B782">
        <v>2020</v>
      </c>
      <c r="C782" t="s">
        <v>147</v>
      </c>
      <c r="D782" t="s">
        <v>148</v>
      </c>
      <c r="E782" t="s">
        <v>65</v>
      </c>
      <c r="F782">
        <v>30325</v>
      </c>
      <c r="G782" t="s">
        <v>72</v>
      </c>
      <c r="H782">
        <v>17</v>
      </c>
    </row>
    <row r="783" spans="1:8" x14ac:dyDescent="0.3">
      <c r="A783" t="s">
        <v>225</v>
      </c>
      <c r="B783">
        <v>2021</v>
      </c>
      <c r="C783" t="s">
        <v>147</v>
      </c>
      <c r="D783" t="s">
        <v>148</v>
      </c>
      <c r="E783" t="s">
        <v>65</v>
      </c>
      <c r="F783">
        <v>30325</v>
      </c>
      <c r="G783" t="s">
        <v>72</v>
      </c>
      <c r="H783">
        <v>10</v>
      </c>
    </row>
    <row r="784" spans="1:8" x14ac:dyDescent="0.3">
      <c r="A784" t="s">
        <v>226</v>
      </c>
      <c r="B784">
        <v>2014</v>
      </c>
      <c r="C784" t="s">
        <v>147</v>
      </c>
      <c r="D784" t="s">
        <v>148</v>
      </c>
      <c r="E784" t="s">
        <v>65</v>
      </c>
      <c r="F784">
        <v>38801</v>
      </c>
      <c r="G784" t="s">
        <v>66</v>
      </c>
      <c r="H784">
        <v>1</v>
      </c>
    </row>
    <row r="785" spans="1:8" x14ac:dyDescent="0.3">
      <c r="A785" t="s">
        <v>226</v>
      </c>
      <c r="B785">
        <v>2015</v>
      </c>
      <c r="C785" t="s">
        <v>147</v>
      </c>
      <c r="D785" t="s">
        <v>148</v>
      </c>
      <c r="E785" t="s">
        <v>65</v>
      </c>
      <c r="F785">
        <v>38801</v>
      </c>
      <c r="G785" t="s">
        <v>66</v>
      </c>
      <c r="H785">
        <v>1</v>
      </c>
    </row>
    <row r="786" spans="1:8" x14ac:dyDescent="0.3">
      <c r="A786" t="s">
        <v>226</v>
      </c>
      <c r="B786">
        <v>2016</v>
      </c>
      <c r="C786" t="s">
        <v>147</v>
      </c>
      <c r="D786" t="s">
        <v>148</v>
      </c>
      <c r="E786" t="s">
        <v>65</v>
      </c>
      <c r="F786">
        <v>38801</v>
      </c>
      <c r="G786" t="s">
        <v>66</v>
      </c>
      <c r="H786">
        <v>5</v>
      </c>
    </row>
    <row r="787" spans="1:8" x14ac:dyDescent="0.3">
      <c r="A787" t="s">
        <v>226</v>
      </c>
      <c r="B787">
        <v>2017</v>
      </c>
      <c r="C787" t="s">
        <v>147</v>
      </c>
      <c r="D787" t="s">
        <v>148</v>
      </c>
      <c r="E787" t="s">
        <v>65</v>
      </c>
      <c r="F787">
        <v>38801</v>
      </c>
      <c r="G787" t="s">
        <v>66</v>
      </c>
      <c r="H787">
        <v>1</v>
      </c>
    </row>
    <row r="788" spans="1:8" x14ac:dyDescent="0.3">
      <c r="A788" t="s">
        <v>226</v>
      </c>
      <c r="B788">
        <v>2018</v>
      </c>
      <c r="C788" t="s">
        <v>147</v>
      </c>
      <c r="D788" t="s">
        <v>148</v>
      </c>
      <c r="E788" t="s">
        <v>65</v>
      </c>
      <c r="F788">
        <v>38801</v>
      </c>
      <c r="G788" t="s">
        <v>66</v>
      </c>
      <c r="H788">
        <v>1</v>
      </c>
    </row>
    <row r="789" spans="1:8" x14ac:dyDescent="0.3">
      <c r="A789" t="s">
        <v>226</v>
      </c>
      <c r="B789">
        <v>2019</v>
      </c>
      <c r="C789" t="s">
        <v>147</v>
      </c>
      <c r="D789" t="s">
        <v>148</v>
      </c>
      <c r="E789" t="s">
        <v>65</v>
      </c>
      <c r="F789">
        <v>38801</v>
      </c>
      <c r="G789" t="s">
        <v>66</v>
      </c>
      <c r="H789">
        <v>3</v>
      </c>
    </row>
    <row r="790" spans="1:8" x14ac:dyDescent="0.3">
      <c r="A790" t="s">
        <v>226</v>
      </c>
      <c r="B790">
        <v>2020</v>
      </c>
      <c r="C790" t="s">
        <v>147</v>
      </c>
      <c r="D790" t="s">
        <v>148</v>
      </c>
      <c r="E790" t="s">
        <v>65</v>
      </c>
      <c r="F790">
        <v>38801</v>
      </c>
      <c r="G790" t="s">
        <v>66</v>
      </c>
      <c r="H790">
        <v>3</v>
      </c>
    </row>
    <row r="791" spans="1:8" x14ac:dyDescent="0.3">
      <c r="A791" t="s">
        <v>226</v>
      </c>
      <c r="B791">
        <v>2021</v>
      </c>
      <c r="C791" t="s">
        <v>147</v>
      </c>
      <c r="D791" t="s">
        <v>148</v>
      </c>
      <c r="E791" t="s">
        <v>65</v>
      </c>
      <c r="F791">
        <v>38801</v>
      </c>
      <c r="G791" t="s">
        <v>66</v>
      </c>
      <c r="H791">
        <v>5</v>
      </c>
    </row>
    <row r="792" spans="1:8" x14ac:dyDescent="0.3">
      <c r="A792" t="s">
        <v>227</v>
      </c>
      <c r="B792">
        <v>2015</v>
      </c>
      <c r="C792" t="s">
        <v>147</v>
      </c>
      <c r="D792" t="s">
        <v>148</v>
      </c>
      <c r="E792" t="s">
        <v>65</v>
      </c>
      <c r="F792">
        <v>70000</v>
      </c>
      <c r="G792" t="s">
        <v>72</v>
      </c>
      <c r="H792">
        <v>1</v>
      </c>
    </row>
    <row r="793" spans="1:8" x14ac:dyDescent="0.3">
      <c r="A793" t="s">
        <v>227</v>
      </c>
      <c r="B793">
        <v>2016</v>
      </c>
      <c r="C793" t="s">
        <v>147</v>
      </c>
      <c r="D793" t="s">
        <v>148</v>
      </c>
      <c r="E793" t="s">
        <v>65</v>
      </c>
      <c r="F793">
        <v>70000</v>
      </c>
      <c r="G793" t="s">
        <v>72</v>
      </c>
      <c r="H793">
        <v>1</v>
      </c>
    </row>
    <row r="794" spans="1:8" x14ac:dyDescent="0.3">
      <c r="A794" t="s">
        <v>227</v>
      </c>
      <c r="B794">
        <v>2018</v>
      </c>
      <c r="C794" t="s">
        <v>147</v>
      </c>
      <c r="D794" t="s">
        <v>148</v>
      </c>
      <c r="E794" t="s">
        <v>65</v>
      </c>
      <c r="F794">
        <v>70000</v>
      </c>
      <c r="G794" t="s">
        <v>72</v>
      </c>
      <c r="H794">
        <v>1</v>
      </c>
    </row>
    <row r="795" spans="1:8" x14ac:dyDescent="0.3">
      <c r="A795" t="s">
        <v>227</v>
      </c>
      <c r="B795">
        <v>2019</v>
      </c>
      <c r="C795" t="s">
        <v>147</v>
      </c>
      <c r="D795" t="s">
        <v>148</v>
      </c>
      <c r="E795" t="s">
        <v>65</v>
      </c>
      <c r="F795">
        <v>70000</v>
      </c>
      <c r="G795" t="s">
        <v>72</v>
      </c>
      <c r="H795">
        <v>1</v>
      </c>
    </row>
    <row r="796" spans="1:8" x14ac:dyDescent="0.3">
      <c r="A796" t="s">
        <v>227</v>
      </c>
      <c r="B796">
        <v>2021</v>
      </c>
      <c r="C796" t="s">
        <v>147</v>
      </c>
      <c r="D796" t="s">
        <v>148</v>
      </c>
      <c r="E796" t="s">
        <v>65</v>
      </c>
      <c r="F796">
        <v>70000</v>
      </c>
      <c r="G796" t="s">
        <v>72</v>
      </c>
      <c r="H796">
        <v>2</v>
      </c>
    </row>
    <row r="797" spans="1:8" x14ac:dyDescent="0.3">
      <c r="A797" t="s">
        <v>228</v>
      </c>
      <c r="B797">
        <v>2014</v>
      </c>
      <c r="C797" t="s">
        <v>147</v>
      </c>
      <c r="D797" t="s">
        <v>148</v>
      </c>
      <c r="E797" t="s">
        <v>65</v>
      </c>
      <c r="F797">
        <v>26100</v>
      </c>
      <c r="G797" t="s">
        <v>72</v>
      </c>
      <c r="H797">
        <v>1</v>
      </c>
    </row>
    <row r="798" spans="1:8" x14ac:dyDescent="0.3">
      <c r="A798" t="s">
        <v>228</v>
      </c>
      <c r="B798">
        <v>2015</v>
      </c>
      <c r="C798" t="s">
        <v>147</v>
      </c>
      <c r="D798" t="s">
        <v>148</v>
      </c>
      <c r="E798" t="s">
        <v>65</v>
      </c>
      <c r="F798">
        <v>26100</v>
      </c>
      <c r="G798" t="s">
        <v>72</v>
      </c>
      <c r="H798">
        <v>4</v>
      </c>
    </row>
    <row r="799" spans="1:8" x14ac:dyDescent="0.3">
      <c r="A799" t="s">
        <v>228</v>
      </c>
      <c r="B799">
        <v>2017</v>
      </c>
      <c r="C799" t="s">
        <v>147</v>
      </c>
      <c r="D799" t="s">
        <v>148</v>
      </c>
      <c r="E799" t="s">
        <v>65</v>
      </c>
      <c r="F799">
        <v>26100</v>
      </c>
      <c r="G799" t="s">
        <v>72</v>
      </c>
      <c r="H799">
        <v>6</v>
      </c>
    </row>
    <row r="800" spans="1:8" x14ac:dyDescent="0.3">
      <c r="A800" t="s">
        <v>228</v>
      </c>
      <c r="B800">
        <v>2018</v>
      </c>
      <c r="C800" t="s">
        <v>147</v>
      </c>
      <c r="D800" t="s">
        <v>148</v>
      </c>
      <c r="E800" t="s">
        <v>65</v>
      </c>
      <c r="F800">
        <v>26100</v>
      </c>
      <c r="G800" t="s">
        <v>72</v>
      </c>
      <c r="H800">
        <v>1</v>
      </c>
    </row>
    <row r="801" spans="1:8" x14ac:dyDescent="0.3">
      <c r="A801" t="s">
        <v>228</v>
      </c>
      <c r="B801">
        <v>2019</v>
      </c>
      <c r="C801" t="s">
        <v>147</v>
      </c>
      <c r="D801" t="s">
        <v>148</v>
      </c>
      <c r="E801" t="s">
        <v>65</v>
      </c>
      <c r="F801">
        <v>26100</v>
      </c>
      <c r="G801" t="s">
        <v>72</v>
      </c>
      <c r="H801">
        <v>2</v>
      </c>
    </row>
    <row r="802" spans="1:8" x14ac:dyDescent="0.3">
      <c r="A802" t="s">
        <v>228</v>
      </c>
      <c r="B802">
        <v>2020</v>
      </c>
      <c r="C802" t="s">
        <v>147</v>
      </c>
      <c r="D802" t="s">
        <v>148</v>
      </c>
      <c r="E802" t="s">
        <v>65</v>
      </c>
      <c r="F802">
        <v>26100</v>
      </c>
      <c r="G802" t="s">
        <v>72</v>
      </c>
      <c r="H802">
        <v>5</v>
      </c>
    </row>
    <row r="803" spans="1:8" x14ac:dyDescent="0.3">
      <c r="A803" t="s">
        <v>228</v>
      </c>
      <c r="B803">
        <v>2021</v>
      </c>
      <c r="C803" t="s">
        <v>147</v>
      </c>
      <c r="D803" t="s">
        <v>148</v>
      </c>
      <c r="E803" t="s">
        <v>65</v>
      </c>
      <c r="F803">
        <v>26100</v>
      </c>
      <c r="G803" t="s">
        <v>72</v>
      </c>
      <c r="H803">
        <v>2</v>
      </c>
    </row>
    <row r="804" spans="1:8" x14ac:dyDescent="0.3">
      <c r="A804" t="s">
        <v>229</v>
      </c>
      <c r="B804">
        <v>2015</v>
      </c>
      <c r="C804" t="s">
        <v>147</v>
      </c>
      <c r="D804" t="s">
        <v>148</v>
      </c>
      <c r="E804" t="s">
        <v>65</v>
      </c>
      <c r="F804">
        <v>12566</v>
      </c>
      <c r="G804" t="s">
        <v>72</v>
      </c>
      <c r="H804">
        <v>4</v>
      </c>
    </row>
    <row r="805" spans="1:8" x14ac:dyDescent="0.3">
      <c r="A805" t="s">
        <v>229</v>
      </c>
      <c r="B805">
        <v>2016</v>
      </c>
      <c r="C805" t="s">
        <v>147</v>
      </c>
      <c r="D805" t="s">
        <v>148</v>
      </c>
      <c r="E805" t="s">
        <v>65</v>
      </c>
      <c r="F805">
        <v>12566</v>
      </c>
      <c r="G805" t="s">
        <v>72</v>
      </c>
      <c r="H805">
        <v>1</v>
      </c>
    </row>
    <row r="806" spans="1:8" x14ac:dyDescent="0.3">
      <c r="A806" t="s">
        <v>229</v>
      </c>
      <c r="B806">
        <v>2017</v>
      </c>
      <c r="C806" t="s">
        <v>147</v>
      </c>
      <c r="D806" t="s">
        <v>148</v>
      </c>
      <c r="E806" t="s">
        <v>65</v>
      </c>
      <c r="F806">
        <v>12566</v>
      </c>
      <c r="G806" t="s">
        <v>72</v>
      </c>
      <c r="H806">
        <v>1</v>
      </c>
    </row>
    <row r="807" spans="1:8" x14ac:dyDescent="0.3">
      <c r="A807" t="s">
        <v>229</v>
      </c>
      <c r="B807">
        <v>2018</v>
      </c>
      <c r="C807" t="s">
        <v>147</v>
      </c>
      <c r="D807" t="s">
        <v>148</v>
      </c>
      <c r="E807" t="s">
        <v>65</v>
      </c>
      <c r="F807">
        <v>12566</v>
      </c>
      <c r="G807" t="s">
        <v>72</v>
      </c>
      <c r="H807">
        <v>7</v>
      </c>
    </row>
    <row r="808" spans="1:8" x14ac:dyDescent="0.3">
      <c r="A808" t="s">
        <v>229</v>
      </c>
      <c r="B808">
        <v>2019</v>
      </c>
      <c r="C808" t="s">
        <v>147</v>
      </c>
      <c r="D808" t="s">
        <v>148</v>
      </c>
      <c r="E808" t="s">
        <v>65</v>
      </c>
      <c r="F808">
        <v>12566</v>
      </c>
      <c r="G808" t="s">
        <v>72</v>
      </c>
      <c r="H808">
        <v>5</v>
      </c>
    </row>
    <row r="809" spans="1:8" x14ac:dyDescent="0.3">
      <c r="A809" t="s">
        <v>229</v>
      </c>
      <c r="B809">
        <v>2020</v>
      </c>
      <c r="C809" t="s">
        <v>147</v>
      </c>
      <c r="D809" t="s">
        <v>148</v>
      </c>
      <c r="E809" t="s">
        <v>65</v>
      </c>
      <c r="F809">
        <v>12566</v>
      </c>
      <c r="G809" t="s">
        <v>72</v>
      </c>
      <c r="H809">
        <v>2</v>
      </c>
    </row>
    <row r="810" spans="1:8" x14ac:dyDescent="0.3">
      <c r="A810" t="s">
        <v>229</v>
      </c>
      <c r="B810">
        <v>2021</v>
      </c>
      <c r="C810" t="s">
        <v>147</v>
      </c>
      <c r="D810" t="s">
        <v>148</v>
      </c>
      <c r="E810" t="s">
        <v>65</v>
      </c>
      <c r="F810">
        <v>12566</v>
      </c>
      <c r="G810" t="s">
        <v>72</v>
      </c>
      <c r="H810">
        <v>3</v>
      </c>
    </row>
    <row r="811" spans="1:8" x14ac:dyDescent="0.3">
      <c r="A811" t="s">
        <v>230</v>
      </c>
      <c r="B811">
        <v>2014</v>
      </c>
      <c r="C811" t="s">
        <v>147</v>
      </c>
      <c r="D811" t="s">
        <v>148</v>
      </c>
      <c r="E811" t="s">
        <v>65</v>
      </c>
      <c r="F811">
        <v>33289</v>
      </c>
      <c r="G811" t="s">
        <v>72</v>
      </c>
      <c r="H811">
        <v>4</v>
      </c>
    </row>
    <row r="812" spans="1:8" x14ac:dyDescent="0.3">
      <c r="A812" t="s">
        <v>230</v>
      </c>
      <c r="B812">
        <v>2015</v>
      </c>
      <c r="C812" t="s">
        <v>147</v>
      </c>
      <c r="D812" t="s">
        <v>148</v>
      </c>
      <c r="E812" t="s">
        <v>65</v>
      </c>
      <c r="F812">
        <v>33289</v>
      </c>
      <c r="G812" t="s">
        <v>72</v>
      </c>
      <c r="H812">
        <v>4</v>
      </c>
    </row>
    <row r="813" spans="1:8" x14ac:dyDescent="0.3">
      <c r="A813" t="s">
        <v>230</v>
      </c>
      <c r="B813">
        <v>2016</v>
      </c>
      <c r="C813" t="s">
        <v>147</v>
      </c>
      <c r="D813" t="s">
        <v>148</v>
      </c>
      <c r="E813" t="s">
        <v>65</v>
      </c>
      <c r="F813">
        <v>33289</v>
      </c>
      <c r="G813" t="s">
        <v>72</v>
      </c>
      <c r="H813">
        <v>5</v>
      </c>
    </row>
    <row r="814" spans="1:8" x14ac:dyDescent="0.3">
      <c r="A814" t="s">
        <v>230</v>
      </c>
      <c r="B814">
        <v>2017</v>
      </c>
      <c r="C814" t="s">
        <v>147</v>
      </c>
      <c r="D814" t="s">
        <v>148</v>
      </c>
      <c r="E814" t="s">
        <v>65</v>
      </c>
      <c r="F814">
        <v>33289</v>
      </c>
      <c r="G814" t="s">
        <v>72</v>
      </c>
      <c r="H814">
        <v>2</v>
      </c>
    </row>
    <row r="815" spans="1:8" x14ac:dyDescent="0.3">
      <c r="A815" t="s">
        <v>230</v>
      </c>
      <c r="B815">
        <v>2018</v>
      </c>
      <c r="C815" t="s">
        <v>147</v>
      </c>
      <c r="D815" t="s">
        <v>148</v>
      </c>
      <c r="E815" t="s">
        <v>65</v>
      </c>
      <c r="F815">
        <v>33289</v>
      </c>
      <c r="G815" t="s">
        <v>72</v>
      </c>
      <c r="H815">
        <v>4</v>
      </c>
    </row>
    <row r="816" spans="1:8" x14ac:dyDescent="0.3">
      <c r="A816" t="s">
        <v>230</v>
      </c>
      <c r="B816">
        <v>2019</v>
      </c>
      <c r="C816" t="s">
        <v>147</v>
      </c>
      <c r="D816" t="s">
        <v>148</v>
      </c>
      <c r="E816" t="s">
        <v>65</v>
      </c>
      <c r="F816">
        <v>33289</v>
      </c>
      <c r="G816" t="s">
        <v>72</v>
      </c>
      <c r="H816">
        <v>5</v>
      </c>
    </row>
    <row r="817" spans="1:8" x14ac:dyDescent="0.3">
      <c r="A817" t="s">
        <v>230</v>
      </c>
      <c r="B817">
        <v>2020</v>
      </c>
      <c r="C817" t="s">
        <v>147</v>
      </c>
      <c r="D817" t="s">
        <v>148</v>
      </c>
      <c r="E817" t="s">
        <v>65</v>
      </c>
      <c r="F817">
        <v>33289</v>
      </c>
      <c r="G817" t="s">
        <v>72</v>
      </c>
      <c r="H817">
        <v>5</v>
      </c>
    </row>
    <row r="818" spans="1:8" x14ac:dyDescent="0.3">
      <c r="A818" t="s">
        <v>230</v>
      </c>
      <c r="B818">
        <v>2021</v>
      </c>
      <c r="C818" t="s">
        <v>147</v>
      </c>
      <c r="D818" t="s">
        <v>148</v>
      </c>
      <c r="E818" t="s">
        <v>65</v>
      </c>
      <c r="F818">
        <v>33289</v>
      </c>
      <c r="G818" t="s">
        <v>72</v>
      </c>
      <c r="H818">
        <v>18</v>
      </c>
    </row>
    <row r="819" spans="1:8" x14ac:dyDescent="0.3">
      <c r="A819" t="s">
        <v>231</v>
      </c>
      <c r="B819">
        <v>2015</v>
      </c>
      <c r="C819" t="s">
        <v>147</v>
      </c>
      <c r="D819" t="s">
        <v>148</v>
      </c>
      <c r="E819" t="s">
        <v>65</v>
      </c>
      <c r="F819">
        <v>95901</v>
      </c>
      <c r="G819" t="s">
        <v>72</v>
      </c>
      <c r="H819">
        <v>2</v>
      </c>
    </row>
    <row r="820" spans="1:8" x14ac:dyDescent="0.3">
      <c r="A820" t="s">
        <v>231</v>
      </c>
      <c r="B820">
        <v>2016</v>
      </c>
      <c r="C820" t="s">
        <v>147</v>
      </c>
      <c r="D820" t="s">
        <v>148</v>
      </c>
      <c r="E820" t="s">
        <v>65</v>
      </c>
      <c r="F820">
        <v>95901</v>
      </c>
      <c r="G820" t="s">
        <v>72</v>
      </c>
      <c r="H820">
        <v>2</v>
      </c>
    </row>
    <row r="821" spans="1:8" x14ac:dyDescent="0.3">
      <c r="A821" t="s">
        <v>231</v>
      </c>
      <c r="B821">
        <v>2017</v>
      </c>
      <c r="C821" t="s">
        <v>147</v>
      </c>
      <c r="D821" t="s">
        <v>148</v>
      </c>
      <c r="E821" t="s">
        <v>65</v>
      </c>
      <c r="F821">
        <v>95901</v>
      </c>
      <c r="G821" t="s">
        <v>72</v>
      </c>
      <c r="H821">
        <v>4</v>
      </c>
    </row>
    <row r="822" spans="1:8" x14ac:dyDescent="0.3">
      <c r="A822" t="s">
        <v>231</v>
      </c>
      <c r="B822">
        <v>2019</v>
      </c>
      <c r="C822" t="s">
        <v>147</v>
      </c>
      <c r="D822" t="s">
        <v>148</v>
      </c>
      <c r="E822" t="s">
        <v>65</v>
      </c>
      <c r="F822">
        <v>95901</v>
      </c>
      <c r="G822" t="s">
        <v>72</v>
      </c>
      <c r="H822">
        <v>3</v>
      </c>
    </row>
    <row r="823" spans="1:8" x14ac:dyDescent="0.3">
      <c r="A823" t="s">
        <v>231</v>
      </c>
      <c r="B823">
        <v>2020</v>
      </c>
      <c r="C823" t="s">
        <v>147</v>
      </c>
      <c r="D823" t="s">
        <v>148</v>
      </c>
      <c r="E823" t="s">
        <v>65</v>
      </c>
      <c r="F823">
        <v>95901</v>
      </c>
      <c r="G823" t="s">
        <v>72</v>
      </c>
      <c r="H823">
        <v>3</v>
      </c>
    </row>
    <row r="824" spans="1:8" x14ac:dyDescent="0.3">
      <c r="A824" t="s">
        <v>231</v>
      </c>
      <c r="B824">
        <v>2021</v>
      </c>
      <c r="C824" t="s">
        <v>147</v>
      </c>
      <c r="D824" t="s">
        <v>148</v>
      </c>
      <c r="E824" t="s">
        <v>65</v>
      </c>
      <c r="F824">
        <v>95901</v>
      </c>
      <c r="G824" t="s">
        <v>72</v>
      </c>
      <c r="H824">
        <v>4</v>
      </c>
    </row>
    <row r="825" spans="1:8" x14ac:dyDescent="0.3">
      <c r="A825" t="s">
        <v>232</v>
      </c>
      <c r="B825">
        <v>2014</v>
      </c>
      <c r="C825" t="s">
        <v>147</v>
      </c>
      <c r="D825" t="s">
        <v>148</v>
      </c>
      <c r="E825" t="s">
        <v>65</v>
      </c>
      <c r="F825">
        <v>73200</v>
      </c>
      <c r="G825" t="s">
        <v>72</v>
      </c>
      <c r="H825">
        <v>4</v>
      </c>
    </row>
    <row r="826" spans="1:8" x14ac:dyDescent="0.3">
      <c r="A826" t="s">
        <v>232</v>
      </c>
      <c r="B826">
        <v>2015</v>
      </c>
      <c r="C826" t="s">
        <v>147</v>
      </c>
      <c r="D826" t="s">
        <v>148</v>
      </c>
      <c r="E826" t="s">
        <v>65</v>
      </c>
      <c r="F826">
        <v>73200</v>
      </c>
      <c r="G826" t="s">
        <v>72</v>
      </c>
      <c r="H826">
        <v>7</v>
      </c>
    </row>
    <row r="827" spans="1:8" x14ac:dyDescent="0.3">
      <c r="A827" t="s">
        <v>232</v>
      </c>
      <c r="B827">
        <v>2016</v>
      </c>
      <c r="C827" t="s">
        <v>147</v>
      </c>
      <c r="D827" t="s">
        <v>148</v>
      </c>
      <c r="E827" t="s">
        <v>65</v>
      </c>
      <c r="F827">
        <v>73200</v>
      </c>
      <c r="G827" t="s">
        <v>72</v>
      </c>
      <c r="H827">
        <v>7</v>
      </c>
    </row>
    <row r="828" spans="1:8" x14ac:dyDescent="0.3">
      <c r="A828" t="s">
        <v>232</v>
      </c>
      <c r="B828">
        <v>2017</v>
      </c>
      <c r="C828" t="s">
        <v>147</v>
      </c>
      <c r="D828" t="s">
        <v>148</v>
      </c>
      <c r="E828" t="s">
        <v>65</v>
      </c>
      <c r="F828">
        <v>73200</v>
      </c>
      <c r="G828" t="s">
        <v>72</v>
      </c>
      <c r="H828">
        <v>2</v>
      </c>
    </row>
    <row r="829" spans="1:8" x14ac:dyDescent="0.3">
      <c r="A829" t="s">
        <v>232</v>
      </c>
      <c r="B829">
        <v>2018</v>
      </c>
      <c r="C829" t="s">
        <v>147</v>
      </c>
      <c r="D829" t="s">
        <v>148</v>
      </c>
      <c r="E829" t="s">
        <v>65</v>
      </c>
      <c r="F829">
        <v>73200</v>
      </c>
      <c r="G829" t="s">
        <v>72</v>
      </c>
      <c r="H829">
        <v>6</v>
      </c>
    </row>
    <row r="830" spans="1:8" x14ac:dyDescent="0.3">
      <c r="A830" t="s">
        <v>232</v>
      </c>
      <c r="B830">
        <v>2019</v>
      </c>
      <c r="C830" t="s">
        <v>147</v>
      </c>
      <c r="D830" t="s">
        <v>148</v>
      </c>
      <c r="E830" t="s">
        <v>65</v>
      </c>
      <c r="F830">
        <v>73200</v>
      </c>
      <c r="G830" t="s">
        <v>72</v>
      </c>
      <c r="H830">
        <v>2</v>
      </c>
    </row>
    <row r="831" spans="1:8" x14ac:dyDescent="0.3">
      <c r="A831" t="s">
        <v>232</v>
      </c>
      <c r="B831">
        <v>2020</v>
      </c>
      <c r="C831" t="s">
        <v>147</v>
      </c>
      <c r="D831" t="s">
        <v>148</v>
      </c>
      <c r="E831" t="s">
        <v>65</v>
      </c>
      <c r="F831">
        <v>73200</v>
      </c>
      <c r="G831" t="s">
        <v>72</v>
      </c>
      <c r="H831">
        <v>6</v>
      </c>
    </row>
    <row r="832" spans="1:8" x14ac:dyDescent="0.3">
      <c r="A832" t="s">
        <v>232</v>
      </c>
      <c r="B832">
        <v>2021</v>
      </c>
      <c r="C832" t="s">
        <v>147</v>
      </c>
      <c r="D832" t="s">
        <v>148</v>
      </c>
      <c r="E832" t="s">
        <v>65</v>
      </c>
      <c r="F832">
        <v>73200</v>
      </c>
      <c r="G832" t="s">
        <v>72</v>
      </c>
      <c r="H832">
        <v>7</v>
      </c>
    </row>
    <row r="833" spans="1:8" x14ac:dyDescent="0.3">
      <c r="A833" t="s">
        <v>233</v>
      </c>
      <c r="B833">
        <v>2014</v>
      </c>
      <c r="C833" t="s">
        <v>147</v>
      </c>
      <c r="D833" t="s">
        <v>148</v>
      </c>
      <c r="E833" t="s">
        <v>65</v>
      </c>
      <c r="F833">
        <v>88846</v>
      </c>
      <c r="G833" t="s">
        <v>72</v>
      </c>
      <c r="H833">
        <v>5</v>
      </c>
    </row>
    <row r="834" spans="1:8" x14ac:dyDescent="0.3">
      <c r="A834" t="s">
        <v>233</v>
      </c>
      <c r="B834">
        <v>2015</v>
      </c>
      <c r="C834" t="s">
        <v>147</v>
      </c>
      <c r="D834" t="s">
        <v>148</v>
      </c>
      <c r="E834" t="s">
        <v>65</v>
      </c>
      <c r="F834">
        <v>88846</v>
      </c>
      <c r="G834" t="s">
        <v>72</v>
      </c>
      <c r="H834">
        <v>7</v>
      </c>
    </row>
    <row r="835" spans="1:8" x14ac:dyDescent="0.3">
      <c r="A835" t="s">
        <v>233</v>
      </c>
      <c r="B835">
        <v>2016</v>
      </c>
      <c r="C835" t="s">
        <v>147</v>
      </c>
      <c r="D835" t="s">
        <v>148</v>
      </c>
      <c r="E835" t="s">
        <v>65</v>
      </c>
      <c r="F835">
        <v>88846</v>
      </c>
      <c r="G835" t="s">
        <v>72</v>
      </c>
      <c r="H835">
        <v>5</v>
      </c>
    </row>
    <row r="836" spans="1:8" x14ac:dyDescent="0.3">
      <c r="A836" t="s">
        <v>233</v>
      </c>
      <c r="B836">
        <v>2017</v>
      </c>
      <c r="C836" t="s">
        <v>147</v>
      </c>
      <c r="D836" t="s">
        <v>148</v>
      </c>
      <c r="E836" t="s">
        <v>65</v>
      </c>
      <c r="F836">
        <v>88846</v>
      </c>
      <c r="G836" t="s">
        <v>72</v>
      </c>
      <c r="H836">
        <v>2</v>
      </c>
    </row>
    <row r="837" spans="1:8" x14ac:dyDescent="0.3">
      <c r="A837" t="s">
        <v>233</v>
      </c>
      <c r="B837">
        <v>2018</v>
      </c>
      <c r="C837" t="s">
        <v>147</v>
      </c>
      <c r="D837" t="s">
        <v>148</v>
      </c>
      <c r="E837" t="s">
        <v>65</v>
      </c>
      <c r="F837">
        <v>88846</v>
      </c>
      <c r="G837" t="s">
        <v>72</v>
      </c>
      <c r="H837">
        <v>4</v>
      </c>
    </row>
    <row r="838" spans="1:8" x14ac:dyDescent="0.3">
      <c r="A838" t="s">
        <v>233</v>
      </c>
      <c r="B838">
        <v>2019</v>
      </c>
      <c r="C838" t="s">
        <v>147</v>
      </c>
      <c r="D838" t="s">
        <v>148</v>
      </c>
      <c r="E838" t="s">
        <v>65</v>
      </c>
      <c r="F838">
        <v>88846</v>
      </c>
      <c r="G838" t="s">
        <v>72</v>
      </c>
      <c r="H838">
        <v>4</v>
      </c>
    </row>
    <row r="839" spans="1:8" x14ac:dyDescent="0.3">
      <c r="A839" t="s">
        <v>233</v>
      </c>
      <c r="B839">
        <v>2020</v>
      </c>
      <c r="C839" t="s">
        <v>147</v>
      </c>
      <c r="D839" t="s">
        <v>148</v>
      </c>
      <c r="E839" t="s">
        <v>65</v>
      </c>
      <c r="F839">
        <v>88846</v>
      </c>
      <c r="G839" t="s">
        <v>72</v>
      </c>
      <c r="H839">
        <v>6</v>
      </c>
    </row>
    <row r="840" spans="1:8" x14ac:dyDescent="0.3">
      <c r="A840" t="s">
        <v>233</v>
      </c>
      <c r="B840">
        <v>2021</v>
      </c>
      <c r="C840" t="s">
        <v>147</v>
      </c>
      <c r="D840" t="s">
        <v>148</v>
      </c>
      <c r="E840" t="s">
        <v>65</v>
      </c>
      <c r="F840">
        <v>88846</v>
      </c>
      <c r="G840" t="s">
        <v>72</v>
      </c>
      <c r="H840">
        <v>3</v>
      </c>
    </row>
    <row r="841" spans="1:8" x14ac:dyDescent="0.3">
      <c r="A841" t="s">
        <v>234</v>
      </c>
      <c r="B841">
        <v>2014</v>
      </c>
      <c r="C841" t="s">
        <v>147</v>
      </c>
      <c r="D841" t="s">
        <v>148</v>
      </c>
      <c r="E841" t="s">
        <v>65</v>
      </c>
      <c r="F841">
        <v>99600</v>
      </c>
      <c r="G841" t="s">
        <v>72</v>
      </c>
      <c r="H841">
        <v>1</v>
      </c>
    </row>
    <row r="842" spans="1:8" x14ac:dyDescent="0.3">
      <c r="A842" t="s">
        <v>234</v>
      </c>
      <c r="B842">
        <v>2016</v>
      </c>
      <c r="C842" t="s">
        <v>147</v>
      </c>
      <c r="D842" t="s">
        <v>148</v>
      </c>
      <c r="E842" t="s">
        <v>65</v>
      </c>
      <c r="F842">
        <v>99600</v>
      </c>
      <c r="G842" t="s">
        <v>72</v>
      </c>
      <c r="H842">
        <v>3</v>
      </c>
    </row>
    <row r="843" spans="1:8" x14ac:dyDescent="0.3">
      <c r="A843" t="s">
        <v>234</v>
      </c>
      <c r="B843">
        <v>2017</v>
      </c>
      <c r="C843" t="s">
        <v>147</v>
      </c>
      <c r="D843" t="s">
        <v>148</v>
      </c>
      <c r="E843" t="s">
        <v>65</v>
      </c>
      <c r="F843">
        <v>99600</v>
      </c>
      <c r="G843" t="s">
        <v>72</v>
      </c>
      <c r="H843">
        <v>1</v>
      </c>
    </row>
    <row r="844" spans="1:8" x14ac:dyDescent="0.3">
      <c r="A844" t="s">
        <v>234</v>
      </c>
      <c r="B844">
        <v>2018</v>
      </c>
      <c r="C844" t="s">
        <v>147</v>
      </c>
      <c r="D844" t="s">
        <v>148</v>
      </c>
      <c r="E844" t="s">
        <v>65</v>
      </c>
      <c r="F844">
        <v>99600</v>
      </c>
      <c r="G844" t="s">
        <v>72</v>
      </c>
      <c r="H844">
        <v>2</v>
      </c>
    </row>
    <row r="845" spans="1:8" x14ac:dyDescent="0.3">
      <c r="A845" t="s">
        <v>234</v>
      </c>
      <c r="B845">
        <v>2019</v>
      </c>
      <c r="C845" t="s">
        <v>147</v>
      </c>
      <c r="D845" t="s">
        <v>148</v>
      </c>
      <c r="E845" t="s">
        <v>65</v>
      </c>
      <c r="F845">
        <v>99600</v>
      </c>
      <c r="G845" t="s">
        <v>72</v>
      </c>
      <c r="H845">
        <v>2</v>
      </c>
    </row>
    <row r="846" spans="1:8" x14ac:dyDescent="0.3">
      <c r="A846" t="s">
        <v>120</v>
      </c>
      <c r="B846">
        <v>2014</v>
      </c>
      <c r="C846" t="s">
        <v>147</v>
      </c>
      <c r="D846" t="s">
        <v>148</v>
      </c>
      <c r="E846" t="s">
        <v>65</v>
      </c>
      <c r="F846">
        <v>28000</v>
      </c>
      <c r="G846" t="s">
        <v>72</v>
      </c>
      <c r="H846">
        <v>22</v>
      </c>
    </row>
    <row r="847" spans="1:8" x14ac:dyDescent="0.3">
      <c r="A847" t="s">
        <v>120</v>
      </c>
      <c r="B847">
        <v>2015</v>
      </c>
      <c r="C847" t="s">
        <v>147</v>
      </c>
      <c r="D847" t="s">
        <v>148</v>
      </c>
      <c r="E847" t="s">
        <v>65</v>
      </c>
      <c r="F847">
        <v>28000</v>
      </c>
      <c r="G847" t="s">
        <v>72</v>
      </c>
      <c r="H847">
        <v>55</v>
      </c>
    </row>
    <row r="848" spans="1:8" x14ac:dyDescent="0.3">
      <c r="A848" t="s">
        <v>120</v>
      </c>
      <c r="B848">
        <v>2016</v>
      </c>
      <c r="C848" t="s">
        <v>147</v>
      </c>
      <c r="D848" t="s">
        <v>148</v>
      </c>
      <c r="E848" t="s">
        <v>65</v>
      </c>
      <c r="F848">
        <v>28000</v>
      </c>
      <c r="G848" t="s">
        <v>72</v>
      </c>
      <c r="H848">
        <v>55</v>
      </c>
    </row>
    <row r="849" spans="1:8" x14ac:dyDescent="0.3">
      <c r="A849" t="s">
        <v>120</v>
      </c>
      <c r="B849">
        <v>2017</v>
      </c>
      <c r="C849" t="s">
        <v>147</v>
      </c>
      <c r="D849" t="s">
        <v>148</v>
      </c>
      <c r="E849" t="s">
        <v>65</v>
      </c>
      <c r="F849">
        <v>28000</v>
      </c>
      <c r="G849" t="s">
        <v>72</v>
      </c>
      <c r="H849">
        <v>50</v>
      </c>
    </row>
    <row r="850" spans="1:8" x14ac:dyDescent="0.3">
      <c r="A850" t="s">
        <v>120</v>
      </c>
      <c r="B850">
        <v>2018</v>
      </c>
      <c r="C850" t="s">
        <v>147</v>
      </c>
      <c r="D850" t="s">
        <v>148</v>
      </c>
      <c r="E850" t="s">
        <v>65</v>
      </c>
      <c r="F850">
        <v>28000</v>
      </c>
      <c r="G850" t="s">
        <v>72</v>
      </c>
      <c r="H850">
        <v>38</v>
      </c>
    </row>
    <row r="851" spans="1:8" x14ac:dyDescent="0.3">
      <c r="A851" t="s">
        <v>120</v>
      </c>
      <c r="B851">
        <v>2019</v>
      </c>
      <c r="C851" t="s">
        <v>147</v>
      </c>
      <c r="D851" t="s">
        <v>148</v>
      </c>
      <c r="E851" t="s">
        <v>65</v>
      </c>
      <c r="F851">
        <v>28000</v>
      </c>
      <c r="G851" t="s">
        <v>72</v>
      </c>
      <c r="H851">
        <v>39</v>
      </c>
    </row>
    <row r="852" spans="1:8" x14ac:dyDescent="0.3">
      <c r="A852" t="s">
        <v>120</v>
      </c>
      <c r="B852">
        <v>2020</v>
      </c>
      <c r="C852" t="s">
        <v>147</v>
      </c>
      <c r="D852" t="s">
        <v>148</v>
      </c>
      <c r="E852" t="s">
        <v>65</v>
      </c>
      <c r="F852">
        <v>28000</v>
      </c>
      <c r="G852" t="s">
        <v>72</v>
      </c>
      <c r="H852">
        <v>19</v>
      </c>
    </row>
    <row r="853" spans="1:8" x14ac:dyDescent="0.3">
      <c r="A853" t="s">
        <v>120</v>
      </c>
      <c r="B853">
        <v>2021</v>
      </c>
      <c r="C853" t="s">
        <v>147</v>
      </c>
      <c r="D853" t="s">
        <v>148</v>
      </c>
      <c r="E853" t="s">
        <v>65</v>
      </c>
      <c r="F853">
        <v>28000</v>
      </c>
      <c r="G853" t="s">
        <v>72</v>
      </c>
      <c r="H853">
        <v>15</v>
      </c>
    </row>
    <row r="854" spans="1:8" x14ac:dyDescent="0.3">
      <c r="A854" t="s">
        <v>235</v>
      </c>
      <c r="B854">
        <v>2018</v>
      </c>
      <c r="C854" t="s">
        <v>147</v>
      </c>
      <c r="D854" t="s">
        <v>148</v>
      </c>
      <c r="E854" t="s">
        <v>65</v>
      </c>
      <c r="F854">
        <v>39500</v>
      </c>
      <c r="G854" t="s">
        <v>72</v>
      </c>
      <c r="H854">
        <v>3</v>
      </c>
    </row>
    <row r="855" spans="1:8" x14ac:dyDescent="0.3">
      <c r="A855" t="s">
        <v>235</v>
      </c>
      <c r="B855">
        <v>2019</v>
      </c>
      <c r="C855" t="s">
        <v>147</v>
      </c>
      <c r="D855" t="s">
        <v>148</v>
      </c>
      <c r="E855" t="s">
        <v>65</v>
      </c>
      <c r="F855">
        <v>39500</v>
      </c>
      <c r="G855" t="s">
        <v>72</v>
      </c>
      <c r="H855">
        <v>2</v>
      </c>
    </row>
    <row r="856" spans="1:8" x14ac:dyDescent="0.3">
      <c r="A856" t="s">
        <v>236</v>
      </c>
      <c r="B856">
        <v>2015</v>
      </c>
      <c r="C856" t="s">
        <v>147</v>
      </c>
      <c r="D856" t="s">
        <v>148</v>
      </c>
      <c r="E856" t="s">
        <v>65</v>
      </c>
      <c r="F856">
        <v>9963</v>
      </c>
      <c r="G856" t="s">
        <v>66</v>
      </c>
      <c r="H856">
        <v>1</v>
      </c>
    </row>
    <row r="857" spans="1:8" x14ac:dyDescent="0.3">
      <c r="A857" t="s">
        <v>236</v>
      </c>
      <c r="B857">
        <v>2016</v>
      </c>
      <c r="C857" t="s">
        <v>147</v>
      </c>
      <c r="D857" t="s">
        <v>148</v>
      </c>
      <c r="E857" t="s">
        <v>65</v>
      </c>
      <c r="F857">
        <v>9963</v>
      </c>
      <c r="G857" t="s">
        <v>66</v>
      </c>
      <c r="H857">
        <v>1</v>
      </c>
    </row>
    <row r="858" spans="1:8" x14ac:dyDescent="0.3">
      <c r="A858" t="s">
        <v>236</v>
      </c>
      <c r="B858">
        <v>2017</v>
      </c>
      <c r="C858" t="s">
        <v>147</v>
      </c>
      <c r="D858" t="s">
        <v>148</v>
      </c>
      <c r="E858" t="s">
        <v>65</v>
      </c>
      <c r="F858">
        <v>9963</v>
      </c>
      <c r="G858" t="s">
        <v>66</v>
      </c>
      <c r="H858">
        <v>3</v>
      </c>
    </row>
    <row r="859" spans="1:8" x14ac:dyDescent="0.3">
      <c r="A859" t="s">
        <v>236</v>
      </c>
      <c r="B859">
        <v>2018</v>
      </c>
      <c r="C859" t="s">
        <v>147</v>
      </c>
      <c r="D859" t="s">
        <v>148</v>
      </c>
      <c r="E859" t="s">
        <v>65</v>
      </c>
      <c r="F859">
        <v>9963</v>
      </c>
      <c r="G859" t="s">
        <v>66</v>
      </c>
      <c r="H859">
        <v>11</v>
      </c>
    </row>
    <row r="860" spans="1:8" x14ac:dyDescent="0.3">
      <c r="A860" t="s">
        <v>236</v>
      </c>
      <c r="B860">
        <v>2019</v>
      </c>
      <c r="C860" t="s">
        <v>147</v>
      </c>
      <c r="D860" t="s">
        <v>148</v>
      </c>
      <c r="E860" t="s">
        <v>65</v>
      </c>
      <c r="F860">
        <v>9963</v>
      </c>
      <c r="G860" t="s">
        <v>66</v>
      </c>
      <c r="H860">
        <v>17</v>
      </c>
    </row>
    <row r="861" spans="1:8" x14ac:dyDescent="0.3">
      <c r="A861" t="s">
        <v>236</v>
      </c>
      <c r="B861">
        <v>2020</v>
      </c>
      <c r="C861" t="s">
        <v>147</v>
      </c>
      <c r="D861" t="s">
        <v>148</v>
      </c>
      <c r="E861" t="s">
        <v>65</v>
      </c>
      <c r="F861">
        <v>9963</v>
      </c>
      <c r="G861" t="s">
        <v>66</v>
      </c>
      <c r="H861">
        <v>23</v>
      </c>
    </row>
    <row r="862" spans="1:8" x14ac:dyDescent="0.3">
      <c r="A862" t="s">
        <v>236</v>
      </c>
      <c r="B862">
        <v>2021</v>
      </c>
      <c r="C862" t="s">
        <v>147</v>
      </c>
      <c r="D862" t="s">
        <v>148</v>
      </c>
      <c r="E862" t="s">
        <v>65</v>
      </c>
      <c r="F862">
        <v>9963</v>
      </c>
      <c r="G862" t="s">
        <v>66</v>
      </c>
      <c r="H862">
        <v>38</v>
      </c>
    </row>
    <row r="863" spans="1:8" x14ac:dyDescent="0.3">
      <c r="A863" t="s">
        <v>237</v>
      </c>
      <c r="B863">
        <v>2015</v>
      </c>
      <c r="C863" t="s">
        <v>147</v>
      </c>
      <c r="D863" t="s">
        <v>148</v>
      </c>
      <c r="E863" t="s">
        <v>65</v>
      </c>
      <c r="F863">
        <v>34524</v>
      </c>
      <c r="G863" t="s">
        <v>72</v>
      </c>
      <c r="H863">
        <v>4</v>
      </c>
    </row>
    <row r="864" spans="1:8" x14ac:dyDescent="0.3">
      <c r="A864" t="s">
        <v>237</v>
      </c>
      <c r="B864">
        <v>2016</v>
      </c>
      <c r="C864" t="s">
        <v>147</v>
      </c>
      <c r="D864" t="s">
        <v>148</v>
      </c>
      <c r="E864" t="s">
        <v>65</v>
      </c>
      <c r="F864">
        <v>34524</v>
      </c>
      <c r="G864" t="s">
        <v>72</v>
      </c>
      <c r="H864">
        <v>3</v>
      </c>
    </row>
    <row r="865" spans="1:8" x14ac:dyDescent="0.3">
      <c r="A865" t="s">
        <v>237</v>
      </c>
      <c r="B865">
        <v>2018</v>
      </c>
      <c r="C865" t="s">
        <v>147</v>
      </c>
      <c r="D865" t="s">
        <v>148</v>
      </c>
      <c r="E865" t="s">
        <v>65</v>
      </c>
      <c r="F865">
        <v>34524</v>
      </c>
      <c r="G865" t="s">
        <v>72</v>
      </c>
      <c r="H865">
        <v>2</v>
      </c>
    </row>
    <row r="866" spans="1:8" x14ac:dyDescent="0.3">
      <c r="A866" t="s">
        <v>238</v>
      </c>
      <c r="B866">
        <v>2016</v>
      </c>
      <c r="C866" t="s">
        <v>147</v>
      </c>
      <c r="D866" t="s">
        <v>148</v>
      </c>
      <c r="E866" t="s">
        <v>65</v>
      </c>
      <c r="F866">
        <v>322500</v>
      </c>
      <c r="G866" t="s">
        <v>83</v>
      </c>
      <c r="H866">
        <v>1</v>
      </c>
    </row>
    <row r="867" spans="1:8" x14ac:dyDescent="0.3">
      <c r="A867" t="s">
        <v>238</v>
      </c>
      <c r="B867">
        <v>2019</v>
      </c>
      <c r="C867" t="s">
        <v>147</v>
      </c>
      <c r="D867" t="s">
        <v>148</v>
      </c>
      <c r="E867" t="s">
        <v>65</v>
      </c>
      <c r="F867">
        <v>322500</v>
      </c>
      <c r="G867" t="s">
        <v>83</v>
      </c>
      <c r="H867">
        <v>1</v>
      </c>
    </row>
    <row r="868" spans="1:8" x14ac:dyDescent="0.3">
      <c r="A868" t="s">
        <v>239</v>
      </c>
      <c r="B868">
        <v>2016</v>
      </c>
      <c r="C868" t="s">
        <v>147</v>
      </c>
      <c r="D868" t="s">
        <v>148</v>
      </c>
      <c r="E868" t="s">
        <v>65</v>
      </c>
      <c r="F868">
        <v>2200</v>
      </c>
      <c r="G868" t="s">
        <v>66</v>
      </c>
      <c r="H868">
        <v>5</v>
      </c>
    </row>
    <row r="869" spans="1:8" x14ac:dyDescent="0.3">
      <c r="A869" t="s">
        <v>239</v>
      </c>
      <c r="B869">
        <v>2017</v>
      </c>
      <c r="C869" t="s">
        <v>147</v>
      </c>
      <c r="D869" t="s">
        <v>148</v>
      </c>
      <c r="E869" t="s">
        <v>65</v>
      </c>
      <c r="F869">
        <v>2200</v>
      </c>
      <c r="G869" t="s">
        <v>66</v>
      </c>
      <c r="H869">
        <v>1</v>
      </c>
    </row>
    <row r="870" spans="1:8" x14ac:dyDescent="0.3">
      <c r="A870" t="s">
        <v>239</v>
      </c>
      <c r="B870">
        <v>2018</v>
      </c>
      <c r="C870" t="s">
        <v>147</v>
      </c>
      <c r="D870" t="s">
        <v>148</v>
      </c>
      <c r="E870" t="s">
        <v>65</v>
      </c>
      <c r="F870">
        <v>2200</v>
      </c>
      <c r="G870" t="s">
        <v>66</v>
      </c>
      <c r="H870">
        <v>1</v>
      </c>
    </row>
    <row r="871" spans="1:8" x14ac:dyDescent="0.3">
      <c r="A871" t="s">
        <v>240</v>
      </c>
      <c r="B871">
        <v>2018</v>
      </c>
      <c r="C871" t="s">
        <v>147</v>
      </c>
      <c r="D871" t="s">
        <v>148</v>
      </c>
      <c r="E871" t="s">
        <v>65</v>
      </c>
      <c r="F871">
        <v>1425</v>
      </c>
      <c r="G871" t="s">
        <v>66</v>
      </c>
      <c r="H871">
        <v>2</v>
      </c>
    </row>
    <row r="872" spans="1:8" x14ac:dyDescent="0.3">
      <c r="A872" t="s">
        <v>240</v>
      </c>
      <c r="B872">
        <v>2021</v>
      </c>
      <c r="C872" t="s">
        <v>147</v>
      </c>
      <c r="D872" t="s">
        <v>148</v>
      </c>
      <c r="E872" t="s">
        <v>65</v>
      </c>
      <c r="F872">
        <v>1425</v>
      </c>
      <c r="G872" t="s">
        <v>66</v>
      </c>
      <c r="H872">
        <v>1</v>
      </c>
    </row>
    <row r="873" spans="1:8" x14ac:dyDescent="0.3">
      <c r="A873" t="s">
        <v>241</v>
      </c>
      <c r="B873">
        <v>2014</v>
      </c>
      <c r="C873" t="s">
        <v>147</v>
      </c>
      <c r="D873" t="s">
        <v>148</v>
      </c>
      <c r="E873" t="s">
        <v>65</v>
      </c>
      <c r="F873">
        <v>17698</v>
      </c>
      <c r="G873" t="s">
        <v>72</v>
      </c>
      <c r="H873">
        <v>14</v>
      </c>
    </row>
    <row r="874" spans="1:8" x14ac:dyDescent="0.3">
      <c r="A874" t="s">
        <v>241</v>
      </c>
      <c r="B874">
        <v>2015</v>
      </c>
      <c r="C874" t="s">
        <v>147</v>
      </c>
      <c r="D874" t="s">
        <v>148</v>
      </c>
      <c r="E874" t="s">
        <v>65</v>
      </c>
      <c r="F874">
        <v>17698</v>
      </c>
      <c r="G874" t="s">
        <v>72</v>
      </c>
      <c r="H874">
        <v>18</v>
      </c>
    </row>
    <row r="875" spans="1:8" x14ac:dyDescent="0.3">
      <c r="A875" t="s">
        <v>241</v>
      </c>
      <c r="B875">
        <v>2016</v>
      </c>
      <c r="C875" t="s">
        <v>147</v>
      </c>
      <c r="D875" t="s">
        <v>148</v>
      </c>
      <c r="E875" t="s">
        <v>65</v>
      </c>
      <c r="F875">
        <v>17698</v>
      </c>
      <c r="G875" t="s">
        <v>72</v>
      </c>
      <c r="H875">
        <v>27</v>
      </c>
    </row>
    <row r="876" spans="1:8" x14ac:dyDescent="0.3">
      <c r="A876" t="s">
        <v>241</v>
      </c>
      <c r="B876">
        <v>2017</v>
      </c>
      <c r="C876" t="s">
        <v>147</v>
      </c>
      <c r="D876" t="s">
        <v>148</v>
      </c>
      <c r="E876" t="s">
        <v>65</v>
      </c>
      <c r="F876">
        <v>17698</v>
      </c>
      <c r="G876" t="s">
        <v>72</v>
      </c>
      <c r="H876">
        <v>24</v>
      </c>
    </row>
    <row r="877" spans="1:8" x14ac:dyDescent="0.3">
      <c r="A877" t="s">
        <v>241</v>
      </c>
      <c r="B877">
        <v>2018</v>
      </c>
      <c r="C877" t="s">
        <v>147</v>
      </c>
      <c r="D877" t="s">
        <v>148</v>
      </c>
      <c r="E877" t="s">
        <v>65</v>
      </c>
      <c r="F877">
        <v>17698</v>
      </c>
      <c r="G877" t="s">
        <v>72</v>
      </c>
      <c r="H877">
        <v>7</v>
      </c>
    </row>
    <row r="878" spans="1:8" x14ac:dyDescent="0.3">
      <c r="A878" t="s">
        <v>241</v>
      </c>
      <c r="B878">
        <v>2019</v>
      </c>
      <c r="C878" t="s">
        <v>147</v>
      </c>
      <c r="D878" t="s">
        <v>148</v>
      </c>
      <c r="E878" t="s">
        <v>65</v>
      </c>
      <c r="F878">
        <v>17698</v>
      </c>
      <c r="G878" t="s">
        <v>72</v>
      </c>
      <c r="H878">
        <v>15</v>
      </c>
    </row>
    <row r="879" spans="1:8" x14ac:dyDescent="0.3">
      <c r="A879" t="s">
        <v>241</v>
      </c>
      <c r="B879">
        <v>2020</v>
      </c>
      <c r="C879" t="s">
        <v>147</v>
      </c>
      <c r="D879" t="s">
        <v>148</v>
      </c>
      <c r="E879" t="s">
        <v>65</v>
      </c>
      <c r="F879">
        <v>17698</v>
      </c>
      <c r="G879" t="s">
        <v>72</v>
      </c>
      <c r="H879">
        <v>6</v>
      </c>
    </row>
    <row r="880" spans="1:8" x14ac:dyDescent="0.3">
      <c r="A880" t="s">
        <v>241</v>
      </c>
      <c r="B880">
        <v>2021</v>
      </c>
      <c r="C880" t="s">
        <v>147</v>
      </c>
      <c r="D880" t="s">
        <v>148</v>
      </c>
      <c r="E880" t="s">
        <v>65</v>
      </c>
      <c r="F880">
        <v>17698</v>
      </c>
      <c r="G880" t="s">
        <v>72</v>
      </c>
      <c r="H880">
        <v>5</v>
      </c>
    </row>
    <row r="881" spans="1:8" x14ac:dyDescent="0.3">
      <c r="A881" t="s">
        <v>242</v>
      </c>
      <c r="B881">
        <v>2014</v>
      </c>
      <c r="C881" t="s">
        <v>147</v>
      </c>
      <c r="D881" t="s">
        <v>148</v>
      </c>
      <c r="E881" t="s">
        <v>65</v>
      </c>
      <c r="F881">
        <v>18000</v>
      </c>
      <c r="G881" t="s">
        <v>72</v>
      </c>
      <c r="H881">
        <v>65</v>
      </c>
    </row>
    <row r="882" spans="1:8" x14ac:dyDescent="0.3">
      <c r="A882" t="s">
        <v>242</v>
      </c>
      <c r="B882">
        <v>2015</v>
      </c>
      <c r="C882" t="s">
        <v>147</v>
      </c>
      <c r="D882" t="s">
        <v>148</v>
      </c>
      <c r="E882" t="s">
        <v>65</v>
      </c>
      <c r="F882">
        <v>18000</v>
      </c>
      <c r="G882" t="s">
        <v>72</v>
      </c>
      <c r="H882">
        <v>98</v>
      </c>
    </row>
    <row r="883" spans="1:8" x14ac:dyDescent="0.3">
      <c r="A883" t="s">
        <v>242</v>
      </c>
      <c r="B883">
        <v>2016</v>
      </c>
      <c r="C883" t="s">
        <v>147</v>
      </c>
      <c r="D883" t="s">
        <v>148</v>
      </c>
      <c r="E883" t="s">
        <v>65</v>
      </c>
      <c r="F883">
        <v>18000</v>
      </c>
      <c r="G883" t="s">
        <v>72</v>
      </c>
      <c r="H883">
        <v>59</v>
      </c>
    </row>
    <row r="884" spans="1:8" x14ac:dyDescent="0.3">
      <c r="A884" t="s">
        <v>242</v>
      </c>
      <c r="B884">
        <v>2017</v>
      </c>
      <c r="C884" t="s">
        <v>147</v>
      </c>
      <c r="D884" t="s">
        <v>148</v>
      </c>
      <c r="E884" t="s">
        <v>65</v>
      </c>
      <c r="F884">
        <v>18000</v>
      </c>
      <c r="G884" t="s">
        <v>72</v>
      </c>
      <c r="H884">
        <v>62</v>
      </c>
    </row>
    <row r="885" spans="1:8" x14ac:dyDescent="0.3">
      <c r="A885" t="s">
        <v>242</v>
      </c>
      <c r="B885">
        <v>2018</v>
      </c>
      <c r="C885" t="s">
        <v>147</v>
      </c>
      <c r="D885" t="s">
        <v>148</v>
      </c>
      <c r="E885" t="s">
        <v>65</v>
      </c>
      <c r="F885">
        <v>18000</v>
      </c>
      <c r="G885" t="s">
        <v>72</v>
      </c>
      <c r="H885">
        <v>35</v>
      </c>
    </row>
    <row r="886" spans="1:8" x14ac:dyDescent="0.3">
      <c r="A886" t="s">
        <v>242</v>
      </c>
      <c r="B886">
        <v>2019</v>
      </c>
      <c r="C886" t="s">
        <v>147</v>
      </c>
      <c r="D886" t="s">
        <v>148</v>
      </c>
      <c r="E886" t="s">
        <v>65</v>
      </c>
      <c r="F886">
        <v>18000</v>
      </c>
      <c r="G886" t="s">
        <v>72</v>
      </c>
      <c r="H886">
        <v>29</v>
      </c>
    </row>
    <row r="887" spans="1:8" x14ac:dyDescent="0.3">
      <c r="A887" t="s">
        <v>242</v>
      </c>
      <c r="B887">
        <v>2020</v>
      </c>
      <c r="C887" t="s">
        <v>147</v>
      </c>
      <c r="D887" t="s">
        <v>148</v>
      </c>
      <c r="E887" t="s">
        <v>65</v>
      </c>
      <c r="F887">
        <v>18000</v>
      </c>
      <c r="G887" t="s">
        <v>72</v>
      </c>
      <c r="H887">
        <v>14</v>
      </c>
    </row>
    <row r="888" spans="1:8" x14ac:dyDescent="0.3">
      <c r="A888" t="s">
        <v>242</v>
      </c>
      <c r="B888">
        <v>2021</v>
      </c>
      <c r="C888" t="s">
        <v>147</v>
      </c>
      <c r="D888" t="s">
        <v>148</v>
      </c>
      <c r="E888" t="s">
        <v>65</v>
      </c>
      <c r="F888">
        <v>18000</v>
      </c>
      <c r="G888" t="s">
        <v>72</v>
      </c>
      <c r="H888">
        <v>26</v>
      </c>
    </row>
    <row r="889" spans="1:8" x14ac:dyDescent="0.3">
      <c r="A889" t="s">
        <v>121</v>
      </c>
      <c r="B889">
        <v>2014</v>
      </c>
      <c r="C889" t="s">
        <v>147</v>
      </c>
      <c r="D889" t="s">
        <v>148</v>
      </c>
      <c r="E889" t="s">
        <v>65</v>
      </c>
      <c r="F889">
        <v>21500</v>
      </c>
      <c r="G889" t="s">
        <v>72</v>
      </c>
      <c r="H889">
        <v>51</v>
      </c>
    </row>
    <row r="890" spans="1:8" x14ac:dyDescent="0.3">
      <c r="A890" t="s">
        <v>121</v>
      </c>
      <c r="B890">
        <v>2015</v>
      </c>
      <c r="C890" t="s">
        <v>147</v>
      </c>
      <c r="D890" t="s">
        <v>148</v>
      </c>
      <c r="E890" t="s">
        <v>65</v>
      </c>
      <c r="F890">
        <v>21500</v>
      </c>
      <c r="G890" t="s">
        <v>72</v>
      </c>
      <c r="H890">
        <v>113</v>
      </c>
    </row>
    <row r="891" spans="1:8" x14ac:dyDescent="0.3">
      <c r="A891" t="s">
        <v>121</v>
      </c>
      <c r="B891">
        <v>2016</v>
      </c>
      <c r="C891" t="s">
        <v>147</v>
      </c>
      <c r="D891" t="s">
        <v>148</v>
      </c>
      <c r="E891" t="s">
        <v>65</v>
      </c>
      <c r="F891">
        <v>21500</v>
      </c>
      <c r="G891" t="s">
        <v>72</v>
      </c>
      <c r="H891">
        <v>77</v>
      </c>
    </row>
    <row r="892" spans="1:8" x14ac:dyDescent="0.3">
      <c r="A892" t="s">
        <v>121</v>
      </c>
      <c r="B892">
        <v>2017</v>
      </c>
      <c r="C892" t="s">
        <v>147</v>
      </c>
      <c r="D892" t="s">
        <v>148</v>
      </c>
      <c r="E892" t="s">
        <v>65</v>
      </c>
      <c r="F892">
        <v>21500</v>
      </c>
      <c r="G892" t="s">
        <v>72</v>
      </c>
      <c r="H892">
        <v>110</v>
      </c>
    </row>
    <row r="893" spans="1:8" x14ac:dyDescent="0.3">
      <c r="A893" t="s">
        <v>121</v>
      </c>
      <c r="B893">
        <v>2018</v>
      </c>
      <c r="C893" t="s">
        <v>147</v>
      </c>
      <c r="D893" t="s">
        <v>148</v>
      </c>
      <c r="E893" t="s">
        <v>65</v>
      </c>
      <c r="F893">
        <v>21500</v>
      </c>
      <c r="G893" t="s">
        <v>72</v>
      </c>
      <c r="H893">
        <v>82</v>
      </c>
    </row>
    <row r="894" spans="1:8" x14ac:dyDescent="0.3">
      <c r="A894" t="s">
        <v>121</v>
      </c>
      <c r="B894">
        <v>2019</v>
      </c>
      <c r="C894" t="s">
        <v>147</v>
      </c>
      <c r="D894" t="s">
        <v>148</v>
      </c>
      <c r="E894" t="s">
        <v>65</v>
      </c>
      <c r="F894">
        <v>21500</v>
      </c>
      <c r="G894" t="s">
        <v>72</v>
      </c>
      <c r="H894">
        <v>77</v>
      </c>
    </row>
    <row r="895" spans="1:8" x14ac:dyDescent="0.3">
      <c r="A895" t="s">
        <v>121</v>
      </c>
      <c r="B895">
        <v>2020</v>
      </c>
      <c r="C895" t="s">
        <v>147</v>
      </c>
      <c r="D895" t="s">
        <v>148</v>
      </c>
      <c r="E895" t="s">
        <v>65</v>
      </c>
      <c r="F895">
        <v>21500</v>
      </c>
      <c r="G895" t="s">
        <v>72</v>
      </c>
      <c r="H895">
        <v>57</v>
      </c>
    </row>
    <row r="896" spans="1:8" x14ac:dyDescent="0.3">
      <c r="A896" t="s">
        <v>121</v>
      </c>
      <c r="B896">
        <v>2021</v>
      </c>
      <c r="C896" t="s">
        <v>147</v>
      </c>
      <c r="D896" t="s">
        <v>148</v>
      </c>
      <c r="E896" t="s">
        <v>65</v>
      </c>
      <c r="F896">
        <v>21500</v>
      </c>
      <c r="G896" t="s">
        <v>72</v>
      </c>
      <c r="H896">
        <v>47</v>
      </c>
    </row>
    <row r="897" spans="1:8" x14ac:dyDescent="0.3">
      <c r="A897" t="s">
        <v>243</v>
      </c>
      <c r="B897">
        <v>2014</v>
      </c>
      <c r="C897" t="s">
        <v>147</v>
      </c>
      <c r="D897" t="s">
        <v>148</v>
      </c>
      <c r="E897" t="s">
        <v>65</v>
      </c>
      <c r="F897">
        <v>23500</v>
      </c>
      <c r="G897" t="s">
        <v>72</v>
      </c>
      <c r="H897">
        <v>22</v>
      </c>
    </row>
    <row r="898" spans="1:8" x14ac:dyDescent="0.3">
      <c r="A898" t="s">
        <v>243</v>
      </c>
      <c r="B898">
        <v>2015</v>
      </c>
      <c r="C898" t="s">
        <v>147</v>
      </c>
      <c r="D898" t="s">
        <v>148</v>
      </c>
      <c r="E898" t="s">
        <v>65</v>
      </c>
      <c r="F898">
        <v>23500</v>
      </c>
      <c r="G898" t="s">
        <v>72</v>
      </c>
      <c r="H898">
        <v>23</v>
      </c>
    </row>
    <row r="899" spans="1:8" x14ac:dyDescent="0.3">
      <c r="A899" t="s">
        <v>243</v>
      </c>
      <c r="B899">
        <v>2016</v>
      </c>
      <c r="C899" t="s">
        <v>147</v>
      </c>
      <c r="D899" t="s">
        <v>148</v>
      </c>
      <c r="E899" t="s">
        <v>65</v>
      </c>
      <c r="F899">
        <v>23500</v>
      </c>
      <c r="G899" t="s">
        <v>72</v>
      </c>
      <c r="H899">
        <v>29</v>
      </c>
    </row>
    <row r="900" spans="1:8" x14ac:dyDescent="0.3">
      <c r="A900" t="s">
        <v>243</v>
      </c>
      <c r="B900">
        <v>2017</v>
      </c>
      <c r="C900" t="s">
        <v>147</v>
      </c>
      <c r="D900" t="s">
        <v>148</v>
      </c>
      <c r="E900" t="s">
        <v>65</v>
      </c>
      <c r="F900">
        <v>23500</v>
      </c>
      <c r="G900" t="s">
        <v>72</v>
      </c>
      <c r="H900">
        <v>17</v>
      </c>
    </row>
    <row r="901" spans="1:8" x14ac:dyDescent="0.3">
      <c r="A901" t="s">
        <v>243</v>
      </c>
      <c r="B901">
        <v>2018</v>
      </c>
      <c r="C901" t="s">
        <v>147</v>
      </c>
      <c r="D901" t="s">
        <v>148</v>
      </c>
      <c r="E901" t="s">
        <v>65</v>
      </c>
      <c r="F901">
        <v>23500</v>
      </c>
      <c r="G901" t="s">
        <v>72</v>
      </c>
      <c r="H901">
        <v>27</v>
      </c>
    </row>
    <row r="902" spans="1:8" x14ac:dyDescent="0.3">
      <c r="A902" t="s">
        <v>243</v>
      </c>
      <c r="B902">
        <v>2019</v>
      </c>
      <c r="C902" t="s">
        <v>147</v>
      </c>
      <c r="D902" t="s">
        <v>148</v>
      </c>
      <c r="E902" t="s">
        <v>65</v>
      </c>
      <c r="F902">
        <v>23500</v>
      </c>
      <c r="G902" t="s">
        <v>72</v>
      </c>
      <c r="H902">
        <v>15</v>
      </c>
    </row>
    <row r="903" spans="1:8" x14ac:dyDescent="0.3">
      <c r="A903" t="s">
        <v>243</v>
      </c>
      <c r="B903">
        <v>2020</v>
      </c>
      <c r="C903" t="s">
        <v>147</v>
      </c>
      <c r="D903" t="s">
        <v>148</v>
      </c>
      <c r="E903" t="s">
        <v>65</v>
      </c>
      <c r="F903">
        <v>23500</v>
      </c>
      <c r="G903" t="s">
        <v>72</v>
      </c>
      <c r="H903">
        <v>20</v>
      </c>
    </row>
    <row r="904" spans="1:8" x14ac:dyDescent="0.3">
      <c r="A904" t="s">
        <v>243</v>
      </c>
      <c r="B904">
        <v>2021</v>
      </c>
      <c r="C904" t="s">
        <v>147</v>
      </c>
      <c r="D904" t="s">
        <v>148</v>
      </c>
      <c r="E904" t="s">
        <v>65</v>
      </c>
      <c r="F904">
        <v>23500</v>
      </c>
      <c r="G904" t="s">
        <v>72</v>
      </c>
      <c r="H904">
        <v>14</v>
      </c>
    </row>
    <row r="905" spans="1:8" x14ac:dyDescent="0.3">
      <c r="A905" t="s">
        <v>122</v>
      </c>
      <c r="B905">
        <v>2014</v>
      </c>
      <c r="C905" t="s">
        <v>147</v>
      </c>
      <c r="D905" t="s">
        <v>148</v>
      </c>
      <c r="E905" t="s">
        <v>65</v>
      </c>
      <c r="F905">
        <v>3086</v>
      </c>
      <c r="G905" t="s">
        <v>66</v>
      </c>
      <c r="H905">
        <v>4</v>
      </c>
    </row>
    <row r="906" spans="1:8" x14ac:dyDescent="0.3">
      <c r="A906" t="s">
        <v>122</v>
      </c>
      <c r="B906">
        <v>2015</v>
      </c>
      <c r="C906" t="s">
        <v>147</v>
      </c>
      <c r="D906" t="s">
        <v>148</v>
      </c>
      <c r="E906" t="s">
        <v>65</v>
      </c>
      <c r="F906">
        <v>3086</v>
      </c>
      <c r="G906" t="s">
        <v>66</v>
      </c>
      <c r="H906">
        <v>4</v>
      </c>
    </row>
    <row r="907" spans="1:8" x14ac:dyDescent="0.3">
      <c r="A907" t="s">
        <v>122</v>
      </c>
      <c r="B907">
        <v>2016</v>
      </c>
      <c r="C907" t="s">
        <v>147</v>
      </c>
      <c r="D907" t="s">
        <v>148</v>
      </c>
      <c r="E907" t="s">
        <v>65</v>
      </c>
      <c r="F907">
        <v>3086</v>
      </c>
      <c r="G907" t="s">
        <v>66</v>
      </c>
      <c r="H907">
        <v>5</v>
      </c>
    </row>
    <row r="908" spans="1:8" x14ac:dyDescent="0.3">
      <c r="A908" t="s">
        <v>122</v>
      </c>
      <c r="B908">
        <v>2017</v>
      </c>
      <c r="C908" t="s">
        <v>147</v>
      </c>
      <c r="D908" t="s">
        <v>148</v>
      </c>
      <c r="E908" t="s">
        <v>65</v>
      </c>
      <c r="F908">
        <v>3086</v>
      </c>
      <c r="G908" t="s">
        <v>66</v>
      </c>
      <c r="H908">
        <v>4</v>
      </c>
    </row>
    <row r="909" spans="1:8" x14ac:dyDescent="0.3">
      <c r="A909" t="s">
        <v>122</v>
      </c>
      <c r="B909">
        <v>2018</v>
      </c>
      <c r="C909" t="s">
        <v>147</v>
      </c>
      <c r="D909" t="s">
        <v>148</v>
      </c>
      <c r="E909" t="s">
        <v>65</v>
      </c>
      <c r="F909">
        <v>3086</v>
      </c>
      <c r="G909" t="s">
        <v>66</v>
      </c>
      <c r="H909">
        <v>4</v>
      </c>
    </row>
    <row r="910" spans="1:8" x14ac:dyDescent="0.3">
      <c r="A910" t="s">
        <v>122</v>
      </c>
      <c r="B910">
        <v>2019</v>
      </c>
      <c r="C910" t="s">
        <v>147</v>
      </c>
      <c r="D910" t="s">
        <v>148</v>
      </c>
      <c r="E910" t="s">
        <v>65</v>
      </c>
      <c r="F910">
        <v>3086</v>
      </c>
      <c r="G910" t="s">
        <v>66</v>
      </c>
      <c r="H910">
        <v>5</v>
      </c>
    </row>
    <row r="911" spans="1:8" x14ac:dyDescent="0.3">
      <c r="A911" t="s">
        <v>122</v>
      </c>
      <c r="B911">
        <v>2020</v>
      </c>
      <c r="C911" t="s">
        <v>147</v>
      </c>
      <c r="D911" t="s">
        <v>148</v>
      </c>
      <c r="E911" t="s">
        <v>65</v>
      </c>
      <c r="F911">
        <v>3086</v>
      </c>
      <c r="G911" t="s">
        <v>66</v>
      </c>
      <c r="H911">
        <v>4</v>
      </c>
    </row>
    <row r="912" spans="1:8" x14ac:dyDescent="0.3">
      <c r="A912" t="s">
        <v>122</v>
      </c>
      <c r="B912">
        <v>2021</v>
      </c>
      <c r="C912" t="s">
        <v>147</v>
      </c>
      <c r="D912" t="s">
        <v>148</v>
      </c>
      <c r="E912" t="s">
        <v>65</v>
      </c>
      <c r="F912">
        <v>3086</v>
      </c>
      <c r="G912" t="s">
        <v>66</v>
      </c>
      <c r="H912">
        <v>4</v>
      </c>
    </row>
    <row r="913" spans="1:8" x14ac:dyDescent="0.3">
      <c r="A913" t="s">
        <v>123</v>
      </c>
      <c r="B913">
        <v>2014</v>
      </c>
      <c r="C913" t="s">
        <v>147</v>
      </c>
      <c r="D913" t="s">
        <v>148</v>
      </c>
      <c r="E913" t="s">
        <v>65</v>
      </c>
      <c r="F913">
        <v>2579</v>
      </c>
      <c r="G913" t="s">
        <v>66</v>
      </c>
      <c r="H913">
        <v>16</v>
      </c>
    </row>
    <row r="914" spans="1:8" x14ac:dyDescent="0.3">
      <c r="A914" t="s">
        <v>123</v>
      </c>
      <c r="B914">
        <v>2015</v>
      </c>
      <c r="C914" t="s">
        <v>147</v>
      </c>
      <c r="D914" t="s">
        <v>148</v>
      </c>
      <c r="E914" t="s">
        <v>65</v>
      </c>
      <c r="F914">
        <v>2579</v>
      </c>
      <c r="G914" t="s">
        <v>66</v>
      </c>
      <c r="H914">
        <v>16</v>
      </c>
    </row>
    <row r="915" spans="1:8" x14ac:dyDescent="0.3">
      <c r="A915" t="s">
        <v>123</v>
      </c>
      <c r="B915">
        <v>2016</v>
      </c>
      <c r="C915" t="s">
        <v>147</v>
      </c>
      <c r="D915" t="s">
        <v>148</v>
      </c>
      <c r="E915" t="s">
        <v>65</v>
      </c>
      <c r="F915">
        <v>2579</v>
      </c>
      <c r="G915" t="s">
        <v>66</v>
      </c>
      <c r="H915">
        <v>17</v>
      </c>
    </row>
    <row r="916" spans="1:8" x14ac:dyDescent="0.3">
      <c r="A916" t="s">
        <v>123</v>
      </c>
      <c r="B916">
        <v>2017</v>
      </c>
      <c r="C916" t="s">
        <v>147</v>
      </c>
      <c r="D916" t="s">
        <v>148</v>
      </c>
      <c r="E916" t="s">
        <v>65</v>
      </c>
      <c r="F916">
        <v>2579</v>
      </c>
      <c r="G916" t="s">
        <v>66</v>
      </c>
      <c r="H916">
        <v>40</v>
      </c>
    </row>
    <row r="917" spans="1:8" x14ac:dyDescent="0.3">
      <c r="A917" t="s">
        <v>123</v>
      </c>
      <c r="B917">
        <v>2018</v>
      </c>
      <c r="C917" t="s">
        <v>147</v>
      </c>
      <c r="D917" t="s">
        <v>148</v>
      </c>
      <c r="E917" t="s">
        <v>65</v>
      </c>
      <c r="F917">
        <v>2579</v>
      </c>
      <c r="G917" t="s">
        <v>66</v>
      </c>
      <c r="H917">
        <v>50</v>
      </c>
    </row>
    <row r="918" spans="1:8" x14ac:dyDescent="0.3">
      <c r="A918" t="s">
        <v>123</v>
      </c>
      <c r="B918">
        <v>2019</v>
      </c>
      <c r="C918" t="s">
        <v>147</v>
      </c>
      <c r="D918" t="s">
        <v>148</v>
      </c>
      <c r="E918" t="s">
        <v>65</v>
      </c>
      <c r="F918">
        <v>2579</v>
      </c>
      <c r="G918" t="s">
        <v>66</v>
      </c>
      <c r="H918">
        <v>43</v>
      </c>
    </row>
    <row r="919" spans="1:8" x14ac:dyDescent="0.3">
      <c r="A919" t="s">
        <v>123</v>
      </c>
      <c r="B919">
        <v>2020</v>
      </c>
      <c r="C919" t="s">
        <v>147</v>
      </c>
      <c r="D919" t="s">
        <v>148</v>
      </c>
      <c r="E919" t="s">
        <v>65</v>
      </c>
      <c r="F919">
        <v>2579</v>
      </c>
      <c r="G919" t="s">
        <v>66</v>
      </c>
      <c r="H919">
        <v>45</v>
      </c>
    </row>
    <row r="920" spans="1:8" x14ac:dyDescent="0.3">
      <c r="A920" t="s">
        <v>123</v>
      </c>
      <c r="B920">
        <v>2021</v>
      </c>
      <c r="C920" t="s">
        <v>147</v>
      </c>
      <c r="D920" t="s">
        <v>148</v>
      </c>
      <c r="E920" t="s">
        <v>65</v>
      </c>
      <c r="F920">
        <v>2579</v>
      </c>
      <c r="G920" t="s">
        <v>66</v>
      </c>
      <c r="H920">
        <v>52</v>
      </c>
    </row>
    <row r="921" spans="1:8" x14ac:dyDescent="0.3">
      <c r="A921" t="s">
        <v>124</v>
      </c>
      <c r="B921">
        <v>2014</v>
      </c>
      <c r="C921" t="s">
        <v>147</v>
      </c>
      <c r="D921" t="s">
        <v>148</v>
      </c>
      <c r="E921" t="s">
        <v>65</v>
      </c>
      <c r="F921">
        <v>12500</v>
      </c>
      <c r="G921" t="s">
        <v>66</v>
      </c>
      <c r="H921">
        <v>8</v>
      </c>
    </row>
    <row r="922" spans="1:8" x14ac:dyDescent="0.3">
      <c r="A922" t="s">
        <v>124</v>
      </c>
      <c r="B922">
        <v>2015</v>
      </c>
      <c r="C922" t="s">
        <v>147</v>
      </c>
      <c r="D922" t="s">
        <v>148</v>
      </c>
      <c r="E922" t="s">
        <v>65</v>
      </c>
      <c r="F922">
        <v>12500</v>
      </c>
      <c r="G922" t="s">
        <v>66</v>
      </c>
      <c r="H922">
        <v>9</v>
      </c>
    </row>
    <row r="923" spans="1:8" x14ac:dyDescent="0.3">
      <c r="A923" t="s">
        <v>124</v>
      </c>
      <c r="B923">
        <v>2016</v>
      </c>
      <c r="C923" t="s">
        <v>147</v>
      </c>
      <c r="D923" t="s">
        <v>148</v>
      </c>
      <c r="E923" t="s">
        <v>65</v>
      </c>
      <c r="F923">
        <v>12500</v>
      </c>
      <c r="G923" t="s">
        <v>66</v>
      </c>
      <c r="H923">
        <v>13</v>
      </c>
    </row>
    <row r="924" spans="1:8" x14ac:dyDescent="0.3">
      <c r="A924" t="s">
        <v>124</v>
      </c>
      <c r="B924">
        <v>2017</v>
      </c>
      <c r="C924" t="s">
        <v>147</v>
      </c>
      <c r="D924" t="s">
        <v>148</v>
      </c>
      <c r="E924" t="s">
        <v>65</v>
      </c>
      <c r="F924">
        <v>12500</v>
      </c>
      <c r="G924" t="s">
        <v>66</v>
      </c>
      <c r="H924">
        <v>10</v>
      </c>
    </row>
    <row r="925" spans="1:8" x14ac:dyDescent="0.3">
      <c r="A925" t="s">
        <v>124</v>
      </c>
      <c r="B925">
        <v>2018</v>
      </c>
      <c r="C925" t="s">
        <v>147</v>
      </c>
      <c r="D925" t="s">
        <v>148</v>
      </c>
      <c r="E925" t="s">
        <v>65</v>
      </c>
      <c r="F925">
        <v>12500</v>
      </c>
      <c r="G925" t="s">
        <v>66</v>
      </c>
      <c r="H925">
        <v>13</v>
      </c>
    </row>
    <row r="926" spans="1:8" x14ac:dyDescent="0.3">
      <c r="A926" t="s">
        <v>124</v>
      </c>
      <c r="B926">
        <v>2019</v>
      </c>
      <c r="C926" t="s">
        <v>147</v>
      </c>
      <c r="D926" t="s">
        <v>148</v>
      </c>
      <c r="E926" t="s">
        <v>65</v>
      </c>
      <c r="F926">
        <v>12500</v>
      </c>
      <c r="G926" t="s">
        <v>66</v>
      </c>
      <c r="H926">
        <v>14</v>
      </c>
    </row>
    <row r="927" spans="1:8" x14ac:dyDescent="0.3">
      <c r="A927" t="s">
        <v>124</v>
      </c>
      <c r="B927">
        <v>2020</v>
      </c>
      <c r="C927" t="s">
        <v>147</v>
      </c>
      <c r="D927" t="s">
        <v>148</v>
      </c>
      <c r="E927" t="s">
        <v>65</v>
      </c>
      <c r="F927">
        <v>12500</v>
      </c>
      <c r="G927" t="s">
        <v>66</v>
      </c>
      <c r="H927">
        <v>13</v>
      </c>
    </row>
    <row r="928" spans="1:8" x14ac:dyDescent="0.3">
      <c r="A928" t="s">
        <v>124</v>
      </c>
      <c r="B928">
        <v>2021</v>
      </c>
      <c r="C928" t="s">
        <v>147</v>
      </c>
      <c r="D928" t="s">
        <v>148</v>
      </c>
      <c r="E928" t="s">
        <v>65</v>
      </c>
      <c r="F928">
        <v>12500</v>
      </c>
      <c r="G928" t="s">
        <v>66</v>
      </c>
      <c r="H928">
        <v>26</v>
      </c>
    </row>
    <row r="929" spans="1:8" x14ac:dyDescent="0.3">
      <c r="A929" t="s">
        <v>244</v>
      </c>
      <c r="B929">
        <v>2019</v>
      </c>
      <c r="C929" t="s">
        <v>147</v>
      </c>
      <c r="D929" t="s">
        <v>148</v>
      </c>
      <c r="E929" t="s">
        <v>65</v>
      </c>
      <c r="F929">
        <v>6000</v>
      </c>
      <c r="G929" t="s">
        <v>66</v>
      </c>
      <c r="H929">
        <v>1</v>
      </c>
    </row>
    <row r="930" spans="1:8" x14ac:dyDescent="0.3">
      <c r="A930" t="s">
        <v>244</v>
      </c>
      <c r="B930">
        <v>2020</v>
      </c>
      <c r="C930" t="s">
        <v>147</v>
      </c>
      <c r="D930" t="s">
        <v>148</v>
      </c>
      <c r="E930" t="s">
        <v>65</v>
      </c>
      <c r="F930">
        <v>6000</v>
      </c>
      <c r="G930" t="s">
        <v>66</v>
      </c>
      <c r="H930">
        <v>4</v>
      </c>
    </row>
    <row r="931" spans="1:8" x14ac:dyDescent="0.3">
      <c r="A931" t="s">
        <v>244</v>
      </c>
      <c r="B931">
        <v>2021</v>
      </c>
      <c r="C931" t="s">
        <v>147</v>
      </c>
      <c r="D931" t="s">
        <v>148</v>
      </c>
      <c r="E931" t="s">
        <v>65</v>
      </c>
      <c r="F931">
        <v>6000</v>
      </c>
      <c r="G931" t="s">
        <v>66</v>
      </c>
      <c r="H931">
        <v>7</v>
      </c>
    </row>
    <row r="932" spans="1:8" x14ac:dyDescent="0.3">
      <c r="A932" t="s">
        <v>245</v>
      </c>
      <c r="B932">
        <v>2015</v>
      </c>
      <c r="C932" t="s">
        <v>147</v>
      </c>
      <c r="D932" t="s">
        <v>148</v>
      </c>
      <c r="E932" t="s">
        <v>65</v>
      </c>
      <c r="F932">
        <v>149499</v>
      </c>
      <c r="G932" t="s">
        <v>72</v>
      </c>
      <c r="H932">
        <v>1</v>
      </c>
    </row>
    <row r="933" spans="1:8" x14ac:dyDescent="0.3">
      <c r="A933" t="s">
        <v>245</v>
      </c>
      <c r="B933">
        <v>2017</v>
      </c>
      <c r="C933" t="s">
        <v>147</v>
      </c>
      <c r="D933" t="s">
        <v>148</v>
      </c>
      <c r="E933" t="s">
        <v>65</v>
      </c>
      <c r="F933">
        <v>149499</v>
      </c>
      <c r="G933" t="s">
        <v>72</v>
      </c>
      <c r="H933">
        <v>1</v>
      </c>
    </row>
    <row r="934" spans="1:8" x14ac:dyDescent="0.3">
      <c r="A934" t="s">
        <v>246</v>
      </c>
      <c r="B934">
        <v>2014</v>
      </c>
      <c r="C934" t="s">
        <v>147</v>
      </c>
      <c r="D934" t="s">
        <v>148</v>
      </c>
      <c r="E934" t="s">
        <v>65</v>
      </c>
      <c r="F934">
        <v>149500</v>
      </c>
      <c r="G934" t="s">
        <v>72</v>
      </c>
      <c r="H934">
        <v>6</v>
      </c>
    </row>
    <row r="935" spans="1:8" x14ac:dyDescent="0.3">
      <c r="A935" t="s">
        <v>246</v>
      </c>
      <c r="B935">
        <v>2015</v>
      </c>
      <c r="C935" t="s">
        <v>147</v>
      </c>
      <c r="D935" t="s">
        <v>148</v>
      </c>
      <c r="E935" t="s">
        <v>65</v>
      </c>
      <c r="F935">
        <v>149500</v>
      </c>
      <c r="G935" t="s">
        <v>72</v>
      </c>
      <c r="H935">
        <v>4</v>
      </c>
    </row>
    <row r="936" spans="1:8" x14ac:dyDescent="0.3">
      <c r="A936" t="s">
        <v>246</v>
      </c>
      <c r="B936">
        <v>2017</v>
      </c>
      <c r="C936" t="s">
        <v>147</v>
      </c>
      <c r="D936" t="s">
        <v>148</v>
      </c>
      <c r="E936" t="s">
        <v>65</v>
      </c>
      <c r="F936">
        <v>149500</v>
      </c>
      <c r="G936" t="s">
        <v>72</v>
      </c>
      <c r="H936">
        <v>1</v>
      </c>
    </row>
    <row r="937" spans="1:8" x14ac:dyDescent="0.3">
      <c r="A937" t="s">
        <v>246</v>
      </c>
      <c r="B937">
        <v>2018</v>
      </c>
      <c r="C937" t="s">
        <v>147</v>
      </c>
      <c r="D937" t="s">
        <v>148</v>
      </c>
      <c r="E937" t="s">
        <v>65</v>
      </c>
      <c r="F937">
        <v>149500</v>
      </c>
      <c r="G937" t="s">
        <v>72</v>
      </c>
      <c r="H937">
        <v>1</v>
      </c>
    </row>
    <row r="938" spans="1:8" x14ac:dyDescent="0.3">
      <c r="A938" t="s">
        <v>246</v>
      </c>
      <c r="B938">
        <v>2021</v>
      </c>
      <c r="C938" t="s">
        <v>147</v>
      </c>
      <c r="D938" t="s">
        <v>148</v>
      </c>
      <c r="E938" t="s">
        <v>65</v>
      </c>
      <c r="F938">
        <v>149500</v>
      </c>
      <c r="G938" t="s">
        <v>72</v>
      </c>
      <c r="H938">
        <v>1</v>
      </c>
    </row>
    <row r="939" spans="1:8" x14ac:dyDescent="0.3">
      <c r="A939" t="s">
        <v>247</v>
      </c>
      <c r="B939">
        <v>2016</v>
      </c>
      <c r="C939" t="s">
        <v>147</v>
      </c>
      <c r="D939" t="s">
        <v>148</v>
      </c>
      <c r="E939" t="s">
        <v>65</v>
      </c>
      <c r="F939">
        <v>172500</v>
      </c>
      <c r="G939" t="s">
        <v>72</v>
      </c>
      <c r="H939">
        <v>1</v>
      </c>
    </row>
    <row r="940" spans="1:8" x14ac:dyDescent="0.3">
      <c r="A940" t="s">
        <v>248</v>
      </c>
      <c r="B940">
        <v>2014</v>
      </c>
      <c r="C940" t="s">
        <v>147</v>
      </c>
      <c r="D940" t="s">
        <v>148</v>
      </c>
      <c r="E940" t="s">
        <v>65</v>
      </c>
      <c r="F940">
        <v>11799</v>
      </c>
      <c r="G940" t="s">
        <v>66</v>
      </c>
      <c r="H940">
        <v>7</v>
      </c>
    </row>
    <row r="941" spans="1:8" x14ac:dyDescent="0.3">
      <c r="A941" t="s">
        <v>248</v>
      </c>
      <c r="B941">
        <v>2015</v>
      </c>
      <c r="C941" t="s">
        <v>147</v>
      </c>
      <c r="D941" t="s">
        <v>148</v>
      </c>
      <c r="E941" t="s">
        <v>65</v>
      </c>
      <c r="F941">
        <v>11799</v>
      </c>
      <c r="G941" t="s">
        <v>66</v>
      </c>
      <c r="H941">
        <v>9</v>
      </c>
    </row>
    <row r="942" spans="1:8" x14ac:dyDescent="0.3">
      <c r="A942" t="s">
        <v>248</v>
      </c>
      <c r="B942">
        <v>2016</v>
      </c>
      <c r="C942" t="s">
        <v>147</v>
      </c>
      <c r="D942" t="s">
        <v>148</v>
      </c>
      <c r="E942" t="s">
        <v>65</v>
      </c>
      <c r="F942">
        <v>11799</v>
      </c>
      <c r="G942" t="s">
        <v>66</v>
      </c>
      <c r="H942">
        <v>4</v>
      </c>
    </row>
    <row r="943" spans="1:8" x14ac:dyDescent="0.3">
      <c r="A943" t="s">
        <v>248</v>
      </c>
      <c r="B943">
        <v>2017</v>
      </c>
      <c r="C943" t="s">
        <v>147</v>
      </c>
      <c r="D943" t="s">
        <v>148</v>
      </c>
      <c r="E943" t="s">
        <v>65</v>
      </c>
      <c r="F943">
        <v>11799</v>
      </c>
      <c r="G943" t="s">
        <v>66</v>
      </c>
      <c r="H943">
        <v>5</v>
      </c>
    </row>
    <row r="944" spans="1:8" x14ac:dyDescent="0.3">
      <c r="A944" t="s">
        <v>248</v>
      </c>
      <c r="B944">
        <v>2018</v>
      </c>
      <c r="C944" t="s">
        <v>147</v>
      </c>
      <c r="D944" t="s">
        <v>148</v>
      </c>
      <c r="E944" t="s">
        <v>65</v>
      </c>
      <c r="F944">
        <v>11799</v>
      </c>
      <c r="G944" t="s">
        <v>66</v>
      </c>
      <c r="H944">
        <v>8</v>
      </c>
    </row>
    <row r="945" spans="1:8" x14ac:dyDescent="0.3">
      <c r="A945" t="s">
        <v>248</v>
      </c>
      <c r="B945">
        <v>2019</v>
      </c>
      <c r="C945" t="s">
        <v>147</v>
      </c>
      <c r="D945" t="s">
        <v>148</v>
      </c>
      <c r="E945" t="s">
        <v>65</v>
      </c>
      <c r="F945">
        <v>11799</v>
      </c>
      <c r="G945" t="s">
        <v>66</v>
      </c>
      <c r="H945">
        <v>4</v>
      </c>
    </row>
    <row r="946" spans="1:8" x14ac:dyDescent="0.3">
      <c r="A946" t="s">
        <v>248</v>
      </c>
      <c r="B946">
        <v>2021</v>
      </c>
      <c r="C946" t="s">
        <v>147</v>
      </c>
      <c r="D946" t="s">
        <v>148</v>
      </c>
      <c r="E946" t="s">
        <v>65</v>
      </c>
      <c r="F946">
        <v>11799</v>
      </c>
      <c r="G946" t="s">
        <v>66</v>
      </c>
      <c r="H946">
        <v>2</v>
      </c>
    </row>
    <row r="947" spans="1:8" x14ac:dyDescent="0.3">
      <c r="A947" t="s">
        <v>249</v>
      </c>
      <c r="B947">
        <v>2014</v>
      </c>
      <c r="C947" t="s">
        <v>147</v>
      </c>
      <c r="D947" t="s">
        <v>148</v>
      </c>
      <c r="E947" t="s">
        <v>65</v>
      </c>
      <c r="F947">
        <v>11574</v>
      </c>
      <c r="G947" t="s">
        <v>66</v>
      </c>
      <c r="H947">
        <v>17</v>
      </c>
    </row>
    <row r="948" spans="1:8" x14ac:dyDescent="0.3">
      <c r="A948" t="s">
        <v>249</v>
      </c>
      <c r="B948">
        <v>2015</v>
      </c>
      <c r="C948" t="s">
        <v>147</v>
      </c>
      <c r="D948" t="s">
        <v>148</v>
      </c>
      <c r="E948" t="s">
        <v>65</v>
      </c>
      <c r="F948">
        <v>11574</v>
      </c>
      <c r="G948" t="s">
        <v>66</v>
      </c>
      <c r="H948">
        <v>24</v>
      </c>
    </row>
    <row r="949" spans="1:8" x14ac:dyDescent="0.3">
      <c r="A949" t="s">
        <v>249</v>
      </c>
      <c r="B949">
        <v>2016</v>
      </c>
      <c r="C949" t="s">
        <v>147</v>
      </c>
      <c r="D949" t="s">
        <v>148</v>
      </c>
      <c r="E949" t="s">
        <v>65</v>
      </c>
      <c r="F949">
        <v>11574</v>
      </c>
      <c r="G949" t="s">
        <v>66</v>
      </c>
      <c r="H949">
        <v>26</v>
      </c>
    </row>
    <row r="950" spans="1:8" x14ac:dyDescent="0.3">
      <c r="A950" t="s">
        <v>249</v>
      </c>
      <c r="B950">
        <v>2017</v>
      </c>
      <c r="C950" t="s">
        <v>147</v>
      </c>
      <c r="D950" t="s">
        <v>148</v>
      </c>
      <c r="E950" t="s">
        <v>65</v>
      </c>
      <c r="F950">
        <v>11574</v>
      </c>
      <c r="G950" t="s">
        <v>66</v>
      </c>
      <c r="H950">
        <v>31</v>
      </c>
    </row>
    <row r="951" spans="1:8" x14ac:dyDescent="0.3">
      <c r="A951" t="s">
        <v>249</v>
      </c>
      <c r="B951">
        <v>2018</v>
      </c>
      <c r="C951" t="s">
        <v>147</v>
      </c>
      <c r="D951" t="s">
        <v>148</v>
      </c>
      <c r="E951" t="s">
        <v>65</v>
      </c>
      <c r="F951">
        <v>11574</v>
      </c>
      <c r="G951" t="s">
        <v>66</v>
      </c>
      <c r="H951">
        <v>23</v>
      </c>
    </row>
    <row r="952" spans="1:8" x14ac:dyDescent="0.3">
      <c r="A952" t="s">
        <v>249</v>
      </c>
      <c r="B952">
        <v>2019</v>
      </c>
      <c r="C952" t="s">
        <v>147</v>
      </c>
      <c r="D952" t="s">
        <v>148</v>
      </c>
      <c r="E952" t="s">
        <v>65</v>
      </c>
      <c r="F952">
        <v>11574</v>
      </c>
      <c r="G952" t="s">
        <v>66</v>
      </c>
      <c r="H952">
        <v>18</v>
      </c>
    </row>
    <row r="953" spans="1:8" x14ac:dyDescent="0.3">
      <c r="A953" t="s">
        <v>249</v>
      </c>
      <c r="B953">
        <v>2020</v>
      </c>
      <c r="C953" t="s">
        <v>147</v>
      </c>
      <c r="D953" t="s">
        <v>148</v>
      </c>
      <c r="E953" t="s">
        <v>65</v>
      </c>
      <c r="F953">
        <v>11574</v>
      </c>
      <c r="G953" t="s">
        <v>66</v>
      </c>
      <c r="H953">
        <v>22</v>
      </c>
    </row>
    <row r="954" spans="1:8" x14ac:dyDescent="0.3">
      <c r="A954" t="s">
        <v>249</v>
      </c>
      <c r="B954">
        <v>2021</v>
      </c>
      <c r="C954" t="s">
        <v>147</v>
      </c>
      <c r="D954" t="s">
        <v>148</v>
      </c>
      <c r="E954" t="s">
        <v>65</v>
      </c>
      <c r="F954">
        <v>11574</v>
      </c>
      <c r="G954" t="s">
        <v>66</v>
      </c>
      <c r="H954">
        <v>9</v>
      </c>
    </row>
    <row r="955" spans="1:8" x14ac:dyDescent="0.3">
      <c r="A955" t="s">
        <v>125</v>
      </c>
      <c r="B955">
        <v>2014</v>
      </c>
      <c r="C955" t="s">
        <v>147</v>
      </c>
      <c r="D955" t="s">
        <v>148</v>
      </c>
      <c r="E955" t="s">
        <v>65</v>
      </c>
      <c r="F955">
        <v>12100</v>
      </c>
      <c r="G955" t="s">
        <v>66</v>
      </c>
      <c r="H955">
        <v>13</v>
      </c>
    </row>
    <row r="956" spans="1:8" x14ac:dyDescent="0.3">
      <c r="A956" t="s">
        <v>125</v>
      </c>
      <c r="B956">
        <v>2015</v>
      </c>
      <c r="C956" t="s">
        <v>147</v>
      </c>
      <c r="D956" t="s">
        <v>148</v>
      </c>
      <c r="E956" t="s">
        <v>65</v>
      </c>
      <c r="F956">
        <v>12100</v>
      </c>
      <c r="G956" t="s">
        <v>66</v>
      </c>
      <c r="H956">
        <v>11</v>
      </c>
    </row>
    <row r="957" spans="1:8" x14ac:dyDescent="0.3">
      <c r="A957" t="s">
        <v>125</v>
      </c>
      <c r="B957">
        <v>2016</v>
      </c>
      <c r="C957" t="s">
        <v>147</v>
      </c>
      <c r="D957" t="s">
        <v>148</v>
      </c>
      <c r="E957" t="s">
        <v>65</v>
      </c>
      <c r="F957">
        <v>12100</v>
      </c>
      <c r="G957" t="s">
        <v>66</v>
      </c>
      <c r="H957">
        <v>8</v>
      </c>
    </row>
    <row r="958" spans="1:8" x14ac:dyDescent="0.3">
      <c r="A958" t="s">
        <v>125</v>
      </c>
      <c r="B958">
        <v>2017</v>
      </c>
      <c r="C958" t="s">
        <v>147</v>
      </c>
      <c r="D958" t="s">
        <v>148</v>
      </c>
      <c r="E958" t="s">
        <v>65</v>
      </c>
      <c r="F958">
        <v>12100</v>
      </c>
      <c r="G958" t="s">
        <v>66</v>
      </c>
      <c r="H958">
        <v>11</v>
      </c>
    </row>
    <row r="959" spans="1:8" x14ac:dyDescent="0.3">
      <c r="A959" t="s">
        <v>125</v>
      </c>
      <c r="B959">
        <v>2018</v>
      </c>
      <c r="C959" t="s">
        <v>147</v>
      </c>
      <c r="D959" t="s">
        <v>148</v>
      </c>
      <c r="E959" t="s">
        <v>65</v>
      </c>
      <c r="F959">
        <v>12100</v>
      </c>
      <c r="G959" t="s">
        <v>66</v>
      </c>
      <c r="H959">
        <v>15</v>
      </c>
    </row>
    <row r="960" spans="1:8" x14ac:dyDescent="0.3">
      <c r="A960" t="s">
        <v>125</v>
      </c>
      <c r="B960">
        <v>2019</v>
      </c>
      <c r="C960" t="s">
        <v>147</v>
      </c>
      <c r="D960" t="s">
        <v>148</v>
      </c>
      <c r="E960" t="s">
        <v>65</v>
      </c>
      <c r="F960">
        <v>12100</v>
      </c>
      <c r="G960" t="s">
        <v>66</v>
      </c>
      <c r="H960">
        <v>5</v>
      </c>
    </row>
    <row r="961" spans="1:8" x14ac:dyDescent="0.3">
      <c r="A961" t="s">
        <v>125</v>
      </c>
      <c r="B961">
        <v>2020</v>
      </c>
      <c r="C961" t="s">
        <v>147</v>
      </c>
      <c r="D961" t="s">
        <v>148</v>
      </c>
      <c r="E961" t="s">
        <v>65</v>
      </c>
      <c r="F961">
        <v>12100</v>
      </c>
      <c r="G961" t="s">
        <v>66</v>
      </c>
      <c r="H961">
        <v>6</v>
      </c>
    </row>
    <row r="962" spans="1:8" x14ac:dyDescent="0.3">
      <c r="A962" t="s">
        <v>125</v>
      </c>
      <c r="B962">
        <v>2021</v>
      </c>
      <c r="C962" t="s">
        <v>147</v>
      </c>
      <c r="D962" t="s">
        <v>148</v>
      </c>
      <c r="E962" t="s">
        <v>65</v>
      </c>
      <c r="F962">
        <v>12100</v>
      </c>
      <c r="G962" t="s">
        <v>66</v>
      </c>
      <c r="H962">
        <v>6</v>
      </c>
    </row>
    <row r="963" spans="1:8" x14ac:dyDescent="0.3">
      <c r="A963" t="s">
        <v>126</v>
      </c>
      <c r="B963">
        <v>2014</v>
      </c>
      <c r="C963" t="s">
        <v>147</v>
      </c>
      <c r="D963" t="s">
        <v>148</v>
      </c>
      <c r="E963" t="s">
        <v>65</v>
      </c>
      <c r="F963">
        <v>2548</v>
      </c>
      <c r="G963" t="s">
        <v>66</v>
      </c>
      <c r="H963">
        <v>12</v>
      </c>
    </row>
    <row r="964" spans="1:8" x14ac:dyDescent="0.3">
      <c r="A964" t="s">
        <v>126</v>
      </c>
      <c r="B964">
        <v>2015</v>
      </c>
      <c r="C964" t="s">
        <v>147</v>
      </c>
      <c r="D964" t="s">
        <v>148</v>
      </c>
      <c r="E964" t="s">
        <v>65</v>
      </c>
      <c r="F964">
        <v>2548</v>
      </c>
      <c r="G964" t="s">
        <v>66</v>
      </c>
      <c r="H964">
        <v>44</v>
      </c>
    </row>
    <row r="965" spans="1:8" x14ac:dyDescent="0.3">
      <c r="A965" t="s">
        <v>126</v>
      </c>
      <c r="B965">
        <v>2016</v>
      </c>
      <c r="C965" t="s">
        <v>147</v>
      </c>
      <c r="D965" t="s">
        <v>148</v>
      </c>
      <c r="E965" t="s">
        <v>65</v>
      </c>
      <c r="F965">
        <v>2548</v>
      </c>
      <c r="G965" t="s">
        <v>66</v>
      </c>
      <c r="H965">
        <v>68</v>
      </c>
    </row>
    <row r="966" spans="1:8" x14ac:dyDescent="0.3">
      <c r="A966" t="s">
        <v>126</v>
      </c>
      <c r="B966">
        <v>2017</v>
      </c>
      <c r="C966" t="s">
        <v>147</v>
      </c>
      <c r="D966" t="s">
        <v>148</v>
      </c>
      <c r="E966" t="s">
        <v>65</v>
      </c>
      <c r="F966">
        <v>2548</v>
      </c>
      <c r="G966" t="s">
        <v>66</v>
      </c>
      <c r="H966">
        <v>73</v>
      </c>
    </row>
    <row r="967" spans="1:8" x14ac:dyDescent="0.3">
      <c r="A967" t="s">
        <v>126</v>
      </c>
      <c r="B967">
        <v>2018</v>
      </c>
      <c r="C967" t="s">
        <v>147</v>
      </c>
      <c r="D967" t="s">
        <v>148</v>
      </c>
      <c r="E967" t="s">
        <v>65</v>
      </c>
      <c r="F967">
        <v>2548</v>
      </c>
      <c r="G967" t="s">
        <v>66</v>
      </c>
      <c r="H967">
        <v>87</v>
      </c>
    </row>
    <row r="968" spans="1:8" x14ac:dyDescent="0.3">
      <c r="A968" t="s">
        <v>126</v>
      </c>
      <c r="B968">
        <v>2019</v>
      </c>
      <c r="C968" t="s">
        <v>147</v>
      </c>
      <c r="D968" t="s">
        <v>148</v>
      </c>
      <c r="E968" t="s">
        <v>65</v>
      </c>
      <c r="F968">
        <v>2548</v>
      </c>
      <c r="G968" t="s">
        <v>66</v>
      </c>
      <c r="H968">
        <v>152</v>
      </c>
    </row>
    <row r="969" spans="1:8" x14ac:dyDescent="0.3">
      <c r="A969" t="s">
        <v>126</v>
      </c>
      <c r="B969">
        <v>2020</v>
      </c>
      <c r="C969" t="s">
        <v>147</v>
      </c>
      <c r="D969" t="s">
        <v>148</v>
      </c>
      <c r="E969" t="s">
        <v>65</v>
      </c>
      <c r="F969">
        <v>2548</v>
      </c>
      <c r="G969" t="s">
        <v>66</v>
      </c>
      <c r="H969">
        <v>208</v>
      </c>
    </row>
    <row r="970" spans="1:8" x14ac:dyDescent="0.3">
      <c r="A970" t="s">
        <v>126</v>
      </c>
      <c r="B970">
        <v>2021</v>
      </c>
      <c r="C970" t="s">
        <v>147</v>
      </c>
      <c r="D970" t="s">
        <v>148</v>
      </c>
      <c r="E970" t="s">
        <v>65</v>
      </c>
      <c r="F970">
        <v>2548</v>
      </c>
      <c r="G970" t="s">
        <v>66</v>
      </c>
      <c r="H970">
        <v>206</v>
      </c>
    </row>
    <row r="971" spans="1:8" x14ac:dyDescent="0.3">
      <c r="A971" t="s">
        <v>127</v>
      </c>
      <c r="B971">
        <v>2014</v>
      </c>
      <c r="C971" t="s">
        <v>147</v>
      </c>
      <c r="D971" t="s">
        <v>148</v>
      </c>
      <c r="E971" t="s">
        <v>65</v>
      </c>
      <c r="F971">
        <v>2150</v>
      </c>
      <c r="G971" t="s">
        <v>66</v>
      </c>
      <c r="H971">
        <v>1</v>
      </c>
    </row>
    <row r="972" spans="1:8" x14ac:dyDescent="0.3">
      <c r="A972" t="s">
        <v>127</v>
      </c>
      <c r="B972">
        <v>2015</v>
      </c>
      <c r="C972" t="s">
        <v>147</v>
      </c>
      <c r="D972" t="s">
        <v>148</v>
      </c>
      <c r="E972" t="s">
        <v>65</v>
      </c>
      <c r="F972">
        <v>2150</v>
      </c>
      <c r="G972" t="s">
        <v>66</v>
      </c>
      <c r="H972">
        <v>5</v>
      </c>
    </row>
    <row r="973" spans="1:8" x14ac:dyDescent="0.3">
      <c r="A973" t="s">
        <v>127</v>
      </c>
      <c r="B973">
        <v>2016</v>
      </c>
      <c r="C973" t="s">
        <v>147</v>
      </c>
      <c r="D973" t="s">
        <v>148</v>
      </c>
      <c r="E973" t="s">
        <v>65</v>
      </c>
      <c r="F973">
        <v>2150</v>
      </c>
      <c r="G973" t="s">
        <v>66</v>
      </c>
      <c r="H973">
        <v>3</v>
      </c>
    </row>
    <row r="974" spans="1:8" x14ac:dyDescent="0.3">
      <c r="A974" t="s">
        <v>127</v>
      </c>
      <c r="B974">
        <v>2017</v>
      </c>
      <c r="C974" t="s">
        <v>147</v>
      </c>
      <c r="D974" t="s">
        <v>148</v>
      </c>
      <c r="E974" t="s">
        <v>65</v>
      </c>
      <c r="F974">
        <v>2150</v>
      </c>
      <c r="G974" t="s">
        <v>66</v>
      </c>
      <c r="H974">
        <v>6</v>
      </c>
    </row>
    <row r="975" spans="1:8" x14ac:dyDescent="0.3">
      <c r="A975" t="s">
        <v>127</v>
      </c>
      <c r="B975">
        <v>2018</v>
      </c>
      <c r="C975" t="s">
        <v>147</v>
      </c>
      <c r="D975" t="s">
        <v>148</v>
      </c>
      <c r="E975" t="s">
        <v>65</v>
      </c>
      <c r="F975">
        <v>2150</v>
      </c>
      <c r="G975" t="s">
        <v>66</v>
      </c>
      <c r="H975">
        <v>1</v>
      </c>
    </row>
    <row r="976" spans="1:8" x14ac:dyDescent="0.3">
      <c r="A976" t="s">
        <v>127</v>
      </c>
      <c r="B976">
        <v>2019</v>
      </c>
      <c r="C976" t="s">
        <v>147</v>
      </c>
      <c r="D976" t="s">
        <v>148</v>
      </c>
      <c r="E976" t="s">
        <v>65</v>
      </c>
      <c r="F976">
        <v>2150</v>
      </c>
      <c r="G976" t="s">
        <v>66</v>
      </c>
      <c r="H976">
        <v>3</v>
      </c>
    </row>
    <row r="977" spans="1:8" x14ac:dyDescent="0.3">
      <c r="A977" t="s">
        <v>127</v>
      </c>
      <c r="B977">
        <v>2020</v>
      </c>
      <c r="C977" t="s">
        <v>147</v>
      </c>
      <c r="D977" t="s">
        <v>148</v>
      </c>
      <c r="E977" t="s">
        <v>65</v>
      </c>
      <c r="F977">
        <v>2150</v>
      </c>
      <c r="G977" t="s">
        <v>66</v>
      </c>
      <c r="H977">
        <v>6</v>
      </c>
    </row>
    <row r="978" spans="1:8" x14ac:dyDescent="0.3">
      <c r="A978" t="s">
        <v>127</v>
      </c>
      <c r="B978">
        <v>2021</v>
      </c>
      <c r="C978" t="s">
        <v>147</v>
      </c>
      <c r="D978" t="s">
        <v>148</v>
      </c>
      <c r="E978" t="s">
        <v>65</v>
      </c>
      <c r="F978">
        <v>2150</v>
      </c>
      <c r="G978" t="s">
        <v>66</v>
      </c>
      <c r="H978">
        <v>2</v>
      </c>
    </row>
    <row r="979" spans="1:8" x14ac:dyDescent="0.3">
      <c r="A979" t="s">
        <v>128</v>
      </c>
      <c r="B979">
        <v>2014</v>
      </c>
      <c r="C979" t="s">
        <v>147</v>
      </c>
      <c r="D979" t="s">
        <v>148</v>
      </c>
      <c r="E979" t="s">
        <v>65</v>
      </c>
      <c r="F979">
        <v>2866</v>
      </c>
      <c r="G979" t="s">
        <v>66</v>
      </c>
      <c r="H979">
        <v>7</v>
      </c>
    </row>
    <row r="980" spans="1:8" x14ac:dyDescent="0.3">
      <c r="A980" t="s">
        <v>128</v>
      </c>
      <c r="B980">
        <v>2015</v>
      </c>
      <c r="C980" t="s">
        <v>147</v>
      </c>
      <c r="D980" t="s">
        <v>148</v>
      </c>
      <c r="E980" t="s">
        <v>65</v>
      </c>
      <c r="F980">
        <v>2866</v>
      </c>
      <c r="G980" t="s">
        <v>66</v>
      </c>
      <c r="H980">
        <v>11</v>
      </c>
    </row>
    <row r="981" spans="1:8" x14ac:dyDescent="0.3">
      <c r="A981" t="s">
        <v>128</v>
      </c>
      <c r="B981">
        <v>2016</v>
      </c>
      <c r="C981" t="s">
        <v>147</v>
      </c>
      <c r="D981" t="s">
        <v>148</v>
      </c>
      <c r="E981" t="s">
        <v>65</v>
      </c>
      <c r="F981">
        <v>2866</v>
      </c>
      <c r="G981" t="s">
        <v>66</v>
      </c>
      <c r="H981">
        <v>20</v>
      </c>
    </row>
    <row r="982" spans="1:8" x14ac:dyDescent="0.3">
      <c r="A982" t="s">
        <v>128</v>
      </c>
      <c r="B982">
        <v>2017</v>
      </c>
      <c r="C982" t="s">
        <v>147</v>
      </c>
      <c r="D982" t="s">
        <v>148</v>
      </c>
      <c r="E982" t="s">
        <v>65</v>
      </c>
      <c r="F982">
        <v>2866</v>
      </c>
      <c r="G982" t="s">
        <v>66</v>
      </c>
      <c r="H982">
        <v>19</v>
      </c>
    </row>
    <row r="983" spans="1:8" x14ac:dyDescent="0.3">
      <c r="A983" t="s">
        <v>128</v>
      </c>
      <c r="B983">
        <v>2018</v>
      </c>
      <c r="C983" t="s">
        <v>147</v>
      </c>
      <c r="D983" t="s">
        <v>148</v>
      </c>
      <c r="E983" t="s">
        <v>65</v>
      </c>
      <c r="F983">
        <v>2866</v>
      </c>
      <c r="G983" t="s">
        <v>66</v>
      </c>
      <c r="H983">
        <v>31</v>
      </c>
    </row>
    <row r="984" spans="1:8" x14ac:dyDescent="0.3">
      <c r="A984" t="s">
        <v>128</v>
      </c>
      <c r="B984">
        <v>2019</v>
      </c>
      <c r="C984" t="s">
        <v>147</v>
      </c>
      <c r="D984" t="s">
        <v>148</v>
      </c>
      <c r="E984" t="s">
        <v>65</v>
      </c>
      <c r="F984">
        <v>2866</v>
      </c>
      <c r="G984" t="s">
        <v>66</v>
      </c>
      <c r="H984">
        <v>33</v>
      </c>
    </row>
    <row r="985" spans="1:8" x14ac:dyDescent="0.3">
      <c r="A985" t="s">
        <v>128</v>
      </c>
      <c r="B985">
        <v>2020</v>
      </c>
      <c r="C985" t="s">
        <v>147</v>
      </c>
      <c r="D985" t="s">
        <v>148</v>
      </c>
      <c r="E985" t="s">
        <v>65</v>
      </c>
      <c r="F985">
        <v>2866</v>
      </c>
      <c r="G985" t="s">
        <v>66</v>
      </c>
      <c r="H985">
        <v>40</v>
      </c>
    </row>
    <row r="986" spans="1:8" x14ac:dyDescent="0.3">
      <c r="A986" t="s">
        <v>128</v>
      </c>
      <c r="B986">
        <v>2021</v>
      </c>
      <c r="C986" t="s">
        <v>147</v>
      </c>
      <c r="D986" t="s">
        <v>148</v>
      </c>
      <c r="E986" t="s">
        <v>65</v>
      </c>
      <c r="F986">
        <v>2866</v>
      </c>
      <c r="G986" t="s">
        <v>66</v>
      </c>
      <c r="H986">
        <v>57</v>
      </c>
    </row>
    <row r="987" spans="1:8" x14ac:dyDescent="0.3">
      <c r="A987" t="s">
        <v>250</v>
      </c>
      <c r="B987">
        <v>2015</v>
      </c>
      <c r="C987" t="s">
        <v>147</v>
      </c>
      <c r="D987" t="s">
        <v>148</v>
      </c>
      <c r="E987" t="s">
        <v>65</v>
      </c>
      <c r="F987">
        <v>135000</v>
      </c>
      <c r="G987" t="s">
        <v>72</v>
      </c>
      <c r="H987">
        <v>1</v>
      </c>
    </row>
    <row r="988" spans="1:8" x14ac:dyDescent="0.3">
      <c r="A988" t="s">
        <v>129</v>
      </c>
      <c r="B988">
        <v>2015</v>
      </c>
      <c r="C988" t="s">
        <v>147</v>
      </c>
      <c r="D988" t="s">
        <v>148</v>
      </c>
      <c r="E988" t="s">
        <v>65</v>
      </c>
      <c r="F988">
        <v>3615</v>
      </c>
      <c r="G988" t="s">
        <v>66</v>
      </c>
      <c r="H988">
        <v>4</v>
      </c>
    </row>
    <row r="989" spans="1:8" x14ac:dyDescent="0.3">
      <c r="A989" t="s">
        <v>129</v>
      </c>
      <c r="B989">
        <v>2016</v>
      </c>
      <c r="C989" t="s">
        <v>147</v>
      </c>
      <c r="D989" t="s">
        <v>148</v>
      </c>
      <c r="E989" t="s">
        <v>65</v>
      </c>
      <c r="F989">
        <v>3615</v>
      </c>
      <c r="G989" t="s">
        <v>66</v>
      </c>
      <c r="H989">
        <v>5</v>
      </c>
    </row>
    <row r="990" spans="1:8" x14ac:dyDescent="0.3">
      <c r="A990" t="s">
        <v>129</v>
      </c>
      <c r="B990">
        <v>2017</v>
      </c>
      <c r="C990" t="s">
        <v>147</v>
      </c>
      <c r="D990" t="s">
        <v>148</v>
      </c>
      <c r="E990" t="s">
        <v>65</v>
      </c>
      <c r="F990">
        <v>3615</v>
      </c>
      <c r="G990" t="s">
        <v>66</v>
      </c>
      <c r="H990">
        <v>9</v>
      </c>
    </row>
    <row r="991" spans="1:8" x14ac:dyDescent="0.3">
      <c r="A991" t="s">
        <v>129</v>
      </c>
      <c r="B991">
        <v>2018</v>
      </c>
      <c r="C991" t="s">
        <v>147</v>
      </c>
      <c r="D991" t="s">
        <v>148</v>
      </c>
      <c r="E991" t="s">
        <v>65</v>
      </c>
      <c r="F991">
        <v>3615</v>
      </c>
      <c r="G991" t="s">
        <v>66</v>
      </c>
      <c r="H991">
        <v>1</v>
      </c>
    </row>
    <row r="992" spans="1:8" x14ac:dyDescent="0.3">
      <c r="A992" t="s">
        <v>129</v>
      </c>
      <c r="B992">
        <v>2019</v>
      </c>
      <c r="C992" t="s">
        <v>147</v>
      </c>
      <c r="D992" t="s">
        <v>148</v>
      </c>
      <c r="E992" t="s">
        <v>65</v>
      </c>
      <c r="F992">
        <v>3615</v>
      </c>
      <c r="G992" t="s">
        <v>66</v>
      </c>
      <c r="H992">
        <v>1</v>
      </c>
    </row>
    <row r="993" spans="1:8" x14ac:dyDescent="0.3">
      <c r="A993" t="s">
        <v>129</v>
      </c>
      <c r="B993">
        <v>2020</v>
      </c>
      <c r="C993" t="s">
        <v>147</v>
      </c>
      <c r="D993" t="s">
        <v>148</v>
      </c>
      <c r="E993" t="s">
        <v>65</v>
      </c>
      <c r="F993">
        <v>3615</v>
      </c>
      <c r="G993" t="s">
        <v>66</v>
      </c>
      <c r="H993">
        <v>3</v>
      </c>
    </row>
    <row r="994" spans="1:8" x14ac:dyDescent="0.3">
      <c r="A994" t="s">
        <v>129</v>
      </c>
      <c r="B994">
        <v>2021</v>
      </c>
      <c r="C994" t="s">
        <v>147</v>
      </c>
      <c r="D994" t="s">
        <v>148</v>
      </c>
      <c r="E994" t="s">
        <v>65</v>
      </c>
      <c r="F994">
        <v>3615</v>
      </c>
      <c r="G994" t="s">
        <v>66</v>
      </c>
      <c r="H994">
        <v>5</v>
      </c>
    </row>
    <row r="995" spans="1:8" x14ac:dyDescent="0.3">
      <c r="A995" t="s">
        <v>130</v>
      </c>
      <c r="B995">
        <v>2014</v>
      </c>
      <c r="C995" t="s">
        <v>147</v>
      </c>
      <c r="D995" t="s">
        <v>148</v>
      </c>
      <c r="E995" t="s">
        <v>65</v>
      </c>
      <c r="F995">
        <v>4850</v>
      </c>
      <c r="G995" t="s">
        <v>66</v>
      </c>
      <c r="H995">
        <v>20</v>
      </c>
    </row>
    <row r="996" spans="1:8" x14ac:dyDescent="0.3">
      <c r="A996" t="s">
        <v>130</v>
      </c>
      <c r="B996">
        <v>2015</v>
      </c>
      <c r="C996" t="s">
        <v>147</v>
      </c>
      <c r="D996" t="s">
        <v>148</v>
      </c>
      <c r="E996" t="s">
        <v>65</v>
      </c>
      <c r="F996">
        <v>4850</v>
      </c>
      <c r="G996" t="s">
        <v>66</v>
      </c>
      <c r="H996">
        <v>53</v>
      </c>
    </row>
    <row r="997" spans="1:8" x14ac:dyDescent="0.3">
      <c r="A997" t="s">
        <v>130</v>
      </c>
      <c r="B997">
        <v>2016</v>
      </c>
      <c r="C997" t="s">
        <v>147</v>
      </c>
      <c r="D997" t="s">
        <v>148</v>
      </c>
      <c r="E997" t="s">
        <v>65</v>
      </c>
      <c r="F997">
        <v>4850</v>
      </c>
      <c r="G997" t="s">
        <v>66</v>
      </c>
      <c r="H997">
        <v>65</v>
      </c>
    </row>
    <row r="998" spans="1:8" x14ac:dyDescent="0.3">
      <c r="A998" t="s">
        <v>130</v>
      </c>
      <c r="B998">
        <v>2017</v>
      </c>
      <c r="C998" t="s">
        <v>147</v>
      </c>
      <c r="D998" t="s">
        <v>148</v>
      </c>
      <c r="E998" t="s">
        <v>65</v>
      </c>
      <c r="F998">
        <v>4850</v>
      </c>
      <c r="G998" t="s">
        <v>66</v>
      </c>
      <c r="H998">
        <v>72</v>
      </c>
    </row>
    <row r="999" spans="1:8" x14ac:dyDescent="0.3">
      <c r="A999" t="s">
        <v>130</v>
      </c>
      <c r="B999">
        <v>2018</v>
      </c>
      <c r="C999" t="s">
        <v>147</v>
      </c>
      <c r="D999" t="s">
        <v>148</v>
      </c>
      <c r="E999" t="s">
        <v>65</v>
      </c>
      <c r="F999">
        <v>4850</v>
      </c>
      <c r="G999" t="s">
        <v>66</v>
      </c>
      <c r="H999">
        <v>68</v>
      </c>
    </row>
    <row r="1000" spans="1:8" x14ac:dyDescent="0.3">
      <c r="A1000" t="s">
        <v>130</v>
      </c>
      <c r="B1000">
        <v>2019</v>
      </c>
      <c r="C1000" t="s">
        <v>147</v>
      </c>
      <c r="D1000" t="s">
        <v>148</v>
      </c>
      <c r="E1000" t="s">
        <v>65</v>
      </c>
      <c r="F1000">
        <v>4850</v>
      </c>
      <c r="G1000" t="s">
        <v>66</v>
      </c>
      <c r="H1000">
        <v>83</v>
      </c>
    </row>
    <row r="1001" spans="1:8" x14ac:dyDescent="0.3">
      <c r="A1001" t="s">
        <v>130</v>
      </c>
      <c r="B1001">
        <v>2020</v>
      </c>
      <c r="C1001" t="s">
        <v>147</v>
      </c>
      <c r="D1001" t="s">
        <v>148</v>
      </c>
      <c r="E1001" t="s">
        <v>65</v>
      </c>
      <c r="F1001">
        <v>4850</v>
      </c>
      <c r="G1001" t="s">
        <v>66</v>
      </c>
      <c r="H1001">
        <v>58</v>
      </c>
    </row>
    <row r="1002" spans="1:8" x14ac:dyDescent="0.3">
      <c r="A1002" t="s">
        <v>130</v>
      </c>
      <c r="B1002">
        <v>2021</v>
      </c>
      <c r="C1002" t="s">
        <v>147</v>
      </c>
      <c r="D1002" t="s">
        <v>148</v>
      </c>
      <c r="E1002" t="s">
        <v>65</v>
      </c>
      <c r="F1002">
        <v>4850</v>
      </c>
      <c r="G1002" t="s">
        <v>66</v>
      </c>
      <c r="H1002">
        <v>58</v>
      </c>
    </row>
    <row r="1003" spans="1:8" x14ac:dyDescent="0.3">
      <c r="A1003" t="s">
        <v>131</v>
      </c>
      <c r="B1003">
        <v>2014</v>
      </c>
      <c r="C1003" t="s">
        <v>147</v>
      </c>
      <c r="D1003" t="s">
        <v>148</v>
      </c>
      <c r="E1003" t="s">
        <v>65</v>
      </c>
      <c r="F1003">
        <v>1950</v>
      </c>
      <c r="G1003" t="s">
        <v>66</v>
      </c>
      <c r="H1003">
        <v>11</v>
      </c>
    </row>
    <row r="1004" spans="1:8" x14ac:dyDescent="0.3">
      <c r="A1004" t="s">
        <v>131</v>
      </c>
      <c r="B1004">
        <v>2015</v>
      </c>
      <c r="C1004" t="s">
        <v>147</v>
      </c>
      <c r="D1004" t="s">
        <v>148</v>
      </c>
      <c r="E1004" t="s">
        <v>65</v>
      </c>
      <c r="F1004">
        <v>1950</v>
      </c>
      <c r="G1004" t="s">
        <v>66</v>
      </c>
      <c r="H1004">
        <v>3</v>
      </c>
    </row>
    <row r="1005" spans="1:8" x14ac:dyDescent="0.3">
      <c r="A1005" t="s">
        <v>131</v>
      </c>
      <c r="B1005">
        <v>2016</v>
      </c>
      <c r="C1005" t="s">
        <v>147</v>
      </c>
      <c r="D1005" t="s">
        <v>148</v>
      </c>
      <c r="E1005" t="s">
        <v>65</v>
      </c>
      <c r="F1005">
        <v>1950</v>
      </c>
      <c r="G1005" t="s">
        <v>66</v>
      </c>
      <c r="H1005">
        <v>2</v>
      </c>
    </row>
    <row r="1006" spans="1:8" x14ac:dyDescent="0.3">
      <c r="A1006" t="s">
        <v>131</v>
      </c>
      <c r="B1006">
        <v>2020</v>
      </c>
      <c r="C1006" t="s">
        <v>147</v>
      </c>
      <c r="D1006" t="s">
        <v>148</v>
      </c>
      <c r="E1006" t="s">
        <v>65</v>
      </c>
      <c r="F1006">
        <v>1950</v>
      </c>
      <c r="G1006" t="s">
        <v>66</v>
      </c>
      <c r="H1006">
        <v>1</v>
      </c>
    </row>
    <row r="1007" spans="1:8" x14ac:dyDescent="0.3">
      <c r="A1007" t="s">
        <v>132</v>
      </c>
      <c r="B1007">
        <v>2014</v>
      </c>
      <c r="C1007" t="s">
        <v>147</v>
      </c>
      <c r="D1007" t="s">
        <v>148</v>
      </c>
      <c r="E1007" t="s">
        <v>65</v>
      </c>
      <c r="F1007">
        <v>3200</v>
      </c>
      <c r="G1007" t="s">
        <v>66</v>
      </c>
      <c r="H1007">
        <v>14</v>
      </c>
    </row>
    <row r="1008" spans="1:8" x14ac:dyDescent="0.3">
      <c r="A1008" t="s">
        <v>132</v>
      </c>
      <c r="B1008">
        <v>2015</v>
      </c>
      <c r="C1008" t="s">
        <v>147</v>
      </c>
      <c r="D1008" t="s">
        <v>148</v>
      </c>
      <c r="E1008" t="s">
        <v>65</v>
      </c>
      <c r="F1008">
        <v>3200</v>
      </c>
      <c r="G1008" t="s">
        <v>66</v>
      </c>
      <c r="H1008">
        <v>34</v>
      </c>
    </row>
    <row r="1009" spans="1:8" x14ac:dyDescent="0.3">
      <c r="A1009" t="s">
        <v>132</v>
      </c>
      <c r="B1009">
        <v>2016</v>
      </c>
      <c r="C1009" t="s">
        <v>147</v>
      </c>
      <c r="D1009" t="s">
        <v>148</v>
      </c>
      <c r="E1009" t="s">
        <v>65</v>
      </c>
      <c r="F1009">
        <v>3200</v>
      </c>
      <c r="G1009" t="s">
        <v>66</v>
      </c>
      <c r="H1009">
        <v>18</v>
      </c>
    </row>
    <row r="1010" spans="1:8" x14ac:dyDescent="0.3">
      <c r="A1010" t="s">
        <v>132</v>
      </c>
      <c r="B1010">
        <v>2017</v>
      </c>
      <c r="C1010" t="s">
        <v>147</v>
      </c>
      <c r="D1010" t="s">
        <v>148</v>
      </c>
      <c r="E1010" t="s">
        <v>65</v>
      </c>
      <c r="F1010">
        <v>3200</v>
      </c>
      <c r="G1010" t="s">
        <v>66</v>
      </c>
      <c r="H1010">
        <v>31</v>
      </c>
    </row>
    <row r="1011" spans="1:8" x14ac:dyDescent="0.3">
      <c r="A1011" t="s">
        <v>132</v>
      </c>
      <c r="B1011">
        <v>2018</v>
      </c>
      <c r="C1011" t="s">
        <v>147</v>
      </c>
      <c r="D1011" t="s">
        <v>148</v>
      </c>
      <c r="E1011" t="s">
        <v>65</v>
      </c>
      <c r="F1011">
        <v>3200</v>
      </c>
      <c r="G1011" t="s">
        <v>66</v>
      </c>
      <c r="H1011">
        <v>48</v>
      </c>
    </row>
    <row r="1012" spans="1:8" x14ac:dyDescent="0.3">
      <c r="A1012" t="s">
        <v>132</v>
      </c>
      <c r="B1012">
        <v>2019</v>
      </c>
      <c r="C1012" t="s">
        <v>147</v>
      </c>
      <c r="D1012" t="s">
        <v>148</v>
      </c>
      <c r="E1012" t="s">
        <v>65</v>
      </c>
      <c r="F1012">
        <v>3200</v>
      </c>
      <c r="G1012" t="s">
        <v>66</v>
      </c>
      <c r="H1012">
        <v>48</v>
      </c>
    </row>
    <row r="1013" spans="1:8" x14ac:dyDescent="0.3">
      <c r="A1013" t="s">
        <v>132</v>
      </c>
      <c r="B1013">
        <v>2020</v>
      </c>
      <c r="C1013" t="s">
        <v>147</v>
      </c>
      <c r="D1013" t="s">
        <v>148</v>
      </c>
      <c r="E1013" t="s">
        <v>65</v>
      </c>
      <c r="F1013">
        <v>3200</v>
      </c>
      <c r="G1013" t="s">
        <v>66</v>
      </c>
      <c r="H1013">
        <v>54</v>
      </c>
    </row>
    <row r="1014" spans="1:8" x14ac:dyDescent="0.3">
      <c r="A1014" t="s">
        <v>132</v>
      </c>
      <c r="B1014">
        <v>2021</v>
      </c>
      <c r="C1014" t="s">
        <v>147</v>
      </c>
      <c r="D1014" t="s">
        <v>148</v>
      </c>
      <c r="E1014" t="s">
        <v>65</v>
      </c>
      <c r="F1014">
        <v>3200</v>
      </c>
      <c r="G1014" t="s">
        <v>66</v>
      </c>
      <c r="H1014">
        <v>29</v>
      </c>
    </row>
    <row r="1015" spans="1:8" x14ac:dyDescent="0.3">
      <c r="A1015" t="s">
        <v>251</v>
      </c>
      <c r="B1015">
        <v>2014</v>
      </c>
      <c r="C1015" t="s">
        <v>147</v>
      </c>
      <c r="D1015" t="s">
        <v>148</v>
      </c>
      <c r="E1015" t="s">
        <v>65</v>
      </c>
      <c r="F1015">
        <v>5200</v>
      </c>
      <c r="G1015" t="s">
        <v>66</v>
      </c>
      <c r="H1015">
        <v>2</v>
      </c>
    </row>
    <row r="1016" spans="1:8" x14ac:dyDescent="0.3">
      <c r="A1016" t="s">
        <v>251</v>
      </c>
      <c r="B1016">
        <v>2015</v>
      </c>
      <c r="C1016" t="s">
        <v>147</v>
      </c>
      <c r="D1016" t="s">
        <v>148</v>
      </c>
      <c r="E1016" t="s">
        <v>65</v>
      </c>
      <c r="F1016">
        <v>5200</v>
      </c>
      <c r="G1016" t="s">
        <v>66</v>
      </c>
      <c r="H1016">
        <v>3</v>
      </c>
    </row>
    <row r="1017" spans="1:8" x14ac:dyDescent="0.3">
      <c r="A1017" t="s">
        <v>251</v>
      </c>
      <c r="B1017">
        <v>2016</v>
      </c>
      <c r="C1017" t="s">
        <v>147</v>
      </c>
      <c r="D1017" t="s">
        <v>148</v>
      </c>
      <c r="E1017" t="s">
        <v>65</v>
      </c>
      <c r="F1017">
        <v>5200</v>
      </c>
      <c r="G1017" t="s">
        <v>66</v>
      </c>
      <c r="H1017">
        <v>26</v>
      </c>
    </row>
    <row r="1018" spans="1:8" x14ac:dyDescent="0.3">
      <c r="A1018" t="s">
        <v>251</v>
      </c>
      <c r="B1018">
        <v>2017</v>
      </c>
      <c r="C1018" t="s">
        <v>147</v>
      </c>
      <c r="D1018" t="s">
        <v>148</v>
      </c>
      <c r="E1018" t="s">
        <v>65</v>
      </c>
      <c r="F1018">
        <v>5200</v>
      </c>
      <c r="G1018" t="s">
        <v>66</v>
      </c>
      <c r="H1018">
        <v>2</v>
      </c>
    </row>
    <row r="1019" spans="1:8" x14ac:dyDescent="0.3">
      <c r="A1019" t="s">
        <v>251</v>
      </c>
      <c r="B1019">
        <v>2018</v>
      </c>
      <c r="C1019" t="s">
        <v>147</v>
      </c>
      <c r="D1019" t="s">
        <v>148</v>
      </c>
      <c r="E1019" t="s">
        <v>65</v>
      </c>
      <c r="F1019">
        <v>5200</v>
      </c>
      <c r="G1019" t="s">
        <v>66</v>
      </c>
      <c r="H1019">
        <v>9</v>
      </c>
    </row>
    <row r="1020" spans="1:8" x14ac:dyDescent="0.3">
      <c r="A1020" t="s">
        <v>251</v>
      </c>
      <c r="B1020">
        <v>2019</v>
      </c>
      <c r="C1020" t="s">
        <v>147</v>
      </c>
      <c r="D1020" t="s">
        <v>148</v>
      </c>
      <c r="E1020" t="s">
        <v>65</v>
      </c>
      <c r="F1020">
        <v>5200</v>
      </c>
      <c r="G1020" t="s">
        <v>66</v>
      </c>
      <c r="H1020">
        <v>11</v>
      </c>
    </row>
    <row r="1021" spans="1:8" x14ac:dyDescent="0.3">
      <c r="A1021" t="s">
        <v>251</v>
      </c>
      <c r="B1021">
        <v>2020</v>
      </c>
      <c r="C1021" t="s">
        <v>147</v>
      </c>
      <c r="D1021" t="s">
        <v>148</v>
      </c>
      <c r="E1021" t="s">
        <v>65</v>
      </c>
      <c r="F1021">
        <v>5200</v>
      </c>
      <c r="G1021" t="s">
        <v>66</v>
      </c>
      <c r="H1021">
        <v>4</v>
      </c>
    </row>
    <row r="1022" spans="1:8" x14ac:dyDescent="0.3">
      <c r="A1022" t="s">
        <v>251</v>
      </c>
      <c r="B1022">
        <v>2021</v>
      </c>
      <c r="C1022" t="s">
        <v>147</v>
      </c>
      <c r="D1022" t="s">
        <v>148</v>
      </c>
      <c r="E1022" t="s">
        <v>65</v>
      </c>
      <c r="F1022">
        <v>5200</v>
      </c>
      <c r="G1022" t="s">
        <v>66</v>
      </c>
      <c r="H1022">
        <v>9</v>
      </c>
    </row>
    <row r="1023" spans="1:8" x14ac:dyDescent="0.3">
      <c r="A1023" t="s">
        <v>133</v>
      </c>
      <c r="B1023">
        <v>2014</v>
      </c>
      <c r="C1023" t="s">
        <v>147</v>
      </c>
      <c r="D1023" t="s">
        <v>148</v>
      </c>
      <c r="E1023" t="s">
        <v>65</v>
      </c>
      <c r="F1023">
        <v>2150</v>
      </c>
      <c r="G1023" t="s">
        <v>66</v>
      </c>
      <c r="H1023">
        <v>36</v>
      </c>
    </row>
    <row r="1024" spans="1:8" x14ac:dyDescent="0.3">
      <c r="A1024" t="s">
        <v>133</v>
      </c>
      <c r="B1024">
        <v>2015</v>
      </c>
      <c r="C1024" t="s">
        <v>147</v>
      </c>
      <c r="D1024" t="s">
        <v>148</v>
      </c>
      <c r="E1024" t="s">
        <v>65</v>
      </c>
      <c r="F1024">
        <v>2150</v>
      </c>
      <c r="G1024" t="s">
        <v>66</v>
      </c>
      <c r="H1024">
        <v>75</v>
      </c>
    </row>
    <row r="1025" spans="1:8" x14ac:dyDescent="0.3">
      <c r="A1025" t="s">
        <v>133</v>
      </c>
      <c r="B1025">
        <v>2016</v>
      </c>
      <c r="C1025" t="s">
        <v>147</v>
      </c>
      <c r="D1025" t="s">
        <v>148</v>
      </c>
      <c r="E1025" t="s">
        <v>65</v>
      </c>
      <c r="F1025">
        <v>2150</v>
      </c>
      <c r="G1025" t="s">
        <v>66</v>
      </c>
      <c r="H1025">
        <v>43</v>
      </c>
    </row>
    <row r="1026" spans="1:8" x14ac:dyDescent="0.3">
      <c r="A1026" t="s">
        <v>133</v>
      </c>
      <c r="B1026">
        <v>2017</v>
      </c>
      <c r="C1026" t="s">
        <v>147</v>
      </c>
      <c r="D1026" t="s">
        <v>148</v>
      </c>
      <c r="E1026" t="s">
        <v>65</v>
      </c>
      <c r="F1026">
        <v>2150</v>
      </c>
      <c r="G1026" t="s">
        <v>66</v>
      </c>
      <c r="H1026">
        <v>44</v>
      </c>
    </row>
    <row r="1027" spans="1:8" x14ac:dyDescent="0.3">
      <c r="A1027" t="s">
        <v>133</v>
      </c>
      <c r="B1027">
        <v>2018</v>
      </c>
      <c r="C1027" t="s">
        <v>147</v>
      </c>
      <c r="D1027" t="s">
        <v>148</v>
      </c>
      <c r="E1027" t="s">
        <v>65</v>
      </c>
      <c r="F1027">
        <v>2150</v>
      </c>
      <c r="G1027" t="s">
        <v>66</v>
      </c>
      <c r="H1027">
        <v>48</v>
      </c>
    </row>
    <row r="1028" spans="1:8" x14ac:dyDescent="0.3">
      <c r="A1028" t="s">
        <v>133</v>
      </c>
      <c r="B1028">
        <v>2019</v>
      </c>
      <c r="C1028" t="s">
        <v>147</v>
      </c>
      <c r="D1028" t="s">
        <v>148</v>
      </c>
      <c r="E1028" t="s">
        <v>65</v>
      </c>
      <c r="F1028">
        <v>2150</v>
      </c>
      <c r="G1028" t="s">
        <v>66</v>
      </c>
      <c r="H1028">
        <v>75</v>
      </c>
    </row>
    <row r="1029" spans="1:8" x14ac:dyDescent="0.3">
      <c r="A1029" t="s">
        <v>133</v>
      </c>
      <c r="B1029">
        <v>2020</v>
      </c>
      <c r="C1029" t="s">
        <v>147</v>
      </c>
      <c r="D1029" t="s">
        <v>148</v>
      </c>
      <c r="E1029" t="s">
        <v>65</v>
      </c>
      <c r="F1029">
        <v>2150</v>
      </c>
      <c r="G1029" t="s">
        <v>66</v>
      </c>
      <c r="H1029">
        <v>99</v>
      </c>
    </row>
    <row r="1030" spans="1:8" x14ac:dyDescent="0.3">
      <c r="A1030" t="s">
        <v>133</v>
      </c>
      <c r="B1030">
        <v>2021</v>
      </c>
      <c r="C1030" t="s">
        <v>147</v>
      </c>
      <c r="D1030" t="s">
        <v>148</v>
      </c>
      <c r="E1030" t="s">
        <v>65</v>
      </c>
      <c r="F1030">
        <v>2150</v>
      </c>
      <c r="G1030" t="s">
        <v>66</v>
      </c>
      <c r="H1030">
        <v>67</v>
      </c>
    </row>
    <row r="1031" spans="1:8" x14ac:dyDescent="0.3">
      <c r="A1031" t="s">
        <v>134</v>
      </c>
      <c r="B1031">
        <v>2014</v>
      </c>
      <c r="C1031" t="s">
        <v>147</v>
      </c>
      <c r="D1031" t="s">
        <v>148</v>
      </c>
      <c r="E1031" t="s">
        <v>65</v>
      </c>
      <c r="F1031">
        <v>3725</v>
      </c>
      <c r="G1031" t="s">
        <v>66</v>
      </c>
      <c r="H1031">
        <v>2</v>
      </c>
    </row>
    <row r="1032" spans="1:8" x14ac:dyDescent="0.3">
      <c r="A1032" t="s">
        <v>134</v>
      </c>
      <c r="B1032">
        <v>2015</v>
      </c>
      <c r="C1032" t="s">
        <v>147</v>
      </c>
      <c r="D1032" t="s">
        <v>148</v>
      </c>
      <c r="E1032" t="s">
        <v>65</v>
      </c>
      <c r="F1032">
        <v>3725</v>
      </c>
      <c r="G1032" t="s">
        <v>66</v>
      </c>
      <c r="H1032">
        <v>29</v>
      </c>
    </row>
    <row r="1033" spans="1:8" x14ac:dyDescent="0.3">
      <c r="A1033" t="s">
        <v>134</v>
      </c>
      <c r="B1033">
        <v>2016</v>
      </c>
      <c r="C1033" t="s">
        <v>147</v>
      </c>
      <c r="D1033" t="s">
        <v>148</v>
      </c>
      <c r="E1033" t="s">
        <v>65</v>
      </c>
      <c r="F1033">
        <v>3725</v>
      </c>
      <c r="G1033" t="s">
        <v>66</v>
      </c>
      <c r="H1033">
        <v>26</v>
      </c>
    </row>
    <row r="1034" spans="1:8" x14ac:dyDescent="0.3">
      <c r="A1034" t="s">
        <v>134</v>
      </c>
      <c r="B1034">
        <v>2017</v>
      </c>
      <c r="C1034" t="s">
        <v>147</v>
      </c>
      <c r="D1034" t="s">
        <v>148</v>
      </c>
      <c r="E1034" t="s">
        <v>65</v>
      </c>
      <c r="F1034">
        <v>3725</v>
      </c>
      <c r="G1034" t="s">
        <v>66</v>
      </c>
      <c r="H1034">
        <v>23</v>
      </c>
    </row>
    <row r="1035" spans="1:8" x14ac:dyDescent="0.3">
      <c r="A1035" t="s">
        <v>134</v>
      </c>
      <c r="B1035">
        <v>2018</v>
      </c>
      <c r="C1035" t="s">
        <v>147</v>
      </c>
      <c r="D1035" t="s">
        <v>148</v>
      </c>
      <c r="E1035" t="s">
        <v>65</v>
      </c>
      <c r="F1035">
        <v>3725</v>
      </c>
      <c r="G1035" t="s">
        <v>66</v>
      </c>
      <c r="H1035">
        <v>19</v>
      </c>
    </row>
    <row r="1036" spans="1:8" x14ac:dyDescent="0.3">
      <c r="A1036" t="s">
        <v>134</v>
      </c>
      <c r="B1036">
        <v>2019</v>
      </c>
      <c r="C1036" t="s">
        <v>147</v>
      </c>
      <c r="D1036" t="s">
        <v>148</v>
      </c>
      <c r="E1036" t="s">
        <v>65</v>
      </c>
      <c r="F1036">
        <v>3725</v>
      </c>
      <c r="G1036" t="s">
        <v>66</v>
      </c>
      <c r="H1036">
        <v>23</v>
      </c>
    </row>
    <row r="1037" spans="1:8" x14ac:dyDescent="0.3">
      <c r="A1037" t="s">
        <v>134</v>
      </c>
      <c r="B1037">
        <v>2020</v>
      </c>
      <c r="C1037" t="s">
        <v>147</v>
      </c>
      <c r="D1037" t="s">
        <v>148</v>
      </c>
      <c r="E1037" t="s">
        <v>65</v>
      </c>
      <c r="F1037">
        <v>3725</v>
      </c>
      <c r="G1037" t="s">
        <v>66</v>
      </c>
      <c r="H1037">
        <v>3</v>
      </c>
    </row>
    <row r="1038" spans="1:8" x14ac:dyDescent="0.3">
      <c r="A1038" t="s">
        <v>134</v>
      </c>
      <c r="B1038">
        <v>2021</v>
      </c>
      <c r="C1038" t="s">
        <v>147</v>
      </c>
      <c r="D1038" t="s">
        <v>148</v>
      </c>
      <c r="E1038" t="s">
        <v>65</v>
      </c>
      <c r="F1038">
        <v>3725</v>
      </c>
      <c r="G1038" t="s">
        <v>66</v>
      </c>
      <c r="H1038">
        <v>5</v>
      </c>
    </row>
    <row r="1039" spans="1:8" x14ac:dyDescent="0.3">
      <c r="A1039" t="s">
        <v>252</v>
      </c>
      <c r="B1039">
        <v>2014</v>
      </c>
      <c r="C1039" t="s">
        <v>147</v>
      </c>
      <c r="D1039" t="s">
        <v>148</v>
      </c>
      <c r="E1039" t="s">
        <v>65</v>
      </c>
      <c r="F1039">
        <v>6500</v>
      </c>
      <c r="G1039" t="s">
        <v>66</v>
      </c>
      <c r="H1039">
        <v>9</v>
      </c>
    </row>
    <row r="1040" spans="1:8" x14ac:dyDescent="0.3">
      <c r="A1040" t="s">
        <v>252</v>
      </c>
      <c r="B1040">
        <v>2015</v>
      </c>
      <c r="C1040" t="s">
        <v>147</v>
      </c>
      <c r="D1040" t="s">
        <v>148</v>
      </c>
      <c r="E1040" t="s">
        <v>65</v>
      </c>
      <c r="F1040">
        <v>6500</v>
      </c>
      <c r="G1040" t="s">
        <v>66</v>
      </c>
      <c r="H1040">
        <v>14</v>
      </c>
    </row>
    <row r="1041" spans="1:8" x14ac:dyDescent="0.3">
      <c r="A1041" t="s">
        <v>252</v>
      </c>
      <c r="B1041">
        <v>2016</v>
      </c>
      <c r="C1041" t="s">
        <v>147</v>
      </c>
      <c r="D1041" t="s">
        <v>148</v>
      </c>
      <c r="E1041" t="s">
        <v>65</v>
      </c>
      <c r="F1041">
        <v>6500</v>
      </c>
      <c r="G1041" t="s">
        <v>66</v>
      </c>
      <c r="H1041">
        <v>4</v>
      </c>
    </row>
    <row r="1042" spans="1:8" x14ac:dyDescent="0.3">
      <c r="A1042" t="s">
        <v>252</v>
      </c>
      <c r="B1042">
        <v>2017</v>
      </c>
      <c r="C1042" t="s">
        <v>147</v>
      </c>
      <c r="D1042" t="s">
        <v>148</v>
      </c>
      <c r="E1042" t="s">
        <v>65</v>
      </c>
      <c r="F1042">
        <v>6500</v>
      </c>
      <c r="G1042" t="s">
        <v>66</v>
      </c>
      <c r="H1042">
        <v>15</v>
      </c>
    </row>
    <row r="1043" spans="1:8" x14ac:dyDescent="0.3">
      <c r="A1043" t="s">
        <v>252</v>
      </c>
      <c r="B1043">
        <v>2018</v>
      </c>
      <c r="C1043" t="s">
        <v>147</v>
      </c>
      <c r="D1043" t="s">
        <v>148</v>
      </c>
      <c r="E1043" t="s">
        <v>65</v>
      </c>
      <c r="F1043">
        <v>6500</v>
      </c>
      <c r="G1043" t="s">
        <v>66</v>
      </c>
      <c r="H1043">
        <v>3</v>
      </c>
    </row>
    <row r="1044" spans="1:8" x14ac:dyDescent="0.3">
      <c r="A1044" t="s">
        <v>252</v>
      </c>
      <c r="B1044">
        <v>2019</v>
      </c>
      <c r="C1044" t="s">
        <v>147</v>
      </c>
      <c r="D1044" t="s">
        <v>148</v>
      </c>
      <c r="E1044" t="s">
        <v>65</v>
      </c>
      <c r="F1044">
        <v>6500</v>
      </c>
      <c r="G1044" t="s">
        <v>66</v>
      </c>
      <c r="H1044">
        <v>2</v>
      </c>
    </row>
    <row r="1045" spans="1:8" x14ac:dyDescent="0.3">
      <c r="A1045" t="s">
        <v>252</v>
      </c>
      <c r="B1045">
        <v>2020</v>
      </c>
      <c r="C1045" t="s">
        <v>147</v>
      </c>
      <c r="D1045" t="s">
        <v>148</v>
      </c>
      <c r="E1045" t="s">
        <v>65</v>
      </c>
      <c r="F1045">
        <v>6500</v>
      </c>
      <c r="G1045" t="s">
        <v>66</v>
      </c>
      <c r="H1045">
        <v>7</v>
      </c>
    </row>
    <row r="1046" spans="1:8" x14ac:dyDescent="0.3">
      <c r="A1046" t="s">
        <v>252</v>
      </c>
      <c r="B1046">
        <v>2021</v>
      </c>
      <c r="C1046" t="s">
        <v>147</v>
      </c>
      <c r="D1046" t="s">
        <v>148</v>
      </c>
      <c r="E1046" t="s">
        <v>65</v>
      </c>
      <c r="F1046">
        <v>6500</v>
      </c>
      <c r="G1046" t="s">
        <v>66</v>
      </c>
      <c r="H1046">
        <v>13</v>
      </c>
    </row>
    <row r="1047" spans="1:8" x14ac:dyDescent="0.3">
      <c r="A1047" t="s">
        <v>135</v>
      </c>
      <c r="B1047">
        <v>2014</v>
      </c>
      <c r="C1047" t="s">
        <v>147</v>
      </c>
      <c r="D1047" t="s">
        <v>148</v>
      </c>
      <c r="E1047" t="s">
        <v>65</v>
      </c>
      <c r="F1047">
        <v>3400</v>
      </c>
      <c r="G1047" t="s">
        <v>66</v>
      </c>
      <c r="H1047">
        <v>16</v>
      </c>
    </row>
    <row r="1048" spans="1:8" x14ac:dyDescent="0.3">
      <c r="A1048" t="s">
        <v>135</v>
      </c>
      <c r="B1048">
        <v>2015</v>
      </c>
      <c r="C1048" t="s">
        <v>147</v>
      </c>
      <c r="D1048" t="s">
        <v>148</v>
      </c>
      <c r="E1048" t="s">
        <v>65</v>
      </c>
      <c r="F1048">
        <v>3400</v>
      </c>
      <c r="G1048" t="s">
        <v>66</v>
      </c>
      <c r="H1048">
        <v>25</v>
      </c>
    </row>
    <row r="1049" spans="1:8" x14ac:dyDescent="0.3">
      <c r="A1049" t="s">
        <v>135</v>
      </c>
      <c r="B1049">
        <v>2016</v>
      </c>
      <c r="C1049" t="s">
        <v>147</v>
      </c>
      <c r="D1049" t="s">
        <v>148</v>
      </c>
      <c r="E1049" t="s">
        <v>65</v>
      </c>
      <c r="F1049">
        <v>3400</v>
      </c>
      <c r="G1049" t="s">
        <v>66</v>
      </c>
      <c r="H1049">
        <v>24</v>
      </c>
    </row>
    <row r="1050" spans="1:8" x14ac:dyDescent="0.3">
      <c r="A1050" t="s">
        <v>135</v>
      </c>
      <c r="B1050">
        <v>2017</v>
      </c>
      <c r="C1050" t="s">
        <v>147</v>
      </c>
      <c r="D1050" t="s">
        <v>148</v>
      </c>
      <c r="E1050" t="s">
        <v>65</v>
      </c>
      <c r="F1050">
        <v>3400</v>
      </c>
      <c r="G1050" t="s">
        <v>66</v>
      </c>
      <c r="H1050">
        <v>25</v>
      </c>
    </row>
    <row r="1051" spans="1:8" x14ac:dyDescent="0.3">
      <c r="A1051" t="s">
        <v>135</v>
      </c>
      <c r="B1051">
        <v>2018</v>
      </c>
      <c r="C1051" t="s">
        <v>147</v>
      </c>
      <c r="D1051" t="s">
        <v>148</v>
      </c>
      <c r="E1051" t="s">
        <v>65</v>
      </c>
      <c r="F1051">
        <v>3400</v>
      </c>
      <c r="G1051" t="s">
        <v>66</v>
      </c>
      <c r="H1051">
        <v>17</v>
      </c>
    </row>
    <row r="1052" spans="1:8" x14ac:dyDescent="0.3">
      <c r="A1052" t="s">
        <v>135</v>
      </c>
      <c r="B1052">
        <v>2019</v>
      </c>
      <c r="C1052" t="s">
        <v>147</v>
      </c>
      <c r="D1052" t="s">
        <v>148</v>
      </c>
      <c r="E1052" t="s">
        <v>65</v>
      </c>
      <c r="F1052">
        <v>3400</v>
      </c>
      <c r="G1052" t="s">
        <v>66</v>
      </c>
      <c r="H1052">
        <v>25</v>
      </c>
    </row>
    <row r="1053" spans="1:8" x14ac:dyDescent="0.3">
      <c r="A1053" t="s">
        <v>135</v>
      </c>
      <c r="B1053">
        <v>2020</v>
      </c>
      <c r="C1053" t="s">
        <v>147</v>
      </c>
      <c r="D1053" t="s">
        <v>148</v>
      </c>
      <c r="E1053" t="s">
        <v>65</v>
      </c>
      <c r="F1053">
        <v>3400</v>
      </c>
      <c r="G1053" t="s">
        <v>66</v>
      </c>
      <c r="H1053">
        <v>16</v>
      </c>
    </row>
    <row r="1054" spans="1:8" x14ac:dyDescent="0.3">
      <c r="A1054" t="s">
        <v>135</v>
      </c>
      <c r="B1054">
        <v>2021</v>
      </c>
      <c r="C1054" t="s">
        <v>147</v>
      </c>
      <c r="D1054" t="s">
        <v>148</v>
      </c>
      <c r="E1054" t="s">
        <v>65</v>
      </c>
      <c r="F1054">
        <v>3400</v>
      </c>
      <c r="G1054" t="s">
        <v>66</v>
      </c>
      <c r="H1054">
        <v>28</v>
      </c>
    </row>
    <row r="1055" spans="1:8" x14ac:dyDescent="0.3">
      <c r="A1055" t="s">
        <v>136</v>
      </c>
      <c r="B1055">
        <v>2014</v>
      </c>
      <c r="C1055" t="s">
        <v>147</v>
      </c>
      <c r="D1055" t="s">
        <v>148</v>
      </c>
      <c r="E1055" t="s">
        <v>65</v>
      </c>
      <c r="F1055">
        <v>4629</v>
      </c>
      <c r="G1055" t="s">
        <v>66</v>
      </c>
      <c r="H1055">
        <v>7</v>
      </c>
    </row>
    <row r="1056" spans="1:8" x14ac:dyDescent="0.3">
      <c r="A1056" t="s">
        <v>136</v>
      </c>
      <c r="B1056">
        <v>2015</v>
      </c>
      <c r="C1056" t="s">
        <v>147</v>
      </c>
      <c r="D1056" t="s">
        <v>148</v>
      </c>
      <c r="E1056" t="s">
        <v>65</v>
      </c>
      <c r="F1056">
        <v>4629</v>
      </c>
      <c r="G1056" t="s">
        <v>66</v>
      </c>
      <c r="H1056">
        <v>8</v>
      </c>
    </row>
    <row r="1057" spans="1:8" x14ac:dyDescent="0.3">
      <c r="A1057" t="s">
        <v>136</v>
      </c>
      <c r="B1057">
        <v>2016</v>
      </c>
      <c r="C1057" t="s">
        <v>147</v>
      </c>
      <c r="D1057" t="s">
        <v>148</v>
      </c>
      <c r="E1057" t="s">
        <v>65</v>
      </c>
      <c r="F1057">
        <v>4629</v>
      </c>
      <c r="G1057" t="s">
        <v>66</v>
      </c>
      <c r="H1057">
        <v>4</v>
      </c>
    </row>
    <row r="1058" spans="1:8" x14ac:dyDescent="0.3">
      <c r="A1058" t="s">
        <v>136</v>
      </c>
      <c r="B1058">
        <v>2017</v>
      </c>
      <c r="C1058" t="s">
        <v>147</v>
      </c>
      <c r="D1058" t="s">
        <v>148</v>
      </c>
      <c r="E1058" t="s">
        <v>65</v>
      </c>
      <c r="F1058">
        <v>4629</v>
      </c>
      <c r="G1058" t="s">
        <v>66</v>
      </c>
      <c r="H1058">
        <v>14</v>
      </c>
    </row>
    <row r="1059" spans="1:8" x14ac:dyDescent="0.3">
      <c r="A1059" t="s">
        <v>136</v>
      </c>
      <c r="B1059">
        <v>2018</v>
      </c>
      <c r="C1059" t="s">
        <v>147</v>
      </c>
      <c r="D1059" t="s">
        <v>148</v>
      </c>
      <c r="E1059" t="s">
        <v>65</v>
      </c>
      <c r="F1059">
        <v>4629</v>
      </c>
      <c r="G1059" t="s">
        <v>66</v>
      </c>
      <c r="H1059">
        <v>4</v>
      </c>
    </row>
    <row r="1060" spans="1:8" x14ac:dyDescent="0.3">
      <c r="A1060" t="s">
        <v>136</v>
      </c>
      <c r="B1060">
        <v>2019</v>
      </c>
      <c r="C1060" t="s">
        <v>147</v>
      </c>
      <c r="D1060" t="s">
        <v>148</v>
      </c>
      <c r="E1060" t="s">
        <v>65</v>
      </c>
      <c r="F1060">
        <v>4629</v>
      </c>
      <c r="G1060" t="s">
        <v>66</v>
      </c>
      <c r="H1060">
        <v>4</v>
      </c>
    </row>
    <row r="1061" spans="1:8" x14ac:dyDescent="0.3">
      <c r="A1061" t="s">
        <v>136</v>
      </c>
      <c r="B1061">
        <v>2020</v>
      </c>
      <c r="C1061" t="s">
        <v>147</v>
      </c>
      <c r="D1061" t="s">
        <v>148</v>
      </c>
      <c r="E1061" t="s">
        <v>65</v>
      </c>
      <c r="F1061">
        <v>4629</v>
      </c>
      <c r="G1061" t="s">
        <v>66</v>
      </c>
      <c r="H1061">
        <v>5</v>
      </c>
    </row>
    <row r="1062" spans="1:8" x14ac:dyDescent="0.3">
      <c r="A1062" t="s">
        <v>136</v>
      </c>
      <c r="B1062">
        <v>2021</v>
      </c>
      <c r="C1062" t="s">
        <v>147</v>
      </c>
      <c r="D1062" t="s">
        <v>148</v>
      </c>
      <c r="E1062" t="s">
        <v>65</v>
      </c>
      <c r="F1062">
        <v>4629</v>
      </c>
      <c r="G1062" t="s">
        <v>66</v>
      </c>
      <c r="H1062">
        <v>4</v>
      </c>
    </row>
    <row r="1063" spans="1:8" x14ac:dyDescent="0.3">
      <c r="A1063" t="s">
        <v>253</v>
      </c>
      <c r="B1063">
        <v>2014</v>
      </c>
      <c r="C1063" t="s">
        <v>147</v>
      </c>
      <c r="D1063" t="s">
        <v>148</v>
      </c>
      <c r="E1063" t="s">
        <v>65</v>
      </c>
      <c r="F1063">
        <v>3798</v>
      </c>
      <c r="G1063" t="s">
        <v>66</v>
      </c>
      <c r="H1063">
        <v>15</v>
      </c>
    </row>
    <row r="1064" spans="1:8" x14ac:dyDescent="0.3">
      <c r="A1064" t="s">
        <v>253</v>
      </c>
      <c r="B1064">
        <v>2015</v>
      </c>
      <c r="C1064" t="s">
        <v>147</v>
      </c>
      <c r="D1064" t="s">
        <v>148</v>
      </c>
      <c r="E1064" t="s">
        <v>65</v>
      </c>
      <c r="F1064">
        <v>3798</v>
      </c>
      <c r="G1064" t="s">
        <v>66</v>
      </c>
      <c r="H1064">
        <v>27</v>
      </c>
    </row>
    <row r="1065" spans="1:8" x14ac:dyDescent="0.3">
      <c r="A1065" t="s">
        <v>253</v>
      </c>
      <c r="B1065">
        <v>2016</v>
      </c>
      <c r="C1065" t="s">
        <v>147</v>
      </c>
      <c r="D1065" t="s">
        <v>148</v>
      </c>
      <c r="E1065" t="s">
        <v>65</v>
      </c>
      <c r="F1065">
        <v>3798</v>
      </c>
      <c r="G1065" t="s">
        <v>66</v>
      </c>
      <c r="H1065">
        <v>20</v>
      </c>
    </row>
    <row r="1066" spans="1:8" x14ac:dyDescent="0.3">
      <c r="A1066" t="s">
        <v>253</v>
      </c>
      <c r="B1066">
        <v>2017</v>
      </c>
      <c r="C1066" t="s">
        <v>147</v>
      </c>
      <c r="D1066" t="s">
        <v>148</v>
      </c>
      <c r="E1066" t="s">
        <v>65</v>
      </c>
      <c r="F1066">
        <v>3798</v>
      </c>
      <c r="G1066" t="s">
        <v>66</v>
      </c>
      <c r="H1066">
        <v>21</v>
      </c>
    </row>
    <row r="1067" spans="1:8" x14ac:dyDescent="0.3">
      <c r="A1067" t="s">
        <v>253</v>
      </c>
      <c r="B1067">
        <v>2018</v>
      </c>
      <c r="C1067" t="s">
        <v>147</v>
      </c>
      <c r="D1067" t="s">
        <v>148</v>
      </c>
      <c r="E1067" t="s">
        <v>65</v>
      </c>
      <c r="F1067">
        <v>3798</v>
      </c>
      <c r="G1067" t="s">
        <v>66</v>
      </c>
      <c r="H1067">
        <v>12</v>
      </c>
    </row>
    <row r="1068" spans="1:8" x14ac:dyDescent="0.3">
      <c r="A1068" t="s">
        <v>253</v>
      </c>
      <c r="B1068">
        <v>2019</v>
      </c>
      <c r="C1068" t="s">
        <v>147</v>
      </c>
      <c r="D1068" t="s">
        <v>148</v>
      </c>
      <c r="E1068" t="s">
        <v>65</v>
      </c>
      <c r="F1068">
        <v>3798</v>
      </c>
      <c r="G1068" t="s">
        <v>66</v>
      </c>
      <c r="H1068">
        <v>20</v>
      </c>
    </row>
    <row r="1069" spans="1:8" x14ac:dyDescent="0.3">
      <c r="A1069" t="s">
        <v>253</v>
      </c>
      <c r="B1069">
        <v>2020</v>
      </c>
      <c r="C1069" t="s">
        <v>147</v>
      </c>
      <c r="D1069" t="s">
        <v>148</v>
      </c>
      <c r="E1069" t="s">
        <v>65</v>
      </c>
      <c r="F1069">
        <v>3798</v>
      </c>
      <c r="G1069" t="s">
        <v>66</v>
      </c>
      <c r="H1069">
        <v>20</v>
      </c>
    </row>
    <row r="1070" spans="1:8" x14ac:dyDescent="0.3">
      <c r="A1070" t="s">
        <v>253</v>
      </c>
      <c r="B1070">
        <v>2021</v>
      </c>
      <c r="C1070" t="s">
        <v>147</v>
      </c>
      <c r="D1070" t="s">
        <v>148</v>
      </c>
      <c r="E1070" t="s">
        <v>65</v>
      </c>
      <c r="F1070">
        <v>3798</v>
      </c>
      <c r="G1070" t="s">
        <v>66</v>
      </c>
      <c r="H1070">
        <v>28</v>
      </c>
    </row>
    <row r="1071" spans="1:8" x14ac:dyDescent="0.3">
      <c r="A1071" t="s">
        <v>137</v>
      </c>
      <c r="B1071">
        <v>2014</v>
      </c>
      <c r="C1071" t="s">
        <v>147</v>
      </c>
      <c r="D1071" t="s">
        <v>148</v>
      </c>
      <c r="E1071" t="s">
        <v>65</v>
      </c>
      <c r="F1071">
        <v>4299</v>
      </c>
      <c r="G1071" t="s">
        <v>66</v>
      </c>
      <c r="H1071">
        <v>29</v>
      </c>
    </row>
    <row r="1072" spans="1:8" x14ac:dyDescent="0.3">
      <c r="A1072" t="s">
        <v>137</v>
      </c>
      <c r="B1072">
        <v>2015</v>
      </c>
      <c r="C1072" t="s">
        <v>147</v>
      </c>
      <c r="D1072" t="s">
        <v>148</v>
      </c>
      <c r="E1072" t="s">
        <v>65</v>
      </c>
      <c r="F1072">
        <v>4299</v>
      </c>
      <c r="G1072" t="s">
        <v>66</v>
      </c>
      <c r="H1072">
        <v>42</v>
      </c>
    </row>
    <row r="1073" spans="1:8" x14ac:dyDescent="0.3">
      <c r="A1073" t="s">
        <v>137</v>
      </c>
      <c r="B1073">
        <v>2016</v>
      </c>
      <c r="C1073" t="s">
        <v>147</v>
      </c>
      <c r="D1073" t="s">
        <v>148</v>
      </c>
      <c r="E1073" t="s">
        <v>65</v>
      </c>
      <c r="F1073">
        <v>4299</v>
      </c>
      <c r="G1073" t="s">
        <v>66</v>
      </c>
      <c r="H1073">
        <v>50</v>
      </c>
    </row>
    <row r="1074" spans="1:8" x14ac:dyDescent="0.3">
      <c r="A1074" t="s">
        <v>137</v>
      </c>
      <c r="B1074">
        <v>2017</v>
      </c>
      <c r="C1074" t="s">
        <v>147</v>
      </c>
      <c r="D1074" t="s">
        <v>148</v>
      </c>
      <c r="E1074" t="s">
        <v>65</v>
      </c>
      <c r="F1074">
        <v>4299</v>
      </c>
      <c r="G1074" t="s">
        <v>66</v>
      </c>
      <c r="H1074">
        <v>57</v>
      </c>
    </row>
    <row r="1075" spans="1:8" x14ac:dyDescent="0.3">
      <c r="A1075" t="s">
        <v>137</v>
      </c>
      <c r="B1075">
        <v>2018</v>
      </c>
      <c r="C1075" t="s">
        <v>147</v>
      </c>
      <c r="D1075" t="s">
        <v>148</v>
      </c>
      <c r="E1075" t="s">
        <v>65</v>
      </c>
      <c r="F1075">
        <v>4299</v>
      </c>
      <c r="G1075" t="s">
        <v>66</v>
      </c>
      <c r="H1075">
        <v>31</v>
      </c>
    </row>
    <row r="1076" spans="1:8" x14ac:dyDescent="0.3">
      <c r="A1076" t="s">
        <v>137</v>
      </c>
      <c r="B1076">
        <v>2019</v>
      </c>
      <c r="C1076" t="s">
        <v>147</v>
      </c>
      <c r="D1076" t="s">
        <v>148</v>
      </c>
      <c r="E1076" t="s">
        <v>65</v>
      </c>
      <c r="F1076">
        <v>4299</v>
      </c>
      <c r="G1076" t="s">
        <v>66</v>
      </c>
      <c r="H1076">
        <v>18</v>
      </c>
    </row>
    <row r="1077" spans="1:8" x14ac:dyDescent="0.3">
      <c r="A1077" t="s">
        <v>137</v>
      </c>
      <c r="B1077">
        <v>2020</v>
      </c>
      <c r="C1077" t="s">
        <v>147</v>
      </c>
      <c r="D1077" t="s">
        <v>148</v>
      </c>
      <c r="E1077" t="s">
        <v>65</v>
      </c>
      <c r="F1077">
        <v>4299</v>
      </c>
      <c r="G1077" t="s">
        <v>66</v>
      </c>
      <c r="H1077">
        <v>41</v>
      </c>
    </row>
    <row r="1078" spans="1:8" x14ac:dyDescent="0.3">
      <c r="A1078" t="s">
        <v>137</v>
      </c>
      <c r="B1078">
        <v>2021</v>
      </c>
      <c r="C1078" t="s">
        <v>147</v>
      </c>
      <c r="D1078" t="s">
        <v>148</v>
      </c>
      <c r="E1078" t="s">
        <v>65</v>
      </c>
      <c r="F1078">
        <v>4299</v>
      </c>
      <c r="G1078" t="s">
        <v>66</v>
      </c>
      <c r="H1078">
        <v>29</v>
      </c>
    </row>
    <row r="1079" spans="1:8" x14ac:dyDescent="0.3">
      <c r="A1079" t="s">
        <v>254</v>
      </c>
      <c r="B1079">
        <v>2014</v>
      </c>
      <c r="C1079" t="s">
        <v>147</v>
      </c>
      <c r="D1079" t="s">
        <v>148</v>
      </c>
      <c r="E1079" t="s">
        <v>65</v>
      </c>
      <c r="F1079">
        <v>8699</v>
      </c>
      <c r="G1079" t="s">
        <v>66</v>
      </c>
      <c r="H1079">
        <v>7</v>
      </c>
    </row>
    <row r="1080" spans="1:8" x14ac:dyDescent="0.3">
      <c r="A1080" t="s">
        <v>254</v>
      </c>
      <c r="B1080">
        <v>2015</v>
      </c>
      <c r="C1080" t="s">
        <v>147</v>
      </c>
      <c r="D1080" t="s">
        <v>148</v>
      </c>
      <c r="E1080" t="s">
        <v>65</v>
      </c>
      <c r="F1080">
        <v>8699</v>
      </c>
      <c r="G1080" t="s">
        <v>66</v>
      </c>
      <c r="H1080">
        <v>4</v>
      </c>
    </row>
    <row r="1081" spans="1:8" x14ac:dyDescent="0.3">
      <c r="A1081" t="s">
        <v>254</v>
      </c>
      <c r="B1081">
        <v>2016</v>
      </c>
      <c r="C1081" t="s">
        <v>147</v>
      </c>
      <c r="D1081" t="s">
        <v>148</v>
      </c>
      <c r="E1081" t="s">
        <v>65</v>
      </c>
      <c r="F1081">
        <v>8699</v>
      </c>
      <c r="G1081" t="s">
        <v>66</v>
      </c>
      <c r="H1081">
        <v>5</v>
      </c>
    </row>
    <row r="1082" spans="1:8" x14ac:dyDescent="0.3">
      <c r="A1082" t="s">
        <v>254</v>
      </c>
      <c r="B1082">
        <v>2017</v>
      </c>
      <c r="C1082" t="s">
        <v>147</v>
      </c>
      <c r="D1082" t="s">
        <v>148</v>
      </c>
      <c r="E1082" t="s">
        <v>65</v>
      </c>
      <c r="F1082">
        <v>8699</v>
      </c>
      <c r="G1082" t="s">
        <v>66</v>
      </c>
      <c r="H1082">
        <v>5</v>
      </c>
    </row>
    <row r="1083" spans="1:8" x14ac:dyDescent="0.3">
      <c r="A1083" t="s">
        <v>254</v>
      </c>
      <c r="B1083">
        <v>2019</v>
      </c>
      <c r="C1083" t="s">
        <v>147</v>
      </c>
      <c r="D1083" t="s">
        <v>148</v>
      </c>
      <c r="E1083" t="s">
        <v>65</v>
      </c>
      <c r="F1083">
        <v>8699</v>
      </c>
      <c r="G1083" t="s">
        <v>66</v>
      </c>
      <c r="H1083">
        <v>2</v>
      </c>
    </row>
    <row r="1084" spans="1:8" x14ac:dyDescent="0.3">
      <c r="A1084" t="s">
        <v>254</v>
      </c>
      <c r="B1084">
        <v>2020</v>
      </c>
      <c r="C1084" t="s">
        <v>147</v>
      </c>
      <c r="D1084" t="s">
        <v>148</v>
      </c>
      <c r="E1084" t="s">
        <v>65</v>
      </c>
      <c r="F1084">
        <v>8699</v>
      </c>
      <c r="G1084" t="s">
        <v>66</v>
      </c>
      <c r="H1084">
        <v>1</v>
      </c>
    </row>
    <row r="1085" spans="1:8" x14ac:dyDescent="0.3">
      <c r="A1085" t="s">
        <v>254</v>
      </c>
      <c r="B1085">
        <v>2021</v>
      </c>
      <c r="C1085" t="s">
        <v>147</v>
      </c>
      <c r="D1085" t="s">
        <v>148</v>
      </c>
      <c r="E1085" t="s">
        <v>65</v>
      </c>
      <c r="F1085">
        <v>8699</v>
      </c>
      <c r="G1085" t="s">
        <v>66</v>
      </c>
      <c r="H1085">
        <v>3</v>
      </c>
    </row>
    <row r="1086" spans="1:8" x14ac:dyDescent="0.3">
      <c r="A1086" t="s">
        <v>138</v>
      </c>
      <c r="B1086">
        <v>2014</v>
      </c>
      <c r="C1086" t="s">
        <v>147</v>
      </c>
      <c r="D1086" t="s">
        <v>148</v>
      </c>
      <c r="E1086" t="s">
        <v>65</v>
      </c>
      <c r="F1086">
        <v>9479</v>
      </c>
      <c r="G1086" t="s">
        <v>66</v>
      </c>
      <c r="H1086">
        <v>60</v>
      </c>
    </row>
    <row r="1087" spans="1:8" x14ac:dyDescent="0.3">
      <c r="A1087" t="s">
        <v>138</v>
      </c>
      <c r="B1087">
        <v>2015</v>
      </c>
      <c r="C1087" t="s">
        <v>147</v>
      </c>
      <c r="D1087" t="s">
        <v>148</v>
      </c>
      <c r="E1087" t="s">
        <v>65</v>
      </c>
      <c r="F1087">
        <v>9479</v>
      </c>
      <c r="G1087" t="s">
        <v>66</v>
      </c>
      <c r="H1087">
        <v>59</v>
      </c>
    </row>
    <row r="1088" spans="1:8" x14ac:dyDescent="0.3">
      <c r="A1088" t="s">
        <v>138</v>
      </c>
      <c r="B1088">
        <v>2016</v>
      </c>
      <c r="C1088" t="s">
        <v>147</v>
      </c>
      <c r="D1088" t="s">
        <v>148</v>
      </c>
      <c r="E1088" t="s">
        <v>65</v>
      </c>
      <c r="F1088">
        <v>9479</v>
      </c>
      <c r="G1088" t="s">
        <v>66</v>
      </c>
      <c r="H1088">
        <v>8</v>
      </c>
    </row>
    <row r="1089" spans="1:8" x14ac:dyDescent="0.3">
      <c r="A1089" t="s">
        <v>138</v>
      </c>
      <c r="B1089">
        <v>2017</v>
      </c>
      <c r="C1089" t="s">
        <v>147</v>
      </c>
      <c r="D1089" t="s">
        <v>148</v>
      </c>
      <c r="E1089" t="s">
        <v>65</v>
      </c>
      <c r="F1089">
        <v>9479</v>
      </c>
      <c r="G1089" t="s">
        <v>66</v>
      </c>
      <c r="H1089">
        <v>10</v>
      </c>
    </row>
    <row r="1090" spans="1:8" x14ac:dyDescent="0.3">
      <c r="A1090" t="s">
        <v>138</v>
      </c>
      <c r="B1090">
        <v>2018</v>
      </c>
      <c r="C1090" t="s">
        <v>147</v>
      </c>
      <c r="D1090" t="s">
        <v>148</v>
      </c>
      <c r="E1090" t="s">
        <v>65</v>
      </c>
      <c r="F1090">
        <v>9479</v>
      </c>
      <c r="G1090" t="s">
        <v>66</v>
      </c>
      <c r="H1090">
        <v>7</v>
      </c>
    </row>
    <row r="1091" spans="1:8" x14ac:dyDescent="0.3">
      <c r="A1091" t="s">
        <v>138</v>
      </c>
      <c r="B1091">
        <v>2019</v>
      </c>
      <c r="C1091" t="s">
        <v>147</v>
      </c>
      <c r="D1091" t="s">
        <v>148</v>
      </c>
      <c r="E1091" t="s">
        <v>65</v>
      </c>
      <c r="F1091">
        <v>9479</v>
      </c>
      <c r="G1091" t="s">
        <v>66</v>
      </c>
      <c r="H1091">
        <v>4</v>
      </c>
    </row>
    <row r="1092" spans="1:8" x14ac:dyDescent="0.3">
      <c r="A1092" t="s">
        <v>138</v>
      </c>
      <c r="B1092">
        <v>2020</v>
      </c>
      <c r="C1092" t="s">
        <v>147</v>
      </c>
      <c r="D1092" t="s">
        <v>148</v>
      </c>
      <c r="E1092" t="s">
        <v>65</v>
      </c>
      <c r="F1092">
        <v>9479</v>
      </c>
      <c r="G1092" t="s">
        <v>66</v>
      </c>
      <c r="H1092">
        <v>5</v>
      </c>
    </row>
    <row r="1093" spans="1:8" x14ac:dyDescent="0.3">
      <c r="A1093" t="s">
        <v>138</v>
      </c>
      <c r="B1093">
        <v>2021</v>
      </c>
      <c r="C1093" t="s">
        <v>147</v>
      </c>
      <c r="D1093" t="s">
        <v>148</v>
      </c>
      <c r="E1093" t="s">
        <v>65</v>
      </c>
      <c r="F1093">
        <v>9479</v>
      </c>
      <c r="G1093" t="s">
        <v>66</v>
      </c>
      <c r="H1093">
        <v>2</v>
      </c>
    </row>
    <row r="1094" spans="1:8" x14ac:dyDescent="0.3">
      <c r="A1094" t="s">
        <v>139</v>
      </c>
      <c r="B1094">
        <v>2014</v>
      </c>
      <c r="C1094" t="s">
        <v>147</v>
      </c>
      <c r="D1094" t="s">
        <v>148</v>
      </c>
      <c r="E1094" t="s">
        <v>65</v>
      </c>
      <c r="F1094">
        <v>9039</v>
      </c>
      <c r="G1094" t="s">
        <v>66</v>
      </c>
      <c r="H1094">
        <v>24</v>
      </c>
    </row>
    <row r="1095" spans="1:8" x14ac:dyDescent="0.3">
      <c r="A1095" t="s">
        <v>139</v>
      </c>
      <c r="B1095">
        <v>2015</v>
      </c>
      <c r="C1095" t="s">
        <v>147</v>
      </c>
      <c r="D1095" t="s">
        <v>148</v>
      </c>
      <c r="E1095" t="s">
        <v>65</v>
      </c>
      <c r="F1095">
        <v>9039</v>
      </c>
      <c r="G1095" t="s">
        <v>66</v>
      </c>
      <c r="H1095">
        <v>74</v>
      </c>
    </row>
    <row r="1096" spans="1:8" x14ac:dyDescent="0.3">
      <c r="A1096" t="s">
        <v>139</v>
      </c>
      <c r="B1096">
        <v>2016</v>
      </c>
      <c r="C1096" t="s">
        <v>147</v>
      </c>
      <c r="D1096" t="s">
        <v>148</v>
      </c>
      <c r="E1096" t="s">
        <v>65</v>
      </c>
      <c r="F1096">
        <v>9039</v>
      </c>
      <c r="G1096" t="s">
        <v>66</v>
      </c>
      <c r="H1096">
        <v>100</v>
      </c>
    </row>
    <row r="1097" spans="1:8" x14ac:dyDescent="0.3">
      <c r="A1097" t="s">
        <v>139</v>
      </c>
      <c r="B1097">
        <v>2017</v>
      </c>
      <c r="C1097" t="s">
        <v>147</v>
      </c>
      <c r="D1097" t="s">
        <v>148</v>
      </c>
      <c r="E1097" t="s">
        <v>65</v>
      </c>
      <c r="F1097">
        <v>9039</v>
      </c>
      <c r="G1097" t="s">
        <v>66</v>
      </c>
      <c r="H1097">
        <v>115</v>
      </c>
    </row>
    <row r="1098" spans="1:8" x14ac:dyDescent="0.3">
      <c r="A1098" t="s">
        <v>139</v>
      </c>
      <c r="B1098">
        <v>2018</v>
      </c>
      <c r="C1098" t="s">
        <v>147</v>
      </c>
      <c r="D1098" t="s">
        <v>148</v>
      </c>
      <c r="E1098" t="s">
        <v>65</v>
      </c>
      <c r="F1098">
        <v>9039</v>
      </c>
      <c r="G1098" t="s">
        <v>66</v>
      </c>
      <c r="H1098">
        <v>145</v>
      </c>
    </row>
    <row r="1099" spans="1:8" x14ac:dyDescent="0.3">
      <c r="A1099" t="s">
        <v>139</v>
      </c>
      <c r="B1099">
        <v>2019</v>
      </c>
      <c r="C1099" t="s">
        <v>147</v>
      </c>
      <c r="D1099" t="s">
        <v>148</v>
      </c>
      <c r="E1099" t="s">
        <v>65</v>
      </c>
      <c r="F1099">
        <v>9039</v>
      </c>
      <c r="G1099" t="s">
        <v>66</v>
      </c>
      <c r="H1099">
        <v>96</v>
      </c>
    </row>
    <row r="1100" spans="1:8" x14ac:dyDescent="0.3">
      <c r="A1100" t="s">
        <v>139</v>
      </c>
      <c r="B1100">
        <v>2020</v>
      </c>
      <c r="C1100" t="s">
        <v>147</v>
      </c>
      <c r="D1100" t="s">
        <v>148</v>
      </c>
      <c r="E1100" t="s">
        <v>65</v>
      </c>
      <c r="F1100">
        <v>9039</v>
      </c>
      <c r="G1100" t="s">
        <v>66</v>
      </c>
      <c r="H1100">
        <v>122</v>
      </c>
    </row>
    <row r="1101" spans="1:8" x14ac:dyDescent="0.3">
      <c r="A1101" t="s">
        <v>139</v>
      </c>
      <c r="B1101">
        <v>2021</v>
      </c>
      <c r="C1101" t="s">
        <v>147</v>
      </c>
      <c r="D1101" t="s">
        <v>148</v>
      </c>
      <c r="E1101" t="s">
        <v>65</v>
      </c>
      <c r="F1101">
        <v>9039</v>
      </c>
      <c r="G1101" t="s">
        <v>66</v>
      </c>
      <c r="H1101">
        <v>117</v>
      </c>
    </row>
    <row r="1102" spans="1:8" x14ac:dyDescent="0.3">
      <c r="A1102" t="s">
        <v>255</v>
      </c>
      <c r="B1102">
        <v>2019</v>
      </c>
      <c r="C1102" t="s">
        <v>147</v>
      </c>
      <c r="D1102" t="s">
        <v>148</v>
      </c>
      <c r="E1102" t="s">
        <v>65</v>
      </c>
      <c r="F1102">
        <v>18300</v>
      </c>
      <c r="G1102" t="s">
        <v>72</v>
      </c>
      <c r="H1102">
        <v>2</v>
      </c>
    </row>
    <row r="1103" spans="1:8" x14ac:dyDescent="0.3">
      <c r="A1103" t="s">
        <v>255</v>
      </c>
      <c r="B1103">
        <v>2020</v>
      </c>
      <c r="C1103" t="s">
        <v>147</v>
      </c>
      <c r="D1103" t="s">
        <v>148</v>
      </c>
      <c r="E1103" t="s">
        <v>65</v>
      </c>
      <c r="F1103">
        <v>18300</v>
      </c>
      <c r="G1103" t="s">
        <v>72</v>
      </c>
      <c r="H1103">
        <v>13</v>
      </c>
    </row>
    <row r="1104" spans="1:8" x14ac:dyDescent="0.3">
      <c r="A1104" t="s">
        <v>255</v>
      </c>
      <c r="B1104">
        <v>2021</v>
      </c>
      <c r="C1104" t="s">
        <v>147</v>
      </c>
      <c r="D1104" t="s">
        <v>148</v>
      </c>
      <c r="E1104" t="s">
        <v>65</v>
      </c>
      <c r="F1104">
        <v>18300</v>
      </c>
      <c r="G1104" t="s">
        <v>72</v>
      </c>
      <c r="H1104">
        <v>17</v>
      </c>
    </row>
    <row r="1105" spans="1:8" x14ac:dyDescent="0.3">
      <c r="A1105" t="s">
        <v>256</v>
      </c>
      <c r="B1105">
        <v>2014</v>
      </c>
      <c r="C1105" t="s">
        <v>147</v>
      </c>
      <c r="D1105" t="s">
        <v>148</v>
      </c>
      <c r="E1105" t="s">
        <v>65</v>
      </c>
      <c r="F1105">
        <v>8800</v>
      </c>
      <c r="G1105" t="s">
        <v>66</v>
      </c>
      <c r="H1105">
        <v>25</v>
      </c>
    </row>
    <row r="1106" spans="1:8" x14ac:dyDescent="0.3">
      <c r="A1106" t="s">
        <v>256</v>
      </c>
      <c r="B1106">
        <v>2015</v>
      </c>
      <c r="C1106" t="s">
        <v>147</v>
      </c>
      <c r="D1106" t="s">
        <v>148</v>
      </c>
      <c r="E1106" t="s">
        <v>65</v>
      </c>
      <c r="F1106">
        <v>8800</v>
      </c>
      <c r="G1106" t="s">
        <v>66</v>
      </c>
      <c r="H1106">
        <v>38</v>
      </c>
    </row>
    <row r="1107" spans="1:8" x14ac:dyDescent="0.3">
      <c r="A1107" t="s">
        <v>256</v>
      </c>
      <c r="B1107">
        <v>2016</v>
      </c>
      <c r="C1107" t="s">
        <v>147</v>
      </c>
      <c r="D1107" t="s">
        <v>148</v>
      </c>
      <c r="E1107" t="s">
        <v>65</v>
      </c>
      <c r="F1107">
        <v>8800</v>
      </c>
      <c r="G1107" t="s">
        <v>66</v>
      </c>
      <c r="H1107">
        <v>45</v>
      </c>
    </row>
    <row r="1108" spans="1:8" x14ac:dyDescent="0.3">
      <c r="A1108" t="s">
        <v>256</v>
      </c>
      <c r="B1108">
        <v>2017</v>
      </c>
      <c r="C1108" t="s">
        <v>147</v>
      </c>
      <c r="D1108" t="s">
        <v>148</v>
      </c>
      <c r="E1108" t="s">
        <v>65</v>
      </c>
      <c r="F1108">
        <v>8800</v>
      </c>
      <c r="G1108" t="s">
        <v>66</v>
      </c>
      <c r="H1108">
        <v>58</v>
      </c>
    </row>
    <row r="1109" spans="1:8" x14ac:dyDescent="0.3">
      <c r="A1109" t="s">
        <v>256</v>
      </c>
      <c r="B1109">
        <v>2018</v>
      </c>
      <c r="C1109" t="s">
        <v>147</v>
      </c>
      <c r="D1109" t="s">
        <v>148</v>
      </c>
      <c r="E1109" t="s">
        <v>65</v>
      </c>
      <c r="F1109">
        <v>8800</v>
      </c>
      <c r="G1109" t="s">
        <v>66</v>
      </c>
      <c r="H1109">
        <v>66</v>
      </c>
    </row>
    <row r="1110" spans="1:8" x14ac:dyDescent="0.3">
      <c r="A1110" t="s">
        <v>256</v>
      </c>
      <c r="B1110">
        <v>2019</v>
      </c>
      <c r="C1110" t="s">
        <v>147</v>
      </c>
      <c r="D1110" t="s">
        <v>148</v>
      </c>
      <c r="E1110" t="s">
        <v>65</v>
      </c>
      <c r="F1110">
        <v>8800</v>
      </c>
      <c r="G1110" t="s">
        <v>66</v>
      </c>
      <c r="H1110">
        <v>55</v>
      </c>
    </row>
    <row r="1111" spans="1:8" x14ac:dyDescent="0.3">
      <c r="A1111" t="s">
        <v>256</v>
      </c>
      <c r="B1111">
        <v>2020</v>
      </c>
      <c r="C1111" t="s">
        <v>147</v>
      </c>
      <c r="D1111" t="s">
        <v>148</v>
      </c>
      <c r="E1111" t="s">
        <v>65</v>
      </c>
      <c r="F1111">
        <v>8800</v>
      </c>
      <c r="G1111" t="s">
        <v>66</v>
      </c>
      <c r="H1111">
        <v>42</v>
      </c>
    </row>
    <row r="1112" spans="1:8" x14ac:dyDescent="0.3">
      <c r="A1112" t="s">
        <v>256</v>
      </c>
      <c r="B1112">
        <v>2021</v>
      </c>
      <c r="C1112" t="s">
        <v>147</v>
      </c>
      <c r="D1112" t="s">
        <v>148</v>
      </c>
      <c r="E1112" t="s">
        <v>65</v>
      </c>
      <c r="F1112">
        <v>8800</v>
      </c>
      <c r="G1112" t="s">
        <v>66</v>
      </c>
      <c r="H1112">
        <v>51</v>
      </c>
    </row>
    <row r="1113" spans="1:8" x14ac:dyDescent="0.3">
      <c r="A1113" t="s">
        <v>257</v>
      </c>
      <c r="B1113">
        <v>2020</v>
      </c>
      <c r="C1113" t="s">
        <v>147</v>
      </c>
      <c r="D1113" t="s">
        <v>148</v>
      </c>
      <c r="E1113" t="s">
        <v>65</v>
      </c>
      <c r="F1113">
        <v>321874</v>
      </c>
      <c r="G1113" t="s">
        <v>83</v>
      </c>
      <c r="H1113">
        <v>1</v>
      </c>
    </row>
    <row r="1114" spans="1:8" x14ac:dyDescent="0.3">
      <c r="A1114" t="s">
        <v>258</v>
      </c>
      <c r="B1114">
        <v>2016</v>
      </c>
      <c r="C1114" t="s">
        <v>147</v>
      </c>
      <c r="D1114" t="s">
        <v>148</v>
      </c>
      <c r="E1114" t="s">
        <v>65</v>
      </c>
      <c r="F1114">
        <v>97000</v>
      </c>
      <c r="G1114" t="s">
        <v>72</v>
      </c>
      <c r="H1114">
        <v>1</v>
      </c>
    </row>
    <row r="1115" spans="1:8" x14ac:dyDescent="0.3">
      <c r="A1115" t="s">
        <v>258</v>
      </c>
      <c r="B1115">
        <v>2018</v>
      </c>
      <c r="C1115" t="s">
        <v>147</v>
      </c>
      <c r="D1115" t="s">
        <v>148</v>
      </c>
      <c r="E1115" t="s">
        <v>65</v>
      </c>
      <c r="F1115">
        <v>97000</v>
      </c>
      <c r="G1115" t="s">
        <v>72</v>
      </c>
      <c r="H1115">
        <v>5</v>
      </c>
    </row>
    <row r="1116" spans="1:8" x14ac:dyDescent="0.3">
      <c r="A1116" t="s">
        <v>259</v>
      </c>
      <c r="B1116">
        <v>2014</v>
      </c>
      <c r="C1116" t="s">
        <v>147</v>
      </c>
      <c r="D1116" t="s">
        <v>148</v>
      </c>
      <c r="E1116" t="s">
        <v>65</v>
      </c>
      <c r="F1116">
        <v>2700</v>
      </c>
      <c r="G1116" t="s">
        <v>66</v>
      </c>
      <c r="H1116">
        <v>1</v>
      </c>
    </row>
    <row r="1117" spans="1:8" x14ac:dyDescent="0.3">
      <c r="A1117" t="s">
        <v>259</v>
      </c>
      <c r="B1117">
        <v>2015</v>
      </c>
      <c r="C1117" t="s">
        <v>147</v>
      </c>
      <c r="D1117" t="s">
        <v>148</v>
      </c>
      <c r="E1117" t="s">
        <v>65</v>
      </c>
      <c r="F1117">
        <v>2700</v>
      </c>
      <c r="G1117" t="s">
        <v>66</v>
      </c>
      <c r="H1117">
        <v>1</v>
      </c>
    </row>
    <row r="1118" spans="1:8" x14ac:dyDescent="0.3">
      <c r="A1118" t="s">
        <v>259</v>
      </c>
      <c r="B1118">
        <v>2016</v>
      </c>
      <c r="C1118" t="s">
        <v>147</v>
      </c>
      <c r="D1118" t="s">
        <v>148</v>
      </c>
      <c r="E1118" t="s">
        <v>65</v>
      </c>
      <c r="F1118">
        <v>2700</v>
      </c>
      <c r="G1118" t="s">
        <v>66</v>
      </c>
      <c r="H1118">
        <v>1</v>
      </c>
    </row>
    <row r="1119" spans="1:8" x14ac:dyDescent="0.3">
      <c r="A1119" t="s">
        <v>259</v>
      </c>
      <c r="B1119">
        <v>2017</v>
      </c>
      <c r="C1119" t="s">
        <v>147</v>
      </c>
      <c r="D1119" t="s">
        <v>148</v>
      </c>
      <c r="E1119" t="s">
        <v>65</v>
      </c>
      <c r="F1119">
        <v>2700</v>
      </c>
      <c r="G1119" t="s">
        <v>66</v>
      </c>
      <c r="H1119">
        <v>3</v>
      </c>
    </row>
    <row r="1120" spans="1:8" x14ac:dyDescent="0.3">
      <c r="A1120" t="s">
        <v>259</v>
      </c>
      <c r="B1120">
        <v>2020</v>
      </c>
      <c r="C1120" t="s">
        <v>147</v>
      </c>
      <c r="D1120" t="s">
        <v>148</v>
      </c>
      <c r="E1120" t="s">
        <v>65</v>
      </c>
      <c r="F1120">
        <v>2700</v>
      </c>
      <c r="G1120" t="s">
        <v>66</v>
      </c>
      <c r="H1120">
        <v>1</v>
      </c>
    </row>
    <row r="1121" spans="1:8" x14ac:dyDescent="0.3">
      <c r="A1121" t="s">
        <v>259</v>
      </c>
      <c r="B1121">
        <v>2021</v>
      </c>
      <c r="C1121" t="s">
        <v>147</v>
      </c>
      <c r="D1121" t="s">
        <v>148</v>
      </c>
      <c r="E1121" t="s">
        <v>65</v>
      </c>
      <c r="F1121">
        <v>2700</v>
      </c>
      <c r="G1121" t="s">
        <v>66</v>
      </c>
      <c r="H1121">
        <v>2</v>
      </c>
    </row>
    <row r="1122" spans="1:8" x14ac:dyDescent="0.3">
      <c r="A1122" t="s">
        <v>260</v>
      </c>
      <c r="B1122">
        <v>2017</v>
      </c>
      <c r="C1122" t="s">
        <v>147</v>
      </c>
      <c r="D1122" t="s">
        <v>148</v>
      </c>
      <c r="E1122" t="s">
        <v>65</v>
      </c>
      <c r="F1122">
        <v>1320</v>
      </c>
      <c r="G1122" t="s">
        <v>66</v>
      </c>
      <c r="H1122">
        <v>4</v>
      </c>
    </row>
    <row r="1123" spans="1:8" x14ac:dyDescent="0.3">
      <c r="A1123" t="s">
        <v>260</v>
      </c>
      <c r="B1123">
        <v>2018</v>
      </c>
      <c r="C1123" t="s">
        <v>147</v>
      </c>
      <c r="D1123" t="s">
        <v>148</v>
      </c>
      <c r="E1123" t="s">
        <v>65</v>
      </c>
      <c r="F1123">
        <v>1320</v>
      </c>
      <c r="G1123" t="s">
        <v>66</v>
      </c>
      <c r="H1123">
        <v>1</v>
      </c>
    </row>
    <row r="1124" spans="1:8" x14ac:dyDescent="0.3">
      <c r="A1124" t="s">
        <v>260</v>
      </c>
      <c r="B1124">
        <v>2021</v>
      </c>
      <c r="C1124" t="s">
        <v>147</v>
      </c>
      <c r="D1124" t="s">
        <v>148</v>
      </c>
      <c r="E1124" t="s">
        <v>65</v>
      </c>
      <c r="F1124">
        <v>1320</v>
      </c>
      <c r="G1124" t="s">
        <v>66</v>
      </c>
      <c r="H1124">
        <v>1</v>
      </c>
    </row>
    <row r="1125" spans="1:8" x14ac:dyDescent="0.3">
      <c r="A1125" t="s">
        <v>140</v>
      </c>
      <c r="B1125">
        <v>2014</v>
      </c>
      <c r="C1125" t="s">
        <v>147</v>
      </c>
      <c r="D1125" t="s">
        <v>148</v>
      </c>
      <c r="E1125" t="s">
        <v>65</v>
      </c>
      <c r="F1125">
        <v>1650</v>
      </c>
      <c r="G1125" t="s">
        <v>66</v>
      </c>
      <c r="H1125">
        <v>2</v>
      </c>
    </row>
    <row r="1126" spans="1:8" x14ac:dyDescent="0.3">
      <c r="A1126" t="s">
        <v>140</v>
      </c>
      <c r="B1126">
        <v>2015</v>
      </c>
      <c r="C1126" t="s">
        <v>147</v>
      </c>
      <c r="D1126" t="s">
        <v>148</v>
      </c>
      <c r="E1126" t="s">
        <v>65</v>
      </c>
      <c r="F1126">
        <v>1650</v>
      </c>
      <c r="G1126" t="s">
        <v>66</v>
      </c>
      <c r="H1126">
        <v>2</v>
      </c>
    </row>
    <row r="1127" spans="1:8" x14ac:dyDescent="0.3">
      <c r="A1127" t="s">
        <v>140</v>
      </c>
      <c r="B1127">
        <v>2016</v>
      </c>
      <c r="C1127" t="s">
        <v>147</v>
      </c>
      <c r="D1127" t="s">
        <v>148</v>
      </c>
      <c r="E1127" t="s">
        <v>65</v>
      </c>
      <c r="F1127">
        <v>1650</v>
      </c>
      <c r="G1127" t="s">
        <v>66</v>
      </c>
      <c r="H1127">
        <v>3</v>
      </c>
    </row>
    <row r="1128" spans="1:8" x14ac:dyDescent="0.3">
      <c r="A1128" t="s">
        <v>140</v>
      </c>
      <c r="B1128">
        <v>2017</v>
      </c>
      <c r="C1128" t="s">
        <v>147</v>
      </c>
      <c r="D1128" t="s">
        <v>148</v>
      </c>
      <c r="E1128" t="s">
        <v>65</v>
      </c>
      <c r="F1128">
        <v>1650</v>
      </c>
      <c r="G1128" t="s">
        <v>66</v>
      </c>
      <c r="H1128">
        <v>1</v>
      </c>
    </row>
    <row r="1129" spans="1:8" x14ac:dyDescent="0.3">
      <c r="A1129" t="s">
        <v>140</v>
      </c>
      <c r="B1129">
        <v>2018</v>
      </c>
      <c r="C1129" t="s">
        <v>147</v>
      </c>
      <c r="D1129" t="s">
        <v>148</v>
      </c>
      <c r="E1129" t="s">
        <v>65</v>
      </c>
      <c r="F1129">
        <v>1650</v>
      </c>
      <c r="G1129" t="s">
        <v>66</v>
      </c>
      <c r="H1129">
        <v>5</v>
      </c>
    </row>
    <row r="1130" spans="1:8" x14ac:dyDescent="0.3">
      <c r="A1130" t="s">
        <v>140</v>
      </c>
      <c r="B1130">
        <v>2019</v>
      </c>
      <c r="C1130" t="s">
        <v>147</v>
      </c>
      <c r="D1130" t="s">
        <v>148</v>
      </c>
      <c r="E1130" t="s">
        <v>65</v>
      </c>
      <c r="F1130">
        <v>1650</v>
      </c>
      <c r="G1130" t="s">
        <v>66</v>
      </c>
      <c r="H1130">
        <v>3</v>
      </c>
    </row>
    <row r="1131" spans="1:8" x14ac:dyDescent="0.3">
      <c r="A1131" t="s">
        <v>140</v>
      </c>
      <c r="B1131">
        <v>2020</v>
      </c>
      <c r="C1131" t="s">
        <v>147</v>
      </c>
      <c r="D1131" t="s">
        <v>148</v>
      </c>
      <c r="E1131" t="s">
        <v>65</v>
      </c>
      <c r="F1131">
        <v>1650</v>
      </c>
      <c r="G1131" t="s">
        <v>66</v>
      </c>
      <c r="H1131">
        <v>6</v>
      </c>
    </row>
    <row r="1132" spans="1:8" x14ac:dyDescent="0.3">
      <c r="A1132" t="s">
        <v>140</v>
      </c>
      <c r="B1132">
        <v>2021</v>
      </c>
      <c r="C1132" t="s">
        <v>147</v>
      </c>
      <c r="D1132" t="s">
        <v>148</v>
      </c>
      <c r="E1132" t="s">
        <v>65</v>
      </c>
      <c r="F1132">
        <v>1650</v>
      </c>
      <c r="G1132" t="s">
        <v>66</v>
      </c>
      <c r="H1132">
        <v>8</v>
      </c>
    </row>
    <row r="1133" spans="1:8" x14ac:dyDescent="0.3">
      <c r="A1133" t="s">
        <v>141</v>
      </c>
      <c r="B1133">
        <v>2014</v>
      </c>
      <c r="C1133" t="s">
        <v>147</v>
      </c>
      <c r="D1133" t="s">
        <v>148</v>
      </c>
      <c r="E1133" t="s">
        <v>65</v>
      </c>
      <c r="F1133">
        <v>1600</v>
      </c>
      <c r="G1133" t="s">
        <v>66</v>
      </c>
      <c r="H1133">
        <v>2</v>
      </c>
    </row>
    <row r="1134" spans="1:8" x14ac:dyDescent="0.3">
      <c r="A1134" t="s">
        <v>141</v>
      </c>
      <c r="B1134">
        <v>2015</v>
      </c>
      <c r="C1134" t="s">
        <v>147</v>
      </c>
      <c r="D1134" t="s">
        <v>148</v>
      </c>
      <c r="E1134" t="s">
        <v>65</v>
      </c>
      <c r="F1134">
        <v>1600</v>
      </c>
      <c r="G1134" t="s">
        <v>66</v>
      </c>
      <c r="H1134">
        <v>1</v>
      </c>
    </row>
    <row r="1135" spans="1:8" x14ac:dyDescent="0.3">
      <c r="A1135" t="s">
        <v>141</v>
      </c>
      <c r="B1135">
        <v>2016</v>
      </c>
      <c r="C1135" t="s">
        <v>147</v>
      </c>
      <c r="D1135" t="s">
        <v>148</v>
      </c>
      <c r="E1135" t="s">
        <v>65</v>
      </c>
      <c r="F1135">
        <v>1600</v>
      </c>
      <c r="G1135" t="s">
        <v>66</v>
      </c>
      <c r="H1135">
        <v>2</v>
      </c>
    </row>
    <row r="1136" spans="1:8" x14ac:dyDescent="0.3">
      <c r="A1136" t="s">
        <v>141</v>
      </c>
      <c r="B1136">
        <v>2017</v>
      </c>
      <c r="C1136" t="s">
        <v>147</v>
      </c>
      <c r="D1136" t="s">
        <v>148</v>
      </c>
      <c r="E1136" t="s">
        <v>65</v>
      </c>
      <c r="F1136">
        <v>1600</v>
      </c>
      <c r="G1136" t="s">
        <v>66</v>
      </c>
      <c r="H1136">
        <v>13</v>
      </c>
    </row>
    <row r="1137" spans="1:8" x14ac:dyDescent="0.3">
      <c r="A1137" t="s">
        <v>141</v>
      </c>
      <c r="B1137">
        <v>2018</v>
      </c>
      <c r="C1137" t="s">
        <v>147</v>
      </c>
      <c r="D1137" t="s">
        <v>148</v>
      </c>
      <c r="E1137" t="s">
        <v>65</v>
      </c>
      <c r="F1137">
        <v>1600</v>
      </c>
      <c r="G1137" t="s">
        <v>66</v>
      </c>
      <c r="H1137">
        <v>14</v>
      </c>
    </row>
    <row r="1138" spans="1:8" x14ac:dyDescent="0.3">
      <c r="A1138" t="s">
        <v>141</v>
      </c>
      <c r="B1138">
        <v>2019</v>
      </c>
      <c r="C1138" t="s">
        <v>147</v>
      </c>
      <c r="D1138" t="s">
        <v>148</v>
      </c>
      <c r="E1138" t="s">
        <v>65</v>
      </c>
      <c r="F1138">
        <v>1600</v>
      </c>
      <c r="G1138" t="s">
        <v>66</v>
      </c>
      <c r="H1138">
        <v>6</v>
      </c>
    </row>
    <row r="1139" spans="1:8" x14ac:dyDescent="0.3">
      <c r="A1139" t="s">
        <v>141</v>
      </c>
      <c r="B1139">
        <v>2020</v>
      </c>
      <c r="C1139" t="s">
        <v>147</v>
      </c>
      <c r="D1139" t="s">
        <v>148</v>
      </c>
      <c r="E1139" t="s">
        <v>65</v>
      </c>
      <c r="F1139">
        <v>1600</v>
      </c>
      <c r="G1139" t="s">
        <v>66</v>
      </c>
      <c r="H1139">
        <v>7</v>
      </c>
    </row>
    <row r="1140" spans="1:8" x14ac:dyDescent="0.3">
      <c r="A1140" t="s">
        <v>141</v>
      </c>
      <c r="B1140">
        <v>2021</v>
      </c>
      <c r="C1140" t="s">
        <v>147</v>
      </c>
      <c r="D1140" t="s">
        <v>148</v>
      </c>
      <c r="E1140" t="s">
        <v>65</v>
      </c>
      <c r="F1140">
        <v>1600</v>
      </c>
      <c r="G1140" t="s">
        <v>66</v>
      </c>
      <c r="H1140">
        <v>2</v>
      </c>
    </row>
    <row r="1141" spans="1:8" x14ac:dyDescent="0.3">
      <c r="A1141" t="s">
        <v>261</v>
      </c>
      <c r="B1141">
        <v>2015</v>
      </c>
      <c r="C1141" t="s">
        <v>147</v>
      </c>
      <c r="D1141" t="s">
        <v>148</v>
      </c>
      <c r="E1141" t="s">
        <v>65</v>
      </c>
      <c r="F1141">
        <v>15100</v>
      </c>
      <c r="G1141" t="s">
        <v>66</v>
      </c>
      <c r="H1141">
        <v>1</v>
      </c>
    </row>
    <row r="1142" spans="1:8" x14ac:dyDescent="0.3">
      <c r="A1142" t="s">
        <v>261</v>
      </c>
      <c r="B1142">
        <v>2016</v>
      </c>
      <c r="C1142" t="s">
        <v>147</v>
      </c>
      <c r="D1142" t="s">
        <v>148</v>
      </c>
      <c r="E1142" t="s">
        <v>65</v>
      </c>
      <c r="F1142">
        <v>15100</v>
      </c>
      <c r="G1142" t="s">
        <v>66</v>
      </c>
      <c r="H1142">
        <v>4</v>
      </c>
    </row>
    <row r="1143" spans="1:8" x14ac:dyDescent="0.3">
      <c r="A1143" t="s">
        <v>261</v>
      </c>
      <c r="B1143">
        <v>2017</v>
      </c>
      <c r="C1143" t="s">
        <v>147</v>
      </c>
      <c r="D1143" t="s">
        <v>148</v>
      </c>
      <c r="E1143" t="s">
        <v>65</v>
      </c>
      <c r="F1143">
        <v>15100</v>
      </c>
      <c r="G1143" t="s">
        <v>66</v>
      </c>
      <c r="H1143">
        <v>8</v>
      </c>
    </row>
    <row r="1144" spans="1:8" x14ac:dyDescent="0.3">
      <c r="A1144" t="s">
        <v>261</v>
      </c>
      <c r="B1144">
        <v>2018</v>
      </c>
      <c r="C1144" t="s">
        <v>147</v>
      </c>
      <c r="D1144" t="s">
        <v>148</v>
      </c>
      <c r="E1144" t="s">
        <v>65</v>
      </c>
      <c r="F1144">
        <v>15100</v>
      </c>
      <c r="G1144" t="s">
        <v>66</v>
      </c>
      <c r="H1144">
        <v>16</v>
      </c>
    </row>
    <row r="1145" spans="1:8" x14ac:dyDescent="0.3">
      <c r="A1145" t="s">
        <v>261</v>
      </c>
      <c r="B1145">
        <v>2019</v>
      </c>
      <c r="C1145" t="s">
        <v>147</v>
      </c>
      <c r="D1145" t="s">
        <v>148</v>
      </c>
      <c r="E1145" t="s">
        <v>65</v>
      </c>
      <c r="F1145">
        <v>15100</v>
      </c>
      <c r="G1145" t="s">
        <v>66</v>
      </c>
      <c r="H1145">
        <v>23</v>
      </c>
    </row>
    <row r="1146" spans="1:8" x14ac:dyDescent="0.3">
      <c r="A1146" t="s">
        <v>261</v>
      </c>
      <c r="B1146">
        <v>2020</v>
      </c>
      <c r="C1146" t="s">
        <v>147</v>
      </c>
      <c r="D1146" t="s">
        <v>148</v>
      </c>
      <c r="E1146" t="s">
        <v>65</v>
      </c>
      <c r="F1146">
        <v>15100</v>
      </c>
      <c r="G1146" t="s">
        <v>66</v>
      </c>
      <c r="H1146">
        <v>31</v>
      </c>
    </row>
    <row r="1147" spans="1:8" x14ac:dyDescent="0.3">
      <c r="A1147" t="s">
        <v>261</v>
      </c>
      <c r="B1147">
        <v>2021</v>
      </c>
      <c r="C1147" t="s">
        <v>147</v>
      </c>
      <c r="D1147" t="s">
        <v>148</v>
      </c>
      <c r="E1147" t="s">
        <v>65</v>
      </c>
      <c r="F1147">
        <v>15100</v>
      </c>
      <c r="G1147" t="s">
        <v>66</v>
      </c>
      <c r="H1147">
        <v>41</v>
      </c>
    </row>
    <row r="1148" spans="1:8" x14ac:dyDescent="0.3">
      <c r="A1148" t="s">
        <v>262</v>
      </c>
      <c r="B1148">
        <v>2021</v>
      </c>
      <c r="C1148" t="s">
        <v>147</v>
      </c>
      <c r="D1148" t="s">
        <v>148</v>
      </c>
      <c r="E1148" t="s">
        <v>65</v>
      </c>
      <c r="F1148">
        <v>29000</v>
      </c>
      <c r="G1148" t="s">
        <v>72</v>
      </c>
      <c r="H1148">
        <v>1</v>
      </c>
    </row>
    <row r="1149" spans="1:8" x14ac:dyDescent="0.3">
      <c r="A1149" t="s">
        <v>263</v>
      </c>
      <c r="B1149">
        <v>2017</v>
      </c>
      <c r="C1149" t="s">
        <v>147</v>
      </c>
      <c r="D1149" t="s">
        <v>148</v>
      </c>
      <c r="E1149" t="s">
        <v>65</v>
      </c>
      <c r="F1149">
        <v>6000</v>
      </c>
      <c r="G1149" t="s">
        <v>66</v>
      </c>
      <c r="H1149">
        <v>2</v>
      </c>
    </row>
    <row r="1150" spans="1:8" x14ac:dyDescent="0.3">
      <c r="A1150" t="s">
        <v>263</v>
      </c>
      <c r="B1150">
        <v>2018</v>
      </c>
      <c r="C1150" t="s">
        <v>147</v>
      </c>
      <c r="D1150" t="s">
        <v>148</v>
      </c>
      <c r="E1150" t="s">
        <v>65</v>
      </c>
      <c r="F1150">
        <v>6000</v>
      </c>
      <c r="G1150" t="s">
        <v>66</v>
      </c>
      <c r="H1150">
        <v>11</v>
      </c>
    </row>
    <row r="1151" spans="1:8" x14ac:dyDescent="0.3">
      <c r="A1151" t="s">
        <v>263</v>
      </c>
      <c r="B1151">
        <v>2019</v>
      </c>
      <c r="C1151" t="s">
        <v>147</v>
      </c>
      <c r="D1151" t="s">
        <v>148</v>
      </c>
      <c r="E1151" t="s">
        <v>65</v>
      </c>
      <c r="F1151">
        <v>6000</v>
      </c>
      <c r="G1151" t="s">
        <v>66</v>
      </c>
      <c r="H1151">
        <v>16</v>
      </c>
    </row>
    <row r="1152" spans="1:8" x14ac:dyDescent="0.3">
      <c r="A1152" t="s">
        <v>263</v>
      </c>
      <c r="B1152">
        <v>2020</v>
      </c>
      <c r="C1152" t="s">
        <v>147</v>
      </c>
      <c r="D1152" t="s">
        <v>148</v>
      </c>
      <c r="E1152" t="s">
        <v>65</v>
      </c>
      <c r="F1152">
        <v>6000</v>
      </c>
      <c r="G1152" t="s">
        <v>66</v>
      </c>
      <c r="H1152">
        <v>19</v>
      </c>
    </row>
    <row r="1153" spans="1:8" x14ac:dyDescent="0.3">
      <c r="A1153" t="s">
        <v>263</v>
      </c>
      <c r="B1153">
        <v>2021</v>
      </c>
      <c r="C1153" t="s">
        <v>147</v>
      </c>
      <c r="D1153" t="s">
        <v>148</v>
      </c>
      <c r="E1153" t="s">
        <v>65</v>
      </c>
      <c r="F1153">
        <v>6000</v>
      </c>
      <c r="G1153" t="s">
        <v>66</v>
      </c>
      <c r="H1153">
        <v>56</v>
      </c>
    </row>
    <row r="1154" spans="1:8" x14ac:dyDescent="0.3">
      <c r="A1154" t="s">
        <v>264</v>
      </c>
      <c r="B1154">
        <v>2015</v>
      </c>
      <c r="C1154" t="s">
        <v>147</v>
      </c>
      <c r="D1154" t="s">
        <v>148</v>
      </c>
      <c r="E1154" t="s">
        <v>65</v>
      </c>
      <c r="F1154">
        <v>27099</v>
      </c>
      <c r="G1154" t="s">
        <v>66</v>
      </c>
      <c r="H1154">
        <v>1</v>
      </c>
    </row>
    <row r="1155" spans="1:8" x14ac:dyDescent="0.3">
      <c r="A1155" t="s">
        <v>264</v>
      </c>
      <c r="B1155">
        <v>2020</v>
      </c>
      <c r="C1155" t="s">
        <v>147</v>
      </c>
      <c r="D1155" t="s">
        <v>148</v>
      </c>
      <c r="E1155" t="s">
        <v>65</v>
      </c>
      <c r="F1155">
        <v>27099</v>
      </c>
      <c r="G1155" t="s">
        <v>66</v>
      </c>
      <c r="H1155">
        <v>3</v>
      </c>
    </row>
    <row r="1156" spans="1:8" x14ac:dyDescent="0.3">
      <c r="A1156" t="s">
        <v>142</v>
      </c>
      <c r="B1156">
        <v>2014</v>
      </c>
      <c r="C1156" t="s">
        <v>147</v>
      </c>
      <c r="D1156" t="s">
        <v>148</v>
      </c>
      <c r="E1156" t="s">
        <v>65</v>
      </c>
      <c r="F1156">
        <v>3000</v>
      </c>
      <c r="G1156" t="s">
        <v>66</v>
      </c>
      <c r="H1156">
        <v>17</v>
      </c>
    </row>
    <row r="1157" spans="1:8" x14ac:dyDescent="0.3">
      <c r="A1157" t="s">
        <v>142</v>
      </c>
      <c r="B1157">
        <v>2015</v>
      </c>
      <c r="C1157" t="s">
        <v>147</v>
      </c>
      <c r="D1157" t="s">
        <v>148</v>
      </c>
      <c r="E1157" t="s">
        <v>65</v>
      </c>
      <c r="F1157">
        <v>3000</v>
      </c>
      <c r="G1157" t="s">
        <v>66</v>
      </c>
      <c r="H1157">
        <v>30</v>
      </c>
    </row>
    <row r="1158" spans="1:8" x14ac:dyDescent="0.3">
      <c r="A1158" t="s">
        <v>142</v>
      </c>
      <c r="B1158">
        <v>2016</v>
      </c>
      <c r="C1158" t="s">
        <v>147</v>
      </c>
      <c r="D1158" t="s">
        <v>148</v>
      </c>
      <c r="E1158" t="s">
        <v>65</v>
      </c>
      <c r="F1158">
        <v>3000</v>
      </c>
      <c r="G1158" t="s">
        <v>66</v>
      </c>
      <c r="H1158">
        <v>31</v>
      </c>
    </row>
    <row r="1159" spans="1:8" x14ac:dyDescent="0.3">
      <c r="A1159" t="s">
        <v>142</v>
      </c>
      <c r="B1159">
        <v>2017</v>
      </c>
      <c r="C1159" t="s">
        <v>147</v>
      </c>
      <c r="D1159" t="s">
        <v>148</v>
      </c>
      <c r="E1159" t="s">
        <v>65</v>
      </c>
      <c r="F1159">
        <v>3000</v>
      </c>
      <c r="G1159" t="s">
        <v>66</v>
      </c>
      <c r="H1159">
        <v>20</v>
      </c>
    </row>
    <row r="1160" spans="1:8" x14ac:dyDescent="0.3">
      <c r="A1160" t="s">
        <v>142</v>
      </c>
      <c r="B1160">
        <v>2018</v>
      </c>
      <c r="C1160" t="s">
        <v>147</v>
      </c>
      <c r="D1160" t="s">
        <v>148</v>
      </c>
      <c r="E1160" t="s">
        <v>65</v>
      </c>
      <c r="F1160">
        <v>3000</v>
      </c>
      <c r="G1160" t="s">
        <v>66</v>
      </c>
      <c r="H1160">
        <v>36</v>
      </c>
    </row>
    <row r="1161" spans="1:8" x14ac:dyDescent="0.3">
      <c r="A1161" t="s">
        <v>142</v>
      </c>
      <c r="B1161">
        <v>2019</v>
      </c>
      <c r="C1161" t="s">
        <v>147</v>
      </c>
      <c r="D1161" t="s">
        <v>148</v>
      </c>
      <c r="E1161" t="s">
        <v>65</v>
      </c>
      <c r="F1161">
        <v>3000</v>
      </c>
      <c r="G1161" t="s">
        <v>66</v>
      </c>
      <c r="H1161">
        <v>69</v>
      </c>
    </row>
    <row r="1162" spans="1:8" x14ac:dyDescent="0.3">
      <c r="A1162" t="s">
        <v>142</v>
      </c>
      <c r="B1162">
        <v>2020</v>
      </c>
      <c r="C1162" t="s">
        <v>147</v>
      </c>
      <c r="D1162" t="s">
        <v>148</v>
      </c>
      <c r="E1162" t="s">
        <v>65</v>
      </c>
      <c r="F1162">
        <v>3000</v>
      </c>
      <c r="G1162" t="s">
        <v>66</v>
      </c>
      <c r="H1162">
        <v>48</v>
      </c>
    </row>
    <row r="1163" spans="1:8" x14ac:dyDescent="0.3">
      <c r="A1163" t="s">
        <v>142</v>
      </c>
      <c r="B1163">
        <v>2021</v>
      </c>
      <c r="C1163" t="s">
        <v>147</v>
      </c>
      <c r="D1163" t="s">
        <v>148</v>
      </c>
      <c r="E1163" t="s">
        <v>65</v>
      </c>
      <c r="F1163">
        <v>3000</v>
      </c>
      <c r="G1163" t="s">
        <v>66</v>
      </c>
      <c r="H1163">
        <v>58</v>
      </c>
    </row>
    <row r="1164" spans="1:8" x14ac:dyDescent="0.3">
      <c r="A1164" t="s">
        <v>265</v>
      </c>
      <c r="B1164">
        <v>2014</v>
      </c>
      <c r="C1164" t="s">
        <v>147</v>
      </c>
      <c r="D1164" t="s">
        <v>148</v>
      </c>
      <c r="E1164" t="s">
        <v>65</v>
      </c>
      <c r="F1164">
        <v>3368</v>
      </c>
      <c r="G1164" t="s">
        <v>66</v>
      </c>
      <c r="H1164">
        <v>2</v>
      </c>
    </row>
    <row r="1165" spans="1:8" x14ac:dyDescent="0.3">
      <c r="A1165" t="s">
        <v>265</v>
      </c>
      <c r="B1165">
        <v>2015</v>
      </c>
      <c r="C1165" t="s">
        <v>147</v>
      </c>
      <c r="D1165" t="s">
        <v>148</v>
      </c>
      <c r="E1165" t="s">
        <v>65</v>
      </c>
      <c r="F1165">
        <v>3368</v>
      </c>
      <c r="G1165" t="s">
        <v>66</v>
      </c>
      <c r="H1165">
        <v>6</v>
      </c>
    </row>
    <row r="1166" spans="1:8" x14ac:dyDescent="0.3">
      <c r="A1166" t="s">
        <v>265</v>
      </c>
      <c r="B1166">
        <v>2016</v>
      </c>
      <c r="C1166" t="s">
        <v>147</v>
      </c>
      <c r="D1166" t="s">
        <v>148</v>
      </c>
      <c r="E1166" t="s">
        <v>65</v>
      </c>
      <c r="F1166">
        <v>3368</v>
      </c>
      <c r="G1166" t="s">
        <v>66</v>
      </c>
      <c r="H1166">
        <v>4</v>
      </c>
    </row>
    <row r="1167" spans="1:8" x14ac:dyDescent="0.3">
      <c r="A1167" t="s">
        <v>265</v>
      </c>
      <c r="B1167">
        <v>2017</v>
      </c>
      <c r="C1167" t="s">
        <v>147</v>
      </c>
      <c r="D1167" t="s">
        <v>148</v>
      </c>
      <c r="E1167" t="s">
        <v>65</v>
      </c>
      <c r="F1167">
        <v>3368</v>
      </c>
      <c r="G1167" t="s">
        <v>66</v>
      </c>
      <c r="H1167">
        <v>3</v>
      </c>
    </row>
    <row r="1168" spans="1:8" x14ac:dyDescent="0.3">
      <c r="A1168" t="s">
        <v>265</v>
      </c>
      <c r="B1168">
        <v>2019</v>
      </c>
      <c r="C1168" t="s">
        <v>147</v>
      </c>
      <c r="D1168" t="s">
        <v>148</v>
      </c>
      <c r="E1168" t="s">
        <v>65</v>
      </c>
      <c r="F1168">
        <v>3368</v>
      </c>
      <c r="G1168" t="s">
        <v>66</v>
      </c>
      <c r="H1168">
        <v>3</v>
      </c>
    </row>
    <row r="1169" spans="1:8" x14ac:dyDescent="0.3">
      <c r="A1169" t="s">
        <v>265</v>
      </c>
      <c r="B1169">
        <v>2021</v>
      </c>
      <c r="C1169" t="s">
        <v>147</v>
      </c>
      <c r="D1169" t="s">
        <v>148</v>
      </c>
      <c r="E1169" t="s">
        <v>65</v>
      </c>
      <c r="F1169">
        <v>3368</v>
      </c>
      <c r="G1169" t="s">
        <v>66</v>
      </c>
      <c r="H1169">
        <v>7</v>
      </c>
    </row>
    <row r="1170" spans="1:8" x14ac:dyDescent="0.3">
      <c r="A1170" t="s">
        <v>143</v>
      </c>
      <c r="B1170">
        <v>2014</v>
      </c>
      <c r="C1170" t="s">
        <v>147</v>
      </c>
      <c r="D1170" t="s">
        <v>148</v>
      </c>
      <c r="E1170" t="s">
        <v>65</v>
      </c>
      <c r="F1170">
        <v>14500</v>
      </c>
      <c r="G1170" t="s">
        <v>72</v>
      </c>
      <c r="H1170">
        <v>143</v>
      </c>
    </row>
    <row r="1171" spans="1:8" x14ac:dyDescent="0.3">
      <c r="A1171" t="s">
        <v>143</v>
      </c>
      <c r="B1171">
        <v>2015</v>
      </c>
      <c r="C1171" t="s">
        <v>147</v>
      </c>
      <c r="D1171" t="s">
        <v>148</v>
      </c>
      <c r="E1171" t="s">
        <v>65</v>
      </c>
      <c r="F1171">
        <v>14500</v>
      </c>
      <c r="G1171" t="s">
        <v>72</v>
      </c>
      <c r="H1171">
        <v>336</v>
      </c>
    </row>
    <row r="1172" spans="1:8" x14ac:dyDescent="0.3">
      <c r="A1172" t="s">
        <v>143</v>
      </c>
      <c r="B1172">
        <v>2016</v>
      </c>
      <c r="C1172" t="s">
        <v>147</v>
      </c>
      <c r="D1172" t="s">
        <v>148</v>
      </c>
      <c r="E1172" t="s">
        <v>65</v>
      </c>
      <c r="F1172">
        <v>14500</v>
      </c>
      <c r="G1172" t="s">
        <v>72</v>
      </c>
      <c r="H1172">
        <v>320</v>
      </c>
    </row>
    <row r="1173" spans="1:8" x14ac:dyDescent="0.3">
      <c r="A1173" t="s">
        <v>143</v>
      </c>
      <c r="B1173">
        <v>2017</v>
      </c>
      <c r="C1173" t="s">
        <v>147</v>
      </c>
      <c r="D1173" t="s">
        <v>148</v>
      </c>
      <c r="E1173" t="s">
        <v>65</v>
      </c>
      <c r="F1173">
        <v>14500</v>
      </c>
      <c r="G1173" t="s">
        <v>72</v>
      </c>
      <c r="H1173">
        <v>294</v>
      </c>
    </row>
    <row r="1174" spans="1:8" x14ac:dyDescent="0.3">
      <c r="A1174" t="s">
        <v>143</v>
      </c>
      <c r="B1174">
        <v>2018</v>
      </c>
      <c r="C1174" t="s">
        <v>147</v>
      </c>
      <c r="D1174" t="s">
        <v>148</v>
      </c>
      <c r="E1174" t="s">
        <v>65</v>
      </c>
      <c r="F1174">
        <v>14500</v>
      </c>
      <c r="G1174" t="s">
        <v>72</v>
      </c>
      <c r="H1174">
        <v>319</v>
      </c>
    </row>
    <row r="1175" spans="1:8" x14ac:dyDescent="0.3">
      <c r="A1175" t="s">
        <v>143</v>
      </c>
      <c r="B1175">
        <v>2019</v>
      </c>
      <c r="C1175" t="s">
        <v>147</v>
      </c>
      <c r="D1175" t="s">
        <v>148</v>
      </c>
      <c r="E1175" t="s">
        <v>65</v>
      </c>
      <c r="F1175">
        <v>14500</v>
      </c>
      <c r="G1175" t="s">
        <v>72</v>
      </c>
      <c r="H1175">
        <v>336</v>
      </c>
    </row>
    <row r="1176" spans="1:8" x14ac:dyDescent="0.3">
      <c r="A1176" t="s">
        <v>143</v>
      </c>
      <c r="B1176">
        <v>2020</v>
      </c>
      <c r="C1176" t="s">
        <v>147</v>
      </c>
      <c r="D1176" t="s">
        <v>148</v>
      </c>
      <c r="E1176" t="s">
        <v>65</v>
      </c>
      <c r="F1176">
        <v>14500</v>
      </c>
      <c r="G1176" t="s">
        <v>72</v>
      </c>
      <c r="H1176">
        <v>366</v>
      </c>
    </row>
    <row r="1177" spans="1:8" x14ac:dyDescent="0.3">
      <c r="A1177" t="s">
        <v>143</v>
      </c>
      <c r="B1177">
        <v>2021</v>
      </c>
      <c r="C1177" t="s">
        <v>147</v>
      </c>
      <c r="D1177" t="s">
        <v>148</v>
      </c>
      <c r="E1177" t="s">
        <v>65</v>
      </c>
      <c r="F1177">
        <v>14500</v>
      </c>
      <c r="G1177" t="s">
        <v>72</v>
      </c>
      <c r="H1177">
        <v>255</v>
      </c>
    </row>
    <row r="1178" spans="1:8" x14ac:dyDescent="0.3">
      <c r="A1178" t="s">
        <v>266</v>
      </c>
      <c r="B1178">
        <v>2014</v>
      </c>
      <c r="C1178" t="s">
        <v>147</v>
      </c>
      <c r="D1178" t="s">
        <v>148</v>
      </c>
      <c r="E1178" t="s">
        <v>65</v>
      </c>
      <c r="F1178">
        <v>4300</v>
      </c>
      <c r="G1178" t="s">
        <v>66</v>
      </c>
      <c r="H1178">
        <v>1</v>
      </c>
    </row>
    <row r="1179" spans="1:8" x14ac:dyDescent="0.3">
      <c r="A1179" t="s">
        <v>266</v>
      </c>
      <c r="B1179">
        <v>2019</v>
      </c>
      <c r="C1179" t="s">
        <v>147</v>
      </c>
      <c r="D1179" t="s">
        <v>148</v>
      </c>
      <c r="E1179" t="s">
        <v>65</v>
      </c>
      <c r="F1179">
        <v>4300</v>
      </c>
      <c r="G1179" t="s">
        <v>66</v>
      </c>
      <c r="H1179">
        <v>1</v>
      </c>
    </row>
    <row r="1180" spans="1:8" x14ac:dyDescent="0.3">
      <c r="A1180" t="s">
        <v>266</v>
      </c>
      <c r="B1180">
        <v>2021</v>
      </c>
      <c r="C1180" t="s">
        <v>147</v>
      </c>
      <c r="D1180" t="s">
        <v>148</v>
      </c>
      <c r="E1180" t="s">
        <v>65</v>
      </c>
      <c r="F1180">
        <v>4300</v>
      </c>
      <c r="G1180" t="s">
        <v>66</v>
      </c>
      <c r="H1180">
        <v>1</v>
      </c>
    </row>
    <row r="1181" spans="1:8" x14ac:dyDescent="0.3">
      <c r="A1181" t="s">
        <v>267</v>
      </c>
      <c r="B1181">
        <v>2015</v>
      </c>
      <c r="C1181" t="s">
        <v>147</v>
      </c>
      <c r="D1181" t="s">
        <v>148</v>
      </c>
      <c r="E1181" t="s">
        <v>65</v>
      </c>
      <c r="F1181">
        <v>12093</v>
      </c>
      <c r="G1181" t="s">
        <v>66</v>
      </c>
      <c r="H1181">
        <v>1</v>
      </c>
    </row>
    <row r="1182" spans="1:8" x14ac:dyDescent="0.3">
      <c r="A1182" t="s">
        <v>267</v>
      </c>
      <c r="B1182">
        <v>2016</v>
      </c>
      <c r="C1182" t="s">
        <v>147</v>
      </c>
      <c r="D1182" t="s">
        <v>148</v>
      </c>
      <c r="E1182" t="s">
        <v>65</v>
      </c>
      <c r="F1182">
        <v>12093</v>
      </c>
      <c r="G1182" t="s">
        <v>66</v>
      </c>
      <c r="H1182">
        <v>1</v>
      </c>
    </row>
    <row r="1183" spans="1:8" x14ac:dyDescent="0.3">
      <c r="A1183" t="s">
        <v>267</v>
      </c>
      <c r="B1183">
        <v>2017</v>
      </c>
      <c r="C1183" t="s">
        <v>147</v>
      </c>
      <c r="D1183" t="s">
        <v>148</v>
      </c>
      <c r="E1183" t="s">
        <v>65</v>
      </c>
      <c r="F1183">
        <v>12093</v>
      </c>
      <c r="G1183" t="s">
        <v>66</v>
      </c>
      <c r="H1183">
        <v>1</v>
      </c>
    </row>
    <row r="1184" spans="1:8" x14ac:dyDescent="0.3">
      <c r="A1184" t="s">
        <v>267</v>
      </c>
      <c r="B1184">
        <v>2018</v>
      </c>
      <c r="C1184" t="s">
        <v>147</v>
      </c>
      <c r="D1184" t="s">
        <v>148</v>
      </c>
      <c r="E1184" t="s">
        <v>65</v>
      </c>
      <c r="F1184">
        <v>12093</v>
      </c>
      <c r="G1184" t="s">
        <v>66</v>
      </c>
      <c r="H1184">
        <v>2</v>
      </c>
    </row>
    <row r="1185" spans="1:8" x14ac:dyDescent="0.3">
      <c r="A1185" t="s">
        <v>144</v>
      </c>
      <c r="B1185">
        <v>2014</v>
      </c>
      <c r="C1185" t="s">
        <v>147</v>
      </c>
      <c r="D1185" t="s">
        <v>148</v>
      </c>
      <c r="E1185" t="s">
        <v>65</v>
      </c>
      <c r="F1185">
        <v>5617</v>
      </c>
      <c r="G1185" t="s">
        <v>66</v>
      </c>
      <c r="H1185">
        <v>1</v>
      </c>
    </row>
    <row r="1186" spans="1:8" x14ac:dyDescent="0.3">
      <c r="A1186" t="s">
        <v>144</v>
      </c>
      <c r="B1186">
        <v>2015</v>
      </c>
      <c r="C1186" t="s">
        <v>147</v>
      </c>
      <c r="D1186" t="s">
        <v>148</v>
      </c>
      <c r="E1186" t="s">
        <v>65</v>
      </c>
      <c r="F1186">
        <v>5617</v>
      </c>
      <c r="G1186" t="s">
        <v>66</v>
      </c>
      <c r="H1186">
        <v>4</v>
      </c>
    </row>
    <row r="1187" spans="1:8" x14ac:dyDescent="0.3">
      <c r="A1187" t="s">
        <v>144</v>
      </c>
      <c r="B1187">
        <v>2016</v>
      </c>
      <c r="C1187" t="s">
        <v>147</v>
      </c>
      <c r="D1187" t="s">
        <v>148</v>
      </c>
      <c r="E1187" t="s">
        <v>65</v>
      </c>
      <c r="F1187">
        <v>5617</v>
      </c>
      <c r="G1187" t="s">
        <v>66</v>
      </c>
      <c r="H1187">
        <v>1</v>
      </c>
    </row>
    <row r="1188" spans="1:8" x14ac:dyDescent="0.3">
      <c r="A1188" t="s">
        <v>144</v>
      </c>
      <c r="B1188">
        <v>2017</v>
      </c>
      <c r="C1188" t="s">
        <v>147</v>
      </c>
      <c r="D1188" t="s">
        <v>148</v>
      </c>
      <c r="E1188" t="s">
        <v>65</v>
      </c>
      <c r="F1188">
        <v>5617</v>
      </c>
      <c r="G1188" t="s">
        <v>66</v>
      </c>
      <c r="H1188">
        <v>5</v>
      </c>
    </row>
    <row r="1189" spans="1:8" x14ac:dyDescent="0.3">
      <c r="A1189" t="s">
        <v>144</v>
      </c>
      <c r="B1189">
        <v>2018</v>
      </c>
      <c r="C1189" t="s">
        <v>147</v>
      </c>
      <c r="D1189" t="s">
        <v>148</v>
      </c>
      <c r="E1189" t="s">
        <v>65</v>
      </c>
      <c r="F1189">
        <v>5617</v>
      </c>
      <c r="G1189" t="s">
        <v>66</v>
      </c>
      <c r="H1189">
        <v>8</v>
      </c>
    </row>
    <row r="1190" spans="1:8" x14ac:dyDescent="0.3">
      <c r="A1190" t="s">
        <v>144</v>
      </c>
      <c r="B1190">
        <v>2019</v>
      </c>
      <c r="C1190" t="s">
        <v>147</v>
      </c>
      <c r="D1190" t="s">
        <v>148</v>
      </c>
      <c r="E1190" t="s">
        <v>65</v>
      </c>
      <c r="F1190">
        <v>5617</v>
      </c>
      <c r="G1190" t="s">
        <v>66</v>
      </c>
      <c r="H1190">
        <v>3</v>
      </c>
    </row>
    <row r="1191" spans="1:8" x14ac:dyDescent="0.3">
      <c r="A1191" t="s">
        <v>144</v>
      </c>
      <c r="B1191">
        <v>2020</v>
      </c>
      <c r="C1191" t="s">
        <v>147</v>
      </c>
      <c r="D1191" t="s">
        <v>148</v>
      </c>
      <c r="E1191" t="s">
        <v>65</v>
      </c>
      <c r="F1191">
        <v>5617</v>
      </c>
      <c r="G1191" t="s">
        <v>66</v>
      </c>
      <c r="H1191">
        <v>6</v>
      </c>
    </row>
    <row r="1192" spans="1:8" x14ac:dyDescent="0.3">
      <c r="A1192" t="s">
        <v>144</v>
      </c>
      <c r="B1192">
        <v>2021</v>
      </c>
      <c r="C1192" t="s">
        <v>147</v>
      </c>
      <c r="D1192" t="s">
        <v>148</v>
      </c>
      <c r="E1192" t="s">
        <v>65</v>
      </c>
      <c r="F1192">
        <v>5617</v>
      </c>
      <c r="G1192" t="s">
        <v>66</v>
      </c>
      <c r="H1192">
        <v>3</v>
      </c>
    </row>
    <row r="1193" spans="1:8" x14ac:dyDescent="0.3">
      <c r="A1193" t="s">
        <v>145</v>
      </c>
      <c r="B1193">
        <v>2014</v>
      </c>
      <c r="C1193" t="s">
        <v>147</v>
      </c>
      <c r="D1193" t="s">
        <v>148</v>
      </c>
      <c r="E1193" t="s">
        <v>65</v>
      </c>
      <c r="F1193">
        <v>6613</v>
      </c>
      <c r="G1193" t="s">
        <v>66</v>
      </c>
      <c r="H1193">
        <v>8</v>
      </c>
    </row>
    <row r="1194" spans="1:8" x14ac:dyDescent="0.3">
      <c r="A1194" t="s">
        <v>145</v>
      </c>
      <c r="B1194">
        <v>2015</v>
      </c>
      <c r="C1194" t="s">
        <v>147</v>
      </c>
      <c r="D1194" t="s">
        <v>148</v>
      </c>
      <c r="E1194" t="s">
        <v>65</v>
      </c>
      <c r="F1194">
        <v>6613</v>
      </c>
      <c r="G1194" t="s">
        <v>66</v>
      </c>
      <c r="H1194">
        <v>17</v>
      </c>
    </row>
    <row r="1195" spans="1:8" x14ac:dyDescent="0.3">
      <c r="A1195" t="s">
        <v>145</v>
      </c>
      <c r="B1195">
        <v>2016</v>
      </c>
      <c r="C1195" t="s">
        <v>147</v>
      </c>
      <c r="D1195" t="s">
        <v>148</v>
      </c>
      <c r="E1195" t="s">
        <v>65</v>
      </c>
      <c r="F1195">
        <v>6613</v>
      </c>
      <c r="G1195" t="s">
        <v>66</v>
      </c>
      <c r="H1195">
        <v>19</v>
      </c>
    </row>
    <row r="1196" spans="1:8" x14ac:dyDescent="0.3">
      <c r="A1196" t="s">
        <v>145</v>
      </c>
      <c r="B1196">
        <v>2017</v>
      </c>
      <c r="C1196" t="s">
        <v>147</v>
      </c>
      <c r="D1196" t="s">
        <v>148</v>
      </c>
      <c r="E1196" t="s">
        <v>65</v>
      </c>
      <c r="F1196">
        <v>6613</v>
      </c>
      <c r="G1196" t="s">
        <v>66</v>
      </c>
      <c r="H1196">
        <v>28</v>
      </c>
    </row>
    <row r="1197" spans="1:8" x14ac:dyDescent="0.3">
      <c r="A1197" t="s">
        <v>145</v>
      </c>
      <c r="B1197">
        <v>2018</v>
      </c>
      <c r="C1197" t="s">
        <v>147</v>
      </c>
      <c r="D1197" t="s">
        <v>148</v>
      </c>
      <c r="E1197" t="s">
        <v>65</v>
      </c>
      <c r="F1197">
        <v>6613</v>
      </c>
      <c r="G1197" t="s">
        <v>66</v>
      </c>
      <c r="H1197">
        <v>20</v>
      </c>
    </row>
    <row r="1198" spans="1:8" x14ac:dyDescent="0.3">
      <c r="A1198" t="s">
        <v>145</v>
      </c>
      <c r="B1198">
        <v>2019</v>
      </c>
      <c r="C1198" t="s">
        <v>147</v>
      </c>
      <c r="D1198" t="s">
        <v>148</v>
      </c>
      <c r="E1198" t="s">
        <v>65</v>
      </c>
      <c r="F1198">
        <v>6613</v>
      </c>
      <c r="G1198" t="s">
        <v>66</v>
      </c>
      <c r="H1198">
        <v>23</v>
      </c>
    </row>
    <row r="1199" spans="1:8" x14ac:dyDescent="0.3">
      <c r="A1199" t="s">
        <v>145</v>
      </c>
      <c r="B1199">
        <v>2020</v>
      </c>
      <c r="C1199" t="s">
        <v>147</v>
      </c>
      <c r="D1199" t="s">
        <v>148</v>
      </c>
      <c r="E1199" t="s">
        <v>65</v>
      </c>
      <c r="F1199">
        <v>6613</v>
      </c>
      <c r="G1199" t="s">
        <v>66</v>
      </c>
      <c r="H1199">
        <v>26</v>
      </c>
    </row>
    <row r="1200" spans="1:8" x14ac:dyDescent="0.3">
      <c r="A1200" t="s">
        <v>145</v>
      </c>
      <c r="B1200">
        <v>2021</v>
      </c>
      <c r="C1200" t="s">
        <v>147</v>
      </c>
      <c r="D1200" t="s">
        <v>148</v>
      </c>
      <c r="E1200" t="s">
        <v>65</v>
      </c>
      <c r="F1200">
        <v>6613</v>
      </c>
      <c r="G1200" t="s">
        <v>66</v>
      </c>
      <c r="H1200">
        <v>21</v>
      </c>
    </row>
    <row r="1201" spans="1:8" x14ac:dyDescent="0.3">
      <c r="A1201" t="s">
        <v>146</v>
      </c>
      <c r="B1201">
        <v>2014</v>
      </c>
      <c r="C1201" t="s">
        <v>147</v>
      </c>
      <c r="D1201" t="s">
        <v>148</v>
      </c>
      <c r="E1201" t="s">
        <v>65</v>
      </c>
      <c r="F1201">
        <v>7495</v>
      </c>
      <c r="G1201" t="s">
        <v>66</v>
      </c>
      <c r="H1201">
        <v>12</v>
      </c>
    </row>
    <row r="1202" spans="1:8" x14ac:dyDescent="0.3">
      <c r="A1202" t="s">
        <v>146</v>
      </c>
      <c r="B1202">
        <v>2015</v>
      </c>
      <c r="C1202" t="s">
        <v>147</v>
      </c>
      <c r="D1202" t="s">
        <v>148</v>
      </c>
      <c r="E1202" t="s">
        <v>65</v>
      </c>
      <c r="F1202">
        <v>7495</v>
      </c>
      <c r="G1202" t="s">
        <v>66</v>
      </c>
      <c r="H1202">
        <v>23</v>
      </c>
    </row>
    <row r="1203" spans="1:8" x14ac:dyDescent="0.3">
      <c r="A1203" t="s">
        <v>146</v>
      </c>
      <c r="B1203">
        <v>2016</v>
      </c>
      <c r="C1203" t="s">
        <v>147</v>
      </c>
      <c r="D1203" t="s">
        <v>148</v>
      </c>
      <c r="E1203" t="s">
        <v>65</v>
      </c>
      <c r="F1203">
        <v>7495</v>
      </c>
      <c r="G1203" t="s">
        <v>66</v>
      </c>
      <c r="H1203">
        <v>30</v>
      </c>
    </row>
    <row r="1204" spans="1:8" x14ac:dyDescent="0.3">
      <c r="A1204" t="s">
        <v>146</v>
      </c>
      <c r="B1204">
        <v>2017</v>
      </c>
      <c r="C1204" t="s">
        <v>147</v>
      </c>
      <c r="D1204" t="s">
        <v>148</v>
      </c>
      <c r="E1204" t="s">
        <v>65</v>
      </c>
      <c r="F1204">
        <v>7495</v>
      </c>
      <c r="G1204" t="s">
        <v>66</v>
      </c>
      <c r="H1204">
        <v>25</v>
      </c>
    </row>
    <row r="1205" spans="1:8" x14ac:dyDescent="0.3">
      <c r="A1205" t="s">
        <v>146</v>
      </c>
      <c r="B1205">
        <v>2018</v>
      </c>
      <c r="C1205" t="s">
        <v>147</v>
      </c>
      <c r="D1205" t="s">
        <v>148</v>
      </c>
      <c r="E1205" t="s">
        <v>65</v>
      </c>
      <c r="F1205">
        <v>7495</v>
      </c>
      <c r="G1205" t="s">
        <v>66</v>
      </c>
      <c r="H1205">
        <v>21</v>
      </c>
    </row>
    <row r="1206" spans="1:8" x14ac:dyDescent="0.3">
      <c r="A1206" t="s">
        <v>146</v>
      </c>
      <c r="B1206">
        <v>2019</v>
      </c>
      <c r="C1206" t="s">
        <v>147</v>
      </c>
      <c r="D1206" t="s">
        <v>148</v>
      </c>
      <c r="E1206" t="s">
        <v>65</v>
      </c>
      <c r="F1206">
        <v>7495</v>
      </c>
      <c r="G1206" t="s">
        <v>66</v>
      </c>
      <c r="H1206">
        <v>26</v>
      </c>
    </row>
    <row r="1207" spans="1:8" x14ac:dyDescent="0.3">
      <c r="A1207" t="s">
        <v>146</v>
      </c>
      <c r="B1207">
        <v>2020</v>
      </c>
      <c r="C1207" t="s">
        <v>147</v>
      </c>
      <c r="D1207" t="s">
        <v>148</v>
      </c>
      <c r="E1207" t="s">
        <v>65</v>
      </c>
      <c r="F1207">
        <v>7495</v>
      </c>
      <c r="G1207" t="s">
        <v>66</v>
      </c>
      <c r="H1207">
        <v>26</v>
      </c>
    </row>
    <row r="1208" spans="1:8" x14ac:dyDescent="0.3">
      <c r="A1208" t="s">
        <v>146</v>
      </c>
      <c r="B1208">
        <v>2021</v>
      </c>
      <c r="C1208" t="s">
        <v>147</v>
      </c>
      <c r="D1208" t="s">
        <v>148</v>
      </c>
      <c r="E1208" t="s">
        <v>65</v>
      </c>
      <c r="F1208">
        <v>7495</v>
      </c>
      <c r="G1208" t="s">
        <v>66</v>
      </c>
      <c r="H1208">
        <v>29</v>
      </c>
    </row>
    <row r="1209" spans="1:8" x14ac:dyDescent="0.3">
      <c r="A1209" t="s">
        <v>268</v>
      </c>
      <c r="B1209">
        <v>2016</v>
      </c>
      <c r="C1209" t="s">
        <v>147</v>
      </c>
      <c r="D1209" t="s">
        <v>148</v>
      </c>
      <c r="E1209" t="s">
        <v>65</v>
      </c>
      <c r="F1209">
        <v>7394</v>
      </c>
      <c r="G1209" t="s">
        <v>66</v>
      </c>
      <c r="H1209">
        <v>2</v>
      </c>
    </row>
    <row r="1210" spans="1:8" x14ac:dyDescent="0.3">
      <c r="A1210" t="s">
        <v>268</v>
      </c>
      <c r="B1210">
        <v>2017</v>
      </c>
      <c r="C1210" t="s">
        <v>147</v>
      </c>
      <c r="D1210" t="s">
        <v>148</v>
      </c>
      <c r="E1210" t="s">
        <v>65</v>
      </c>
      <c r="F1210">
        <v>7394</v>
      </c>
      <c r="G1210" t="s">
        <v>66</v>
      </c>
      <c r="H1210">
        <v>11</v>
      </c>
    </row>
    <row r="1211" spans="1:8" x14ac:dyDescent="0.3">
      <c r="A1211" t="s">
        <v>268</v>
      </c>
      <c r="B1211">
        <v>2018</v>
      </c>
      <c r="C1211" t="s">
        <v>147</v>
      </c>
      <c r="D1211" t="s">
        <v>148</v>
      </c>
      <c r="E1211" t="s">
        <v>65</v>
      </c>
      <c r="F1211">
        <v>7394</v>
      </c>
      <c r="G1211" t="s">
        <v>66</v>
      </c>
      <c r="H1211">
        <v>20</v>
      </c>
    </row>
    <row r="1212" spans="1:8" x14ac:dyDescent="0.3">
      <c r="A1212" t="s">
        <v>268</v>
      </c>
      <c r="B1212">
        <v>2019</v>
      </c>
      <c r="C1212" t="s">
        <v>147</v>
      </c>
      <c r="D1212" t="s">
        <v>148</v>
      </c>
      <c r="E1212" t="s">
        <v>65</v>
      </c>
      <c r="F1212">
        <v>7394</v>
      </c>
      <c r="G1212" t="s">
        <v>66</v>
      </c>
      <c r="H1212">
        <v>21</v>
      </c>
    </row>
    <row r="1213" spans="1:8" x14ac:dyDescent="0.3">
      <c r="A1213" t="s">
        <v>268</v>
      </c>
      <c r="B1213">
        <v>2020</v>
      </c>
      <c r="C1213" t="s">
        <v>147</v>
      </c>
      <c r="D1213" t="s">
        <v>148</v>
      </c>
      <c r="E1213" t="s">
        <v>65</v>
      </c>
      <c r="F1213">
        <v>7394</v>
      </c>
      <c r="G1213" t="s">
        <v>66</v>
      </c>
      <c r="H1213">
        <v>25</v>
      </c>
    </row>
    <row r="1214" spans="1:8" x14ac:dyDescent="0.3">
      <c r="A1214" t="s">
        <v>268</v>
      </c>
      <c r="B1214">
        <v>2021</v>
      </c>
      <c r="C1214" t="s">
        <v>147</v>
      </c>
      <c r="D1214" t="s">
        <v>148</v>
      </c>
      <c r="E1214" t="s">
        <v>65</v>
      </c>
      <c r="F1214">
        <v>7394</v>
      </c>
      <c r="G1214" t="s">
        <v>66</v>
      </c>
      <c r="H1214">
        <v>33</v>
      </c>
    </row>
    <row r="1215" spans="1:8" x14ac:dyDescent="0.3">
      <c r="A1215" t="s">
        <v>269</v>
      </c>
      <c r="B1215">
        <v>2014</v>
      </c>
      <c r="C1215" t="s">
        <v>147</v>
      </c>
      <c r="D1215" t="s">
        <v>148</v>
      </c>
      <c r="E1215" t="s">
        <v>65</v>
      </c>
      <c r="F1215">
        <v>6500</v>
      </c>
      <c r="G1215" t="s">
        <v>66</v>
      </c>
      <c r="H1215">
        <v>19</v>
      </c>
    </row>
    <row r="1216" spans="1:8" x14ac:dyDescent="0.3">
      <c r="A1216" t="s">
        <v>269</v>
      </c>
      <c r="B1216">
        <v>2015</v>
      </c>
      <c r="C1216" t="s">
        <v>147</v>
      </c>
      <c r="D1216" t="s">
        <v>148</v>
      </c>
      <c r="E1216" t="s">
        <v>65</v>
      </c>
      <c r="F1216">
        <v>6500</v>
      </c>
      <c r="G1216" t="s">
        <v>66</v>
      </c>
      <c r="H1216">
        <v>64</v>
      </c>
    </row>
    <row r="1217" spans="1:8" x14ac:dyDescent="0.3">
      <c r="A1217" t="s">
        <v>269</v>
      </c>
      <c r="B1217">
        <v>2016</v>
      </c>
      <c r="C1217" t="s">
        <v>147</v>
      </c>
      <c r="D1217" t="s">
        <v>148</v>
      </c>
      <c r="E1217" t="s">
        <v>65</v>
      </c>
      <c r="F1217">
        <v>6500</v>
      </c>
      <c r="G1217" t="s">
        <v>66</v>
      </c>
      <c r="H1217">
        <v>73</v>
      </c>
    </row>
    <row r="1218" spans="1:8" x14ac:dyDescent="0.3">
      <c r="A1218" t="s">
        <v>269</v>
      </c>
      <c r="B1218">
        <v>2017</v>
      </c>
      <c r="C1218" t="s">
        <v>147</v>
      </c>
      <c r="D1218" t="s">
        <v>148</v>
      </c>
      <c r="E1218" t="s">
        <v>65</v>
      </c>
      <c r="F1218">
        <v>6500</v>
      </c>
      <c r="G1218" t="s">
        <v>66</v>
      </c>
      <c r="H1218">
        <v>115</v>
      </c>
    </row>
    <row r="1219" spans="1:8" x14ac:dyDescent="0.3">
      <c r="A1219" t="s">
        <v>269</v>
      </c>
      <c r="B1219">
        <v>2018</v>
      </c>
      <c r="C1219" t="s">
        <v>147</v>
      </c>
      <c r="D1219" t="s">
        <v>148</v>
      </c>
      <c r="E1219" t="s">
        <v>65</v>
      </c>
      <c r="F1219">
        <v>6500</v>
      </c>
      <c r="G1219" t="s">
        <v>66</v>
      </c>
      <c r="H1219">
        <v>138</v>
      </c>
    </row>
    <row r="1220" spans="1:8" x14ac:dyDescent="0.3">
      <c r="A1220" t="s">
        <v>269</v>
      </c>
      <c r="B1220">
        <v>2019</v>
      </c>
      <c r="C1220" t="s">
        <v>147</v>
      </c>
      <c r="D1220" t="s">
        <v>148</v>
      </c>
      <c r="E1220" t="s">
        <v>65</v>
      </c>
      <c r="F1220">
        <v>6500</v>
      </c>
      <c r="G1220" t="s">
        <v>66</v>
      </c>
      <c r="H1220">
        <v>81</v>
      </c>
    </row>
    <row r="1221" spans="1:8" x14ac:dyDescent="0.3">
      <c r="A1221" t="s">
        <v>269</v>
      </c>
      <c r="B1221">
        <v>2020</v>
      </c>
      <c r="C1221" t="s">
        <v>147</v>
      </c>
      <c r="D1221" t="s">
        <v>148</v>
      </c>
      <c r="E1221" t="s">
        <v>65</v>
      </c>
      <c r="F1221">
        <v>6500</v>
      </c>
      <c r="G1221" t="s">
        <v>66</v>
      </c>
      <c r="H1221">
        <v>35</v>
      </c>
    </row>
    <row r="1222" spans="1:8" x14ac:dyDescent="0.3">
      <c r="A1222" t="s">
        <v>269</v>
      </c>
      <c r="B1222">
        <v>2021</v>
      </c>
      <c r="C1222" t="s">
        <v>147</v>
      </c>
      <c r="D1222" t="s">
        <v>148</v>
      </c>
      <c r="E1222" t="s">
        <v>65</v>
      </c>
      <c r="F1222">
        <v>6500</v>
      </c>
      <c r="G1222" t="s">
        <v>66</v>
      </c>
      <c r="H1222">
        <v>79</v>
      </c>
    </row>
    <row r="1223" spans="1:8" x14ac:dyDescent="0.3">
      <c r="A1223" t="s">
        <v>270</v>
      </c>
      <c r="B1223">
        <v>2014</v>
      </c>
      <c r="C1223" t="s">
        <v>147</v>
      </c>
      <c r="D1223" t="s">
        <v>148</v>
      </c>
      <c r="E1223" t="s">
        <v>65</v>
      </c>
      <c r="F1223">
        <v>-1</v>
      </c>
      <c r="G1223" t="s">
        <v>270</v>
      </c>
      <c r="H1223">
        <v>116</v>
      </c>
    </row>
    <row r="1224" spans="1:8" x14ac:dyDescent="0.3">
      <c r="A1224" t="s">
        <v>270</v>
      </c>
      <c r="B1224">
        <v>2015</v>
      </c>
      <c r="C1224" t="s">
        <v>147</v>
      </c>
      <c r="D1224" t="s">
        <v>148</v>
      </c>
      <c r="E1224" t="s">
        <v>65</v>
      </c>
      <c r="F1224">
        <v>-1</v>
      </c>
      <c r="G1224" t="s">
        <v>270</v>
      </c>
      <c r="H1224">
        <v>339</v>
      </c>
    </row>
    <row r="1225" spans="1:8" x14ac:dyDescent="0.3">
      <c r="A1225" t="s">
        <v>270</v>
      </c>
      <c r="B1225">
        <v>2016</v>
      </c>
      <c r="C1225" t="s">
        <v>147</v>
      </c>
      <c r="D1225" t="s">
        <v>148</v>
      </c>
      <c r="E1225" t="s">
        <v>65</v>
      </c>
      <c r="F1225">
        <v>-1</v>
      </c>
      <c r="G1225" t="s">
        <v>270</v>
      </c>
      <c r="H1225">
        <v>312</v>
      </c>
    </row>
    <row r="1226" spans="1:8" x14ac:dyDescent="0.3">
      <c r="A1226" t="s">
        <v>270</v>
      </c>
      <c r="B1226">
        <v>2017</v>
      </c>
      <c r="C1226" t="s">
        <v>147</v>
      </c>
      <c r="D1226" t="s">
        <v>148</v>
      </c>
      <c r="E1226" t="s">
        <v>65</v>
      </c>
      <c r="F1226">
        <v>-1</v>
      </c>
      <c r="G1226" t="s">
        <v>270</v>
      </c>
      <c r="H1226">
        <v>930</v>
      </c>
    </row>
    <row r="1227" spans="1:8" x14ac:dyDescent="0.3">
      <c r="A1227" t="s">
        <v>270</v>
      </c>
      <c r="B1227">
        <v>2018</v>
      </c>
      <c r="C1227" t="s">
        <v>147</v>
      </c>
      <c r="D1227" t="s">
        <v>148</v>
      </c>
      <c r="E1227" t="s">
        <v>65</v>
      </c>
      <c r="F1227">
        <v>-1</v>
      </c>
      <c r="G1227" t="s">
        <v>270</v>
      </c>
      <c r="H1227">
        <v>1186</v>
      </c>
    </row>
    <row r="1228" spans="1:8" x14ac:dyDescent="0.3">
      <c r="A1228" t="s">
        <v>270</v>
      </c>
      <c r="B1228">
        <v>2019</v>
      </c>
      <c r="C1228" t="s">
        <v>147</v>
      </c>
      <c r="D1228" t="s">
        <v>148</v>
      </c>
      <c r="E1228" t="s">
        <v>65</v>
      </c>
      <c r="F1228">
        <v>-1</v>
      </c>
      <c r="G1228" t="s">
        <v>270</v>
      </c>
      <c r="H1228">
        <v>1517</v>
      </c>
    </row>
    <row r="1229" spans="1:8" x14ac:dyDescent="0.3">
      <c r="A1229" t="s">
        <v>270</v>
      </c>
      <c r="B1229">
        <v>2020</v>
      </c>
      <c r="C1229" t="s">
        <v>147</v>
      </c>
      <c r="D1229" t="s">
        <v>148</v>
      </c>
      <c r="E1229" t="s">
        <v>65</v>
      </c>
      <c r="F1229">
        <v>-1</v>
      </c>
      <c r="G1229" t="s">
        <v>270</v>
      </c>
      <c r="H1229">
        <v>2081</v>
      </c>
    </row>
    <row r="1230" spans="1:8" x14ac:dyDescent="0.3">
      <c r="A1230" t="s">
        <v>270</v>
      </c>
      <c r="B1230">
        <v>2021</v>
      </c>
      <c r="C1230" t="s">
        <v>147</v>
      </c>
      <c r="D1230" t="s">
        <v>148</v>
      </c>
      <c r="E1230" t="s">
        <v>65</v>
      </c>
      <c r="F1230">
        <v>-1</v>
      </c>
      <c r="G1230" t="s">
        <v>270</v>
      </c>
      <c r="H1230">
        <v>2083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335A-5D70-4C30-ADAE-A97C969A290F}">
  <dimension ref="A1:BE1230"/>
  <sheetViews>
    <sheetView workbookViewId="0">
      <selection activeCell="BG8" sqref="BG8"/>
    </sheetView>
  </sheetViews>
  <sheetFormatPr defaultRowHeight="14.4" x14ac:dyDescent="0.3"/>
  <cols>
    <col min="1" max="1" width="15" style="350" bestFit="1" customWidth="1"/>
    <col min="2" max="5" width="8.88671875" style="350"/>
    <col min="6" max="6" width="8.88671875" style="353"/>
    <col min="7" max="7" width="30.33203125" style="353" bestFit="1" customWidth="1"/>
    <col min="8" max="8" width="1.5546875" style="351" bestFit="1" customWidth="1"/>
    <col min="9" max="9" width="15" style="385" bestFit="1" customWidth="1"/>
    <col min="10" max="14" width="8.88671875" style="356"/>
    <col min="15" max="15" width="8.88671875" style="386"/>
    <col min="16" max="16" width="8.88671875" style="385"/>
    <col min="17" max="20" width="8.88671875" style="356"/>
    <col min="21" max="21" width="8.88671875" style="386"/>
    <col min="28" max="28" width="8.88671875" style="385"/>
    <col min="29" max="32" width="8.88671875" style="356"/>
    <col min="33" max="33" width="8.88671875" style="386"/>
    <col min="40" max="40" width="8.88671875" style="385"/>
    <col min="41" max="44" width="8.88671875" style="356"/>
    <col min="45" max="45" width="8.88671875" style="386"/>
    <col min="46" max="46" width="8.88671875" style="385"/>
    <col min="47" max="50" width="8.88671875" style="356"/>
    <col min="51" max="51" width="8.88671875" style="386"/>
    <col min="52" max="52" width="8.88671875" style="385"/>
    <col min="53" max="56" width="8.88671875" style="356"/>
    <col min="57" max="57" width="8.88671875" style="386"/>
  </cols>
  <sheetData>
    <row r="1" spans="1:57" x14ac:dyDescent="0.3">
      <c r="A1" s="349" t="s">
        <v>56</v>
      </c>
      <c r="B1" s="349" t="s">
        <v>54</v>
      </c>
      <c r="C1" s="349" t="s">
        <v>55</v>
      </c>
      <c r="D1" s="349" t="s">
        <v>58</v>
      </c>
      <c r="E1" s="349" t="s">
        <v>59</v>
      </c>
      <c r="F1" s="352" t="s">
        <v>60</v>
      </c>
      <c r="G1" s="352" t="s">
        <v>61</v>
      </c>
      <c r="H1" s="377" t="s">
        <v>331</v>
      </c>
      <c r="I1" s="379" t="s">
        <v>56</v>
      </c>
      <c r="J1" s="380" t="s">
        <v>54</v>
      </c>
      <c r="K1" s="380" t="s">
        <v>55</v>
      </c>
      <c r="L1" s="380" t="s">
        <v>58</v>
      </c>
      <c r="M1" s="380" t="s">
        <v>59</v>
      </c>
      <c r="N1" s="380" t="s">
        <v>60</v>
      </c>
      <c r="O1" s="381" t="s">
        <v>61</v>
      </c>
      <c r="P1" s="379" t="s">
        <v>54</v>
      </c>
      <c r="Q1" s="380" t="s">
        <v>55</v>
      </c>
      <c r="R1" s="380" t="s">
        <v>58</v>
      </c>
      <c r="S1" s="380" t="s">
        <v>59</v>
      </c>
      <c r="T1" s="380" t="s">
        <v>60</v>
      </c>
      <c r="U1" s="381" t="s">
        <v>61</v>
      </c>
      <c r="V1" s="378" t="s">
        <v>54</v>
      </c>
      <c r="W1" s="1" t="s">
        <v>55</v>
      </c>
      <c r="X1" s="1" t="s">
        <v>58</v>
      </c>
      <c r="Y1" s="1" t="s">
        <v>59</v>
      </c>
      <c r="Z1" s="1" t="s">
        <v>60</v>
      </c>
      <c r="AA1" s="390" t="s">
        <v>61</v>
      </c>
      <c r="AB1" s="379" t="s">
        <v>54</v>
      </c>
      <c r="AC1" s="380" t="s">
        <v>55</v>
      </c>
      <c r="AD1" s="380" t="s">
        <v>58</v>
      </c>
      <c r="AE1" s="380" t="s">
        <v>59</v>
      </c>
      <c r="AF1" s="380" t="s">
        <v>60</v>
      </c>
      <c r="AG1" s="381" t="s">
        <v>61</v>
      </c>
      <c r="AH1" s="378" t="s">
        <v>54</v>
      </c>
      <c r="AI1" s="1" t="s">
        <v>55</v>
      </c>
      <c r="AJ1" s="1" t="s">
        <v>58</v>
      </c>
      <c r="AK1" s="1" t="s">
        <v>59</v>
      </c>
      <c r="AL1" s="1" t="s">
        <v>60</v>
      </c>
      <c r="AM1" s="390" t="s">
        <v>61</v>
      </c>
      <c r="AN1" s="379" t="s">
        <v>54</v>
      </c>
      <c r="AO1" s="380" t="s">
        <v>55</v>
      </c>
      <c r="AP1" s="380" t="s">
        <v>58</v>
      </c>
      <c r="AQ1" s="380" t="s">
        <v>59</v>
      </c>
      <c r="AR1" s="380" t="s">
        <v>60</v>
      </c>
      <c r="AS1" s="381" t="s">
        <v>61</v>
      </c>
      <c r="AT1" s="379" t="s">
        <v>54</v>
      </c>
      <c r="AU1" s="380" t="s">
        <v>55</v>
      </c>
      <c r="AV1" s="380" t="s">
        <v>58</v>
      </c>
      <c r="AW1" s="380" t="s">
        <v>59</v>
      </c>
      <c r="AX1" s="380" t="s">
        <v>60</v>
      </c>
      <c r="AY1" s="381" t="s">
        <v>61</v>
      </c>
      <c r="AZ1" s="379" t="s">
        <v>54</v>
      </c>
      <c r="BA1" s="380" t="s">
        <v>55</v>
      </c>
      <c r="BB1" s="380" t="s">
        <v>58</v>
      </c>
      <c r="BC1" s="380" t="s">
        <v>59</v>
      </c>
      <c r="BD1" s="380" t="s">
        <v>60</v>
      </c>
      <c r="BE1" s="381" t="s">
        <v>61</v>
      </c>
    </row>
    <row r="2" spans="1:57" x14ac:dyDescent="0.3">
      <c r="A2" s="350" t="s">
        <v>147</v>
      </c>
      <c r="B2" s="350" t="s">
        <v>186</v>
      </c>
      <c r="C2" s="350">
        <v>2021</v>
      </c>
      <c r="D2" s="350" t="s">
        <v>65</v>
      </c>
      <c r="E2" s="350">
        <v>585000</v>
      </c>
      <c r="F2" s="353" t="s">
        <v>83</v>
      </c>
      <c r="G2" s="353">
        <v>6</v>
      </c>
      <c r="I2" s="382" t="s">
        <v>147</v>
      </c>
      <c r="J2" s="383" t="s">
        <v>62</v>
      </c>
      <c r="K2" s="383">
        <v>2021</v>
      </c>
      <c r="L2" s="383" t="s">
        <v>65</v>
      </c>
      <c r="M2" s="383">
        <v>50044</v>
      </c>
      <c r="N2" s="383" t="s">
        <v>66</v>
      </c>
      <c r="O2" s="384">
        <v>4</v>
      </c>
      <c r="P2" s="387" t="s">
        <v>62</v>
      </c>
      <c r="Q2" s="388">
        <v>2020</v>
      </c>
      <c r="R2" s="388" t="s">
        <v>65</v>
      </c>
      <c r="S2" s="388">
        <v>50044</v>
      </c>
      <c r="T2" s="388" t="s">
        <v>66</v>
      </c>
      <c r="U2" s="389">
        <v>2</v>
      </c>
      <c r="V2" s="289" t="s">
        <v>62</v>
      </c>
      <c r="W2" s="289">
        <v>2019</v>
      </c>
      <c r="X2" s="289" t="s">
        <v>65</v>
      </c>
      <c r="Y2" s="289">
        <v>50044</v>
      </c>
      <c r="Z2" s="289" t="s">
        <v>66</v>
      </c>
      <c r="AA2" s="289">
        <v>2</v>
      </c>
      <c r="AB2" s="391" t="s">
        <v>149</v>
      </c>
      <c r="AC2" s="392">
        <v>2018</v>
      </c>
      <c r="AD2" s="392" t="s">
        <v>65</v>
      </c>
      <c r="AE2" s="392">
        <v>168653</v>
      </c>
      <c r="AF2" s="392" t="s">
        <v>72</v>
      </c>
      <c r="AG2" s="393">
        <v>1</v>
      </c>
      <c r="AH2" s="290" t="s">
        <v>150</v>
      </c>
      <c r="AI2" s="290">
        <v>2017</v>
      </c>
      <c r="AJ2" s="290" t="s">
        <v>65</v>
      </c>
      <c r="AK2" s="290">
        <v>174165</v>
      </c>
      <c r="AL2" s="290" t="s">
        <v>72</v>
      </c>
      <c r="AM2" s="290">
        <v>1</v>
      </c>
      <c r="AN2" s="394" t="s">
        <v>62</v>
      </c>
      <c r="AO2" s="395">
        <v>2016</v>
      </c>
      <c r="AP2" s="395" t="s">
        <v>65</v>
      </c>
      <c r="AQ2" s="395">
        <v>50044</v>
      </c>
      <c r="AR2" s="395" t="s">
        <v>66</v>
      </c>
      <c r="AS2" s="396">
        <v>1</v>
      </c>
      <c r="AT2" s="397" t="s">
        <v>62</v>
      </c>
      <c r="AU2" s="398">
        <v>2015</v>
      </c>
      <c r="AV2" s="398" t="s">
        <v>65</v>
      </c>
      <c r="AW2" s="398">
        <v>50044</v>
      </c>
      <c r="AX2" s="398" t="s">
        <v>66</v>
      </c>
      <c r="AY2" s="399">
        <v>1</v>
      </c>
      <c r="AZ2" s="400" t="s">
        <v>149</v>
      </c>
      <c r="BA2" s="401">
        <v>2014</v>
      </c>
      <c r="BB2" s="401" t="s">
        <v>65</v>
      </c>
      <c r="BC2" s="401">
        <v>168653</v>
      </c>
      <c r="BD2" s="401" t="s">
        <v>72</v>
      </c>
      <c r="BE2" s="402">
        <v>2</v>
      </c>
    </row>
    <row r="3" spans="1:57" x14ac:dyDescent="0.3">
      <c r="A3" s="350" t="s">
        <v>147</v>
      </c>
      <c r="B3" s="350" t="s">
        <v>186</v>
      </c>
      <c r="C3" s="350">
        <v>2020</v>
      </c>
      <c r="D3" s="350" t="s">
        <v>65</v>
      </c>
      <c r="E3" s="350">
        <v>585000</v>
      </c>
      <c r="F3" s="353" t="s">
        <v>83</v>
      </c>
      <c r="G3" s="353">
        <v>4</v>
      </c>
      <c r="I3" s="382" t="s">
        <v>147</v>
      </c>
      <c r="J3" s="383" t="s">
        <v>151</v>
      </c>
      <c r="K3" s="383">
        <v>2021</v>
      </c>
      <c r="L3" s="383" t="s">
        <v>65</v>
      </c>
      <c r="M3" s="383">
        <v>206132</v>
      </c>
      <c r="N3" s="383" t="s">
        <v>72</v>
      </c>
      <c r="O3" s="384">
        <v>1</v>
      </c>
      <c r="P3" s="387" t="s">
        <v>67</v>
      </c>
      <c r="Q3" s="388">
        <v>2020</v>
      </c>
      <c r="R3" s="388" t="s">
        <v>65</v>
      </c>
      <c r="S3" s="388">
        <v>2400</v>
      </c>
      <c r="T3" s="388" t="s">
        <v>66</v>
      </c>
      <c r="U3" s="389">
        <v>11</v>
      </c>
      <c r="V3" s="289" t="s">
        <v>149</v>
      </c>
      <c r="W3" s="289">
        <v>2019</v>
      </c>
      <c r="X3" s="289" t="s">
        <v>65</v>
      </c>
      <c r="Y3" s="289">
        <v>168653</v>
      </c>
      <c r="Z3" s="289" t="s">
        <v>72</v>
      </c>
      <c r="AA3" s="289">
        <v>2</v>
      </c>
      <c r="AB3" s="391" t="s">
        <v>150</v>
      </c>
      <c r="AC3" s="392">
        <v>2018</v>
      </c>
      <c r="AD3" s="392" t="s">
        <v>65</v>
      </c>
      <c r="AE3" s="392">
        <v>174165</v>
      </c>
      <c r="AF3" s="392" t="s">
        <v>72</v>
      </c>
      <c r="AG3" s="393">
        <v>2</v>
      </c>
      <c r="AH3" s="290" t="s">
        <v>67</v>
      </c>
      <c r="AI3" s="290">
        <v>2017</v>
      </c>
      <c r="AJ3" s="290" t="s">
        <v>65</v>
      </c>
      <c r="AK3" s="290">
        <v>2400</v>
      </c>
      <c r="AL3" s="290" t="s">
        <v>66</v>
      </c>
      <c r="AM3" s="290">
        <v>7</v>
      </c>
      <c r="AN3" s="394" t="s">
        <v>151</v>
      </c>
      <c r="AO3" s="395">
        <v>2016</v>
      </c>
      <c r="AP3" s="395" t="s">
        <v>65</v>
      </c>
      <c r="AQ3" s="395">
        <v>206132</v>
      </c>
      <c r="AR3" s="395" t="s">
        <v>72</v>
      </c>
      <c r="AS3" s="396">
        <v>1</v>
      </c>
      <c r="AT3" s="397" t="s">
        <v>149</v>
      </c>
      <c r="AU3" s="398">
        <v>2015</v>
      </c>
      <c r="AV3" s="398" t="s">
        <v>65</v>
      </c>
      <c r="AW3" s="398">
        <v>168653</v>
      </c>
      <c r="AX3" s="398" t="s">
        <v>72</v>
      </c>
      <c r="AY3" s="399">
        <v>2</v>
      </c>
      <c r="AZ3" s="400" t="s">
        <v>150</v>
      </c>
      <c r="BA3" s="401">
        <v>2014</v>
      </c>
      <c r="BB3" s="401" t="s">
        <v>65</v>
      </c>
      <c r="BC3" s="401">
        <v>174165</v>
      </c>
      <c r="BD3" s="401" t="s">
        <v>72</v>
      </c>
      <c r="BE3" s="402">
        <v>2</v>
      </c>
    </row>
    <row r="4" spans="1:57" x14ac:dyDescent="0.3">
      <c r="A4" s="350" t="s">
        <v>147</v>
      </c>
      <c r="B4" s="350" t="s">
        <v>186</v>
      </c>
      <c r="C4" s="350">
        <v>2019</v>
      </c>
      <c r="D4" s="350" t="s">
        <v>65</v>
      </c>
      <c r="E4" s="350">
        <v>585000</v>
      </c>
      <c r="F4" s="353" t="s">
        <v>83</v>
      </c>
      <c r="G4" s="353">
        <v>3</v>
      </c>
      <c r="I4" s="382" t="s">
        <v>147</v>
      </c>
      <c r="J4" s="383" t="s">
        <v>67</v>
      </c>
      <c r="K4" s="383">
        <v>2021</v>
      </c>
      <c r="L4" s="383" t="s">
        <v>65</v>
      </c>
      <c r="M4" s="383">
        <v>2400</v>
      </c>
      <c r="N4" s="383" t="s">
        <v>66</v>
      </c>
      <c r="O4" s="384">
        <v>15</v>
      </c>
      <c r="P4" s="387" t="s">
        <v>68</v>
      </c>
      <c r="Q4" s="388">
        <v>2020</v>
      </c>
      <c r="R4" s="388" t="s">
        <v>65</v>
      </c>
      <c r="S4" s="388">
        <v>3262</v>
      </c>
      <c r="T4" s="388" t="s">
        <v>66</v>
      </c>
      <c r="U4" s="389">
        <v>1</v>
      </c>
      <c r="V4" s="289" t="s">
        <v>150</v>
      </c>
      <c r="W4" s="289">
        <v>2019</v>
      </c>
      <c r="X4" s="289" t="s">
        <v>65</v>
      </c>
      <c r="Y4" s="289">
        <v>174165</v>
      </c>
      <c r="Z4" s="289" t="s">
        <v>72</v>
      </c>
      <c r="AA4" s="289">
        <v>2</v>
      </c>
      <c r="AB4" s="391" t="s">
        <v>67</v>
      </c>
      <c r="AC4" s="392">
        <v>2018</v>
      </c>
      <c r="AD4" s="392" t="s">
        <v>65</v>
      </c>
      <c r="AE4" s="392">
        <v>2400</v>
      </c>
      <c r="AF4" s="392" t="s">
        <v>66</v>
      </c>
      <c r="AG4" s="393">
        <v>13</v>
      </c>
      <c r="AH4" s="290" t="s">
        <v>68</v>
      </c>
      <c r="AI4" s="290">
        <v>2017</v>
      </c>
      <c r="AJ4" s="290" t="s">
        <v>65</v>
      </c>
      <c r="AK4" s="290">
        <v>3262</v>
      </c>
      <c r="AL4" s="290" t="s">
        <v>66</v>
      </c>
      <c r="AM4" s="290">
        <v>6</v>
      </c>
      <c r="AN4" s="394" t="s">
        <v>67</v>
      </c>
      <c r="AO4" s="395">
        <v>2016</v>
      </c>
      <c r="AP4" s="395" t="s">
        <v>65</v>
      </c>
      <c r="AQ4" s="395">
        <v>2400</v>
      </c>
      <c r="AR4" s="395" t="s">
        <v>66</v>
      </c>
      <c r="AS4" s="396">
        <v>13</v>
      </c>
      <c r="AT4" s="397" t="s">
        <v>150</v>
      </c>
      <c r="AU4" s="398">
        <v>2015</v>
      </c>
      <c r="AV4" s="398" t="s">
        <v>65</v>
      </c>
      <c r="AW4" s="398">
        <v>174165</v>
      </c>
      <c r="AX4" s="398" t="s">
        <v>72</v>
      </c>
      <c r="AY4" s="399">
        <v>1</v>
      </c>
      <c r="AZ4" s="400" t="s">
        <v>68</v>
      </c>
      <c r="BA4" s="401">
        <v>2014</v>
      </c>
      <c r="BB4" s="401" t="s">
        <v>65</v>
      </c>
      <c r="BC4" s="401">
        <v>3262</v>
      </c>
      <c r="BD4" s="401" t="s">
        <v>66</v>
      </c>
      <c r="BE4" s="402">
        <v>3</v>
      </c>
    </row>
    <row r="5" spans="1:57" x14ac:dyDescent="0.3">
      <c r="A5" s="350" t="s">
        <v>147</v>
      </c>
      <c r="B5" s="350" t="s">
        <v>186</v>
      </c>
      <c r="C5" s="350">
        <v>2018</v>
      </c>
      <c r="D5" s="350" t="s">
        <v>65</v>
      </c>
      <c r="E5" s="350">
        <v>585000</v>
      </c>
      <c r="F5" s="353" t="s">
        <v>83</v>
      </c>
      <c r="G5" s="353">
        <v>1</v>
      </c>
      <c r="I5" s="382" t="s">
        <v>147</v>
      </c>
      <c r="J5" s="383" t="s">
        <v>69</v>
      </c>
      <c r="K5" s="383">
        <v>2021</v>
      </c>
      <c r="L5" s="383" t="s">
        <v>65</v>
      </c>
      <c r="M5" s="383">
        <v>10700</v>
      </c>
      <c r="N5" s="383" t="s">
        <v>66</v>
      </c>
      <c r="O5" s="384">
        <v>4</v>
      </c>
      <c r="P5" s="387" t="s">
        <v>152</v>
      </c>
      <c r="Q5" s="388">
        <v>2020</v>
      </c>
      <c r="R5" s="388" t="s">
        <v>65</v>
      </c>
      <c r="S5" s="388">
        <v>6750</v>
      </c>
      <c r="T5" s="388" t="s">
        <v>66</v>
      </c>
      <c r="U5" s="389">
        <v>3</v>
      </c>
      <c r="V5" s="289" t="s">
        <v>151</v>
      </c>
      <c r="W5" s="289">
        <v>2019</v>
      </c>
      <c r="X5" s="289" t="s">
        <v>65</v>
      </c>
      <c r="Y5" s="289">
        <v>206132</v>
      </c>
      <c r="Z5" s="289" t="s">
        <v>72</v>
      </c>
      <c r="AA5" s="289">
        <v>2</v>
      </c>
      <c r="AB5" s="391" t="s">
        <v>152</v>
      </c>
      <c r="AC5" s="392">
        <v>2018</v>
      </c>
      <c r="AD5" s="392" t="s">
        <v>65</v>
      </c>
      <c r="AE5" s="392">
        <v>6750</v>
      </c>
      <c r="AF5" s="392" t="s">
        <v>66</v>
      </c>
      <c r="AG5" s="393">
        <v>1</v>
      </c>
      <c r="AH5" s="290" t="s">
        <v>152</v>
      </c>
      <c r="AI5" s="290">
        <v>2017</v>
      </c>
      <c r="AJ5" s="290" t="s">
        <v>65</v>
      </c>
      <c r="AK5" s="290">
        <v>6750</v>
      </c>
      <c r="AL5" s="290" t="s">
        <v>66</v>
      </c>
      <c r="AM5" s="290">
        <v>2</v>
      </c>
      <c r="AN5" s="394" t="s">
        <v>68</v>
      </c>
      <c r="AO5" s="395">
        <v>2016</v>
      </c>
      <c r="AP5" s="395" t="s">
        <v>65</v>
      </c>
      <c r="AQ5" s="395">
        <v>3262</v>
      </c>
      <c r="AR5" s="395" t="s">
        <v>66</v>
      </c>
      <c r="AS5" s="396">
        <v>2</v>
      </c>
      <c r="AT5" s="397" t="s">
        <v>67</v>
      </c>
      <c r="AU5" s="398">
        <v>2015</v>
      </c>
      <c r="AV5" s="398" t="s">
        <v>65</v>
      </c>
      <c r="AW5" s="398">
        <v>2400</v>
      </c>
      <c r="AX5" s="398" t="s">
        <v>66</v>
      </c>
      <c r="AY5" s="399">
        <v>8</v>
      </c>
      <c r="AZ5" s="400" t="s">
        <v>152</v>
      </c>
      <c r="BA5" s="401">
        <v>2014</v>
      </c>
      <c r="BB5" s="401" t="s">
        <v>65</v>
      </c>
      <c r="BC5" s="401">
        <v>6750</v>
      </c>
      <c r="BD5" s="401" t="s">
        <v>66</v>
      </c>
      <c r="BE5" s="402">
        <v>1</v>
      </c>
    </row>
    <row r="6" spans="1:57" x14ac:dyDescent="0.3">
      <c r="A6" s="350" t="s">
        <v>147</v>
      </c>
      <c r="B6" s="350" t="s">
        <v>186</v>
      </c>
      <c r="C6" s="350">
        <v>2017</v>
      </c>
      <c r="D6" s="350" t="s">
        <v>65</v>
      </c>
      <c r="E6" s="350">
        <v>585000</v>
      </c>
      <c r="F6" s="353" t="s">
        <v>83</v>
      </c>
      <c r="G6" s="353">
        <v>6</v>
      </c>
      <c r="I6" s="382" t="s">
        <v>147</v>
      </c>
      <c r="J6" s="383" t="s">
        <v>155</v>
      </c>
      <c r="K6" s="383">
        <v>2021</v>
      </c>
      <c r="L6" s="383" t="s">
        <v>65</v>
      </c>
      <c r="M6" s="383">
        <v>11750</v>
      </c>
      <c r="N6" s="383" t="s">
        <v>66</v>
      </c>
      <c r="O6" s="384">
        <v>2</v>
      </c>
      <c r="P6" s="387" t="s">
        <v>154</v>
      </c>
      <c r="Q6" s="388">
        <v>2020</v>
      </c>
      <c r="R6" s="388" t="s">
        <v>65</v>
      </c>
      <c r="S6" s="388">
        <v>9400</v>
      </c>
      <c r="T6" s="388" t="s">
        <v>66</v>
      </c>
      <c r="U6" s="389">
        <v>4</v>
      </c>
      <c r="V6" s="289" t="s">
        <v>67</v>
      </c>
      <c r="W6" s="289">
        <v>2019</v>
      </c>
      <c r="X6" s="289" t="s">
        <v>65</v>
      </c>
      <c r="Y6" s="289">
        <v>2400</v>
      </c>
      <c r="Z6" s="289" t="s">
        <v>66</v>
      </c>
      <c r="AA6" s="289">
        <v>16</v>
      </c>
      <c r="AB6" s="391" t="s">
        <v>69</v>
      </c>
      <c r="AC6" s="392">
        <v>2018</v>
      </c>
      <c r="AD6" s="392" t="s">
        <v>65</v>
      </c>
      <c r="AE6" s="392">
        <v>10700</v>
      </c>
      <c r="AF6" s="392" t="s">
        <v>66</v>
      </c>
      <c r="AG6" s="393">
        <v>14</v>
      </c>
      <c r="AH6" s="290" t="s">
        <v>153</v>
      </c>
      <c r="AI6" s="290">
        <v>2017</v>
      </c>
      <c r="AJ6" s="290" t="s">
        <v>65</v>
      </c>
      <c r="AK6" s="290">
        <v>8000</v>
      </c>
      <c r="AL6" s="290" t="s">
        <v>66</v>
      </c>
      <c r="AM6" s="290">
        <v>1</v>
      </c>
      <c r="AN6" s="394" t="s">
        <v>152</v>
      </c>
      <c r="AO6" s="395">
        <v>2016</v>
      </c>
      <c r="AP6" s="395" t="s">
        <v>65</v>
      </c>
      <c r="AQ6" s="395">
        <v>6750</v>
      </c>
      <c r="AR6" s="395" t="s">
        <v>66</v>
      </c>
      <c r="AS6" s="396">
        <v>11</v>
      </c>
      <c r="AT6" s="397" t="s">
        <v>68</v>
      </c>
      <c r="AU6" s="398">
        <v>2015</v>
      </c>
      <c r="AV6" s="398" t="s">
        <v>65</v>
      </c>
      <c r="AW6" s="398">
        <v>3262</v>
      </c>
      <c r="AX6" s="398" t="s">
        <v>66</v>
      </c>
      <c r="AY6" s="399">
        <v>3</v>
      </c>
      <c r="AZ6" s="400" t="s">
        <v>69</v>
      </c>
      <c r="BA6" s="401">
        <v>2014</v>
      </c>
      <c r="BB6" s="401" t="s">
        <v>65</v>
      </c>
      <c r="BC6" s="401">
        <v>10700</v>
      </c>
      <c r="BD6" s="401" t="s">
        <v>66</v>
      </c>
      <c r="BE6" s="402">
        <v>2</v>
      </c>
    </row>
    <row r="7" spans="1:57" x14ac:dyDescent="0.3">
      <c r="A7" s="350" t="s">
        <v>147</v>
      </c>
      <c r="B7" s="350" t="s">
        <v>186</v>
      </c>
      <c r="C7" s="350">
        <v>2016</v>
      </c>
      <c r="D7" s="350" t="s">
        <v>65</v>
      </c>
      <c r="E7" s="350">
        <v>585000</v>
      </c>
      <c r="F7" s="353" t="s">
        <v>83</v>
      </c>
      <c r="G7" s="353">
        <v>4</v>
      </c>
      <c r="I7" s="382" t="s">
        <v>147</v>
      </c>
      <c r="J7" s="383" t="s">
        <v>70</v>
      </c>
      <c r="K7" s="383">
        <v>2021</v>
      </c>
      <c r="L7" s="383" t="s">
        <v>65</v>
      </c>
      <c r="M7" s="383">
        <v>6850</v>
      </c>
      <c r="N7" s="383" t="s">
        <v>66</v>
      </c>
      <c r="O7" s="384">
        <v>7</v>
      </c>
      <c r="P7" s="387" t="s">
        <v>69</v>
      </c>
      <c r="Q7" s="388">
        <v>2020</v>
      </c>
      <c r="R7" s="388" t="s">
        <v>65</v>
      </c>
      <c r="S7" s="388">
        <v>10700</v>
      </c>
      <c r="T7" s="388" t="s">
        <v>66</v>
      </c>
      <c r="U7" s="389">
        <v>22</v>
      </c>
      <c r="V7" s="289" t="s">
        <v>69</v>
      </c>
      <c r="W7" s="289">
        <v>2019</v>
      </c>
      <c r="X7" s="289" t="s">
        <v>65</v>
      </c>
      <c r="Y7" s="289">
        <v>10700</v>
      </c>
      <c r="Z7" s="289" t="s">
        <v>66</v>
      </c>
      <c r="AA7" s="289">
        <v>10</v>
      </c>
      <c r="AB7" s="391" t="s">
        <v>155</v>
      </c>
      <c r="AC7" s="392">
        <v>2018</v>
      </c>
      <c r="AD7" s="392" t="s">
        <v>65</v>
      </c>
      <c r="AE7" s="392">
        <v>11750</v>
      </c>
      <c r="AF7" s="392" t="s">
        <v>66</v>
      </c>
      <c r="AG7" s="393">
        <v>2</v>
      </c>
      <c r="AH7" s="290" t="s">
        <v>69</v>
      </c>
      <c r="AI7" s="290">
        <v>2017</v>
      </c>
      <c r="AJ7" s="290" t="s">
        <v>65</v>
      </c>
      <c r="AK7" s="290">
        <v>10700</v>
      </c>
      <c r="AL7" s="290" t="s">
        <v>66</v>
      </c>
      <c r="AM7" s="290">
        <v>3</v>
      </c>
      <c r="AN7" s="394" t="s">
        <v>69</v>
      </c>
      <c r="AO7" s="395">
        <v>2016</v>
      </c>
      <c r="AP7" s="395" t="s">
        <v>65</v>
      </c>
      <c r="AQ7" s="395">
        <v>10700</v>
      </c>
      <c r="AR7" s="395" t="s">
        <v>66</v>
      </c>
      <c r="AS7" s="396">
        <v>9</v>
      </c>
      <c r="AT7" s="397" t="s">
        <v>152</v>
      </c>
      <c r="AU7" s="398">
        <v>2015</v>
      </c>
      <c r="AV7" s="398" t="s">
        <v>65</v>
      </c>
      <c r="AW7" s="398">
        <v>6750</v>
      </c>
      <c r="AX7" s="398" t="s">
        <v>66</v>
      </c>
      <c r="AY7" s="399">
        <v>1</v>
      </c>
      <c r="AZ7" s="400" t="s">
        <v>155</v>
      </c>
      <c r="BA7" s="401">
        <v>2014</v>
      </c>
      <c r="BB7" s="401" t="s">
        <v>65</v>
      </c>
      <c r="BC7" s="401">
        <v>11750</v>
      </c>
      <c r="BD7" s="401" t="s">
        <v>66</v>
      </c>
      <c r="BE7" s="402">
        <v>1</v>
      </c>
    </row>
    <row r="8" spans="1:57" x14ac:dyDescent="0.3">
      <c r="A8" s="350" t="s">
        <v>147</v>
      </c>
      <c r="B8" s="350" t="s">
        <v>186</v>
      </c>
      <c r="C8" s="350">
        <v>2015</v>
      </c>
      <c r="D8" s="350" t="s">
        <v>65</v>
      </c>
      <c r="E8" s="350">
        <v>585000</v>
      </c>
      <c r="F8" s="353" t="s">
        <v>83</v>
      </c>
      <c r="G8" s="353">
        <v>9</v>
      </c>
      <c r="I8" s="382" t="s">
        <v>147</v>
      </c>
      <c r="J8" s="383" t="s">
        <v>156</v>
      </c>
      <c r="K8" s="383">
        <v>2021</v>
      </c>
      <c r="L8" s="383" t="s">
        <v>65</v>
      </c>
      <c r="M8" s="383">
        <v>35650</v>
      </c>
      <c r="N8" s="383" t="s">
        <v>72</v>
      </c>
      <c r="O8" s="384">
        <v>1</v>
      </c>
      <c r="P8" s="387" t="s">
        <v>155</v>
      </c>
      <c r="Q8" s="388">
        <v>2020</v>
      </c>
      <c r="R8" s="388" t="s">
        <v>65</v>
      </c>
      <c r="S8" s="388">
        <v>11750</v>
      </c>
      <c r="T8" s="388" t="s">
        <v>66</v>
      </c>
      <c r="U8" s="389">
        <v>1</v>
      </c>
      <c r="V8" s="289" t="s">
        <v>155</v>
      </c>
      <c r="W8" s="289">
        <v>2019</v>
      </c>
      <c r="X8" s="289" t="s">
        <v>65</v>
      </c>
      <c r="Y8" s="289">
        <v>11750</v>
      </c>
      <c r="Z8" s="289" t="s">
        <v>66</v>
      </c>
      <c r="AA8" s="289">
        <v>1</v>
      </c>
      <c r="AB8" s="391" t="s">
        <v>70</v>
      </c>
      <c r="AC8" s="392">
        <v>2018</v>
      </c>
      <c r="AD8" s="392" t="s">
        <v>65</v>
      </c>
      <c r="AE8" s="392">
        <v>6850</v>
      </c>
      <c r="AF8" s="392" t="s">
        <v>66</v>
      </c>
      <c r="AG8" s="393">
        <v>2</v>
      </c>
      <c r="AH8" s="290" t="s">
        <v>155</v>
      </c>
      <c r="AI8" s="290">
        <v>2017</v>
      </c>
      <c r="AJ8" s="290" t="s">
        <v>65</v>
      </c>
      <c r="AK8" s="290">
        <v>11750</v>
      </c>
      <c r="AL8" s="290" t="s">
        <v>66</v>
      </c>
      <c r="AM8" s="290">
        <v>3</v>
      </c>
      <c r="AN8" s="394" t="s">
        <v>155</v>
      </c>
      <c r="AO8" s="395">
        <v>2016</v>
      </c>
      <c r="AP8" s="395" t="s">
        <v>65</v>
      </c>
      <c r="AQ8" s="395">
        <v>11750</v>
      </c>
      <c r="AR8" s="395" t="s">
        <v>66</v>
      </c>
      <c r="AS8" s="396">
        <v>2</v>
      </c>
      <c r="AT8" s="397" t="s">
        <v>69</v>
      </c>
      <c r="AU8" s="398">
        <v>2015</v>
      </c>
      <c r="AV8" s="398" t="s">
        <v>65</v>
      </c>
      <c r="AW8" s="398">
        <v>10700</v>
      </c>
      <c r="AX8" s="398" t="s">
        <v>66</v>
      </c>
      <c r="AY8" s="399">
        <v>5</v>
      </c>
      <c r="AZ8" s="400" t="s">
        <v>70</v>
      </c>
      <c r="BA8" s="401">
        <v>2014</v>
      </c>
      <c r="BB8" s="401" t="s">
        <v>65</v>
      </c>
      <c r="BC8" s="401">
        <v>6850</v>
      </c>
      <c r="BD8" s="401" t="s">
        <v>66</v>
      </c>
      <c r="BE8" s="402">
        <v>7</v>
      </c>
    </row>
    <row r="9" spans="1:57" x14ac:dyDescent="0.3">
      <c r="A9" s="350" t="s">
        <v>147</v>
      </c>
      <c r="B9" s="350" t="s">
        <v>186</v>
      </c>
      <c r="C9" s="350">
        <v>2014</v>
      </c>
      <c r="D9" s="350" t="s">
        <v>65</v>
      </c>
      <c r="E9" s="350">
        <v>585000</v>
      </c>
      <c r="F9" s="353" t="s">
        <v>83</v>
      </c>
      <c r="G9" s="353">
        <v>9</v>
      </c>
      <c r="I9" s="382" t="s">
        <v>147</v>
      </c>
      <c r="J9" s="383" t="s">
        <v>159</v>
      </c>
      <c r="K9" s="383">
        <v>2021</v>
      </c>
      <c r="L9" s="383" t="s">
        <v>65</v>
      </c>
      <c r="M9" s="383">
        <v>17120</v>
      </c>
      <c r="N9" s="383" t="s">
        <v>72</v>
      </c>
      <c r="O9" s="384">
        <v>2</v>
      </c>
      <c r="P9" s="387" t="s">
        <v>70</v>
      </c>
      <c r="Q9" s="388">
        <v>2020</v>
      </c>
      <c r="R9" s="388" t="s">
        <v>65</v>
      </c>
      <c r="S9" s="388">
        <v>6850</v>
      </c>
      <c r="T9" s="388" t="s">
        <v>66</v>
      </c>
      <c r="U9" s="389">
        <v>11</v>
      </c>
      <c r="V9" s="289" t="s">
        <v>70</v>
      </c>
      <c r="W9" s="289">
        <v>2019</v>
      </c>
      <c r="X9" s="289" t="s">
        <v>65</v>
      </c>
      <c r="Y9" s="289">
        <v>6850</v>
      </c>
      <c r="Z9" s="289" t="s">
        <v>66</v>
      </c>
      <c r="AA9" s="289">
        <v>3</v>
      </c>
      <c r="AB9" s="391" t="s">
        <v>156</v>
      </c>
      <c r="AC9" s="392">
        <v>2018</v>
      </c>
      <c r="AD9" s="392" t="s">
        <v>65</v>
      </c>
      <c r="AE9" s="392">
        <v>35650</v>
      </c>
      <c r="AF9" s="392" t="s">
        <v>72</v>
      </c>
      <c r="AG9" s="393">
        <v>5</v>
      </c>
      <c r="AH9" s="290" t="s">
        <v>70</v>
      </c>
      <c r="AI9" s="290">
        <v>2017</v>
      </c>
      <c r="AJ9" s="290" t="s">
        <v>65</v>
      </c>
      <c r="AK9" s="290">
        <v>6850</v>
      </c>
      <c r="AL9" s="290" t="s">
        <v>66</v>
      </c>
      <c r="AM9" s="290">
        <v>4</v>
      </c>
      <c r="AN9" s="394" t="s">
        <v>70</v>
      </c>
      <c r="AO9" s="395">
        <v>2016</v>
      </c>
      <c r="AP9" s="395" t="s">
        <v>65</v>
      </c>
      <c r="AQ9" s="395">
        <v>6850</v>
      </c>
      <c r="AR9" s="395" t="s">
        <v>66</v>
      </c>
      <c r="AS9" s="396">
        <v>5</v>
      </c>
      <c r="AT9" s="397" t="s">
        <v>155</v>
      </c>
      <c r="AU9" s="398">
        <v>2015</v>
      </c>
      <c r="AV9" s="398" t="s">
        <v>65</v>
      </c>
      <c r="AW9" s="398">
        <v>11750</v>
      </c>
      <c r="AX9" s="398" t="s">
        <v>66</v>
      </c>
      <c r="AY9" s="399">
        <v>1</v>
      </c>
      <c r="AZ9" s="400" t="s">
        <v>158</v>
      </c>
      <c r="BA9" s="401">
        <v>2014</v>
      </c>
      <c r="BB9" s="401" t="s">
        <v>65</v>
      </c>
      <c r="BC9" s="401">
        <v>16000</v>
      </c>
      <c r="BD9" s="401" t="s">
        <v>66</v>
      </c>
      <c r="BE9" s="402">
        <v>1</v>
      </c>
    </row>
    <row r="10" spans="1:57" x14ac:dyDescent="0.3">
      <c r="A10" s="350" t="s">
        <v>147</v>
      </c>
      <c r="B10" s="350" t="s">
        <v>207</v>
      </c>
      <c r="C10" s="350">
        <v>2018</v>
      </c>
      <c r="D10" s="350" t="s">
        <v>65</v>
      </c>
      <c r="E10" s="350">
        <v>430000</v>
      </c>
      <c r="F10" s="353" t="s">
        <v>83</v>
      </c>
      <c r="G10" s="353">
        <v>1</v>
      </c>
      <c r="I10" s="382" t="s">
        <v>147</v>
      </c>
      <c r="J10" s="383" t="s">
        <v>160</v>
      </c>
      <c r="K10" s="383">
        <v>2021</v>
      </c>
      <c r="L10" s="383" t="s">
        <v>65</v>
      </c>
      <c r="M10" s="383">
        <v>16500</v>
      </c>
      <c r="N10" s="383" t="s">
        <v>72</v>
      </c>
      <c r="O10" s="384">
        <v>39</v>
      </c>
      <c r="P10" s="387" t="s">
        <v>156</v>
      </c>
      <c r="Q10" s="388">
        <v>2020</v>
      </c>
      <c r="R10" s="388" t="s">
        <v>65</v>
      </c>
      <c r="S10" s="388">
        <v>35650</v>
      </c>
      <c r="T10" s="388" t="s">
        <v>72</v>
      </c>
      <c r="U10" s="389">
        <v>6</v>
      </c>
      <c r="V10" s="289" t="s">
        <v>156</v>
      </c>
      <c r="W10" s="289">
        <v>2019</v>
      </c>
      <c r="X10" s="289" t="s">
        <v>65</v>
      </c>
      <c r="Y10" s="289">
        <v>35650</v>
      </c>
      <c r="Z10" s="289" t="s">
        <v>72</v>
      </c>
      <c r="AA10" s="289">
        <v>5</v>
      </c>
      <c r="AB10" s="391" t="s">
        <v>159</v>
      </c>
      <c r="AC10" s="392">
        <v>2018</v>
      </c>
      <c r="AD10" s="392" t="s">
        <v>65</v>
      </c>
      <c r="AE10" s="392">
        <v>17120</v>
      </c>
      <c r="AF10" s="392" t="s">
        <v>72</v>
      </c>
      <c r="AG10" s="393">
        <v>18</v>
      </c>
      <c r="AH10" s="290" t="s">
        <v>156</v>
      </c>
      <c r="AI10" s="290">
        <v>2017</v>
      </c>
      <c r="AJ10" s="290" t="s">
        <v>65</v>
      </c>
      <c r="AK10" s="290">
        <v>35650</v>
      </c>
      <c r="AL10" s="290" t="s">
        <v>72</v>
      </c>
      <c r="AM10" s="290">
        <v>3</v>
      </c>
      <c r="AN10" s="394" t="s">
        <v>156</v>
      </c>
      <c r="AO10" s="395">
        <v>2016</v>
      </c>
      <c r="AP10" s="395" t="s">
        <v>65</v>
      </c>
      <c r="AQ10" s="395">
        <v>35650</v>
      </c>
      <c r="AR10" s="395" t="s">
        <v>72</v>
      </c>
      <c r="AS10" s="396">
        <v>3</v>
      </c>
      <c r="AT10" s="397" t="s">
        <v>70</v>
      </c>
      <c r="AU10" s="398">
        <v>2015</v>
      </c>
      <c r="AV10" s="398" t="s">
        <v>65</v>
      </c>
      <c r="AW10" s="398">
        <v>6850</v>
      </c>
      <c r="AX10" s="398" t="s">
        <v>66</v>
      </c>
      <c r="AY10" s="399">
        <v>5</v>
      </c>
      <c r="AZ10" s="400" t="s">
        <v>159</v>
      </c>
      <c r="BA10" s="401">
        <v>2014</v>
      </c>
      <c r="BB10" s="401" t="s">
        <v>65</v>
      </c>
      <c r="BC10" s="401">
        <v>17120</v>
      </c>
      <c r="BD10" s="401" t="s">
        <v>72</v>
      </c>
      <c r="BE10" s="402">
        <v>5</v>
      </c>
    </row>
    <row r="11" spans="1:57" x14ac:dyDescent="0.3">
      <c r="A11" s="350" t="s">
        <v>147</v>
      </c>
      <c r="B11" s="350" t="s">
        <v>207</v>
      </c>
      <c r="C11" s="350">
        <v>2016</v>
      </c>
      <c r="D11" s="350" t="s">
        <v>65</v>
      </c>
      <c r="E11" s="350">
        <v>430000</v>
      </c>
      <c r="F11" s="353" t="s">
        <v>83</v>
      </c>
      <c r="G11" s="353">
        <v>1</v>
      </c>
      <c r="I11" s="382" t="s">
        <v>147</v>
      </c>
      <c r="J11" s="383" t="s">
        <v>161</v>
      </c>
      <c r="K11" s="383">
        <v>2021</v>
      </c>
      <c r="L11" s="383" t="s">
        <v>65</v>
      </c>
      <c r="M11" s="383">
        <v>181200</v>
      </c>
      <c r="N11" s="383" t="s">
        <v>72</v>
      </c>
      <c r="O11" s="384">
        <v>1</v>
      </c>
      <c r="P11" s="387" t="s">
        <v>157</v>
      </c>
      <c r="Q11" s="388">
        <v>2020</v>
      </c>
      <c r="R11" s="388" t="s">
        <v>65</v>
      </c>
      <c r="S11" s="388">
        <v>10480</v>
      </c>
      <c r="T11" s="388" t="s">
        <v>66</v>
      </c>
      <c r="U11" s="389">
        <v>1</v>
      </c>
      <c r="V11" s="289" t="s">
        <v>159</v>
      </c>
      <c r="W11" s="289">
        <v>2019</v>
      </c>
      <c r="X11" s="289" t="s">
        <v>65</v>
      </c>
      <c r="Y11" s="289">
        <v>17120</v>
      </c>
      <c r="Z11" s="289" t="s">
        <v>72</v>
      </c>
      <c r="AA11" s="289">
        <v>4</v>
      </c>
      <c r="AB11" s="391" t="s">
        <v>160</v>
      </c>
      <c r="AC11" s="392">
        <v>2018</v>
      </c>
      <c r="AD11" s="392" t="s">
        <v>65</v>
      </c>
      <c r="AE11" s="392">
        <v>16500</v>
      </c>
      <c r="AF11" s="392" t="s">
        <v>72</v>
      </c>
      <c r="AG11" s="393">
        <v>36</v>
      </c>
      <c r="AH11" s="290" t="s">
        <v>158</v>
      </c>
      <c r="AI11" s="290">
        <v>2017</v>
      </c>
      <c r="AJ11" s="290" t="s">
        <v>65</v>
      </c>
      <c r="AK11" s="290">
        <v>16000</v>
      </c>
      <c r="AL11" s="290" t="s">
        <v>66</v>
      </c>
      <c r="AM11" s="290">
        <v>1</v>
      </c>
      <c r="AN11" s="394" t="s">
        <v>159</v>
      </c>
      <c r="AO11" s="395">
        <v>2016</v>
      </c>
      <c r="AP11" s="395" t="s">
        <v>65</v>
      </c>
      <c r="AQ11" s="395">
        <v>17120</v>
      </c>
      <c r="AR11" s="395" t="s">
        <v>72</v>
      </c>
      <c r="AS11" s="396">
        <v>169</v>
      </c>
      <c r="AT11" s="397" t="s">
        <v>156</v>
      </c>
      <c r="AU11" s="398">
        <v>2015</v>
      </c>
      <c r="AV11" s="398" t="s">
        <v>65</v>
      </c>
      <c r="AW11" s="398">
        <v>35650</v>
      </c>
      <c r="AX11" s="398" t="s">
        <v>72</v>
      </c>
      <c r="AY11" s="399">
        <v>2</v>
      </c>
      <c r="AZ11" s="400" t="s">
        <v>160</v>
      </c>
      <c r="BA11" s="401">
        <v>2014</v>
      </c>
      <c r="BB11" s="401" t="s">
        <v>65</v>
      </c>
      <c r="BC11" s="401">
        <v>16500</v>
      </c>
      <c r="BD11" s="401" t="s">
        <v>72</v>
      </c>
      <c r="BE11" s="402">
        <v>14</v>
      </c>
    </row>
    <row r="12" spans="1:57" x14ac:dyDescent="0.3">
      <c r="A12" s="350" t="s">
        <v>147</v>
      </c>
      <c r="B12" s="350" t="s">
        <v>207</v>
      </c>
      <c r="C12" s="350">
        <v>2014</v>
      </c>
      <c r="D12" s="350" t="s">
        <v>65</v>
      </c>
      <c r="E12" s="350">
        <v>430000</v>
      </c>
      <c r="F12" s="353" t="s">
        <v>83</v>
      </c>
      <c r="G12" s="353">
        <v>5</v>
      </c>
      <c r="I12" s="382" t="s">
        <v>147</v>
      </c>
      <c r="J12" s="383" t="s">
        <v>163</v>
      </c>
      <c r="K12" s="383">
        <v>2021</v>
      </c>
      <c r="L12" s="383" t="s">
        <v>65</v>
      </c>
      <c r="M12" s="383">
        <v>209500</v>
      </c>
      <c r="N12" s="383" t="s">
        <v>72</v>
      </c>
      <c r="O12" s="384">
        <v>1</v>
      </c>
      <c r="P12" s="387" t="s">
        <v>158</v>
      </c>
      <c r="Q12" s="388">
        <v>2020</v>
      </c>
      <c r="R12" s="388" t="s">
        <v>65</v>
      </c>
      <c r="S12" s="388">
        <v>16000</v>
      </c>
      <c r="T12" s="388" t="s">
        <v>66</v>
      </c>
      <c r="U12" s="389">
        <v>1</v>
      </c>
      <c r="V12" s="289" t="s">
        <v>160</v>
      </c>
      <c r="W12" s="289">
        <v>2019</v>
      </c>
      <c r="X12" s="289" t="s">
        <v>65</v>
      </c>
      <c r="Y12" s="289">
        <v>16500</v>
      </c>
      <c r="Z12" s="289" t="s">
        <v>72</v>
      </c>
      <c r="AA12" s="289">
        <v>36</v>
      </c>
      <c r="AB12" s="391" t="s">
        <v>162</v>
      </c>
      <c r="AC12" s="392">
        <v>2018</v>
      </c>
      <c r="AD12" s="392" t="s">
        <v>65</v>
      </c>
      <c r="AE12" s="392">
        <v>93000</v>
      </c>
      <c r="AF12" s="392" t="s">
        <v>72</v>
      </c>
      <c r="AG12" s="393">
        <v>3</v>
      </c>
      <c r="AH12" s="290" t="s">
        <v>159</v>
      </c>
      <c r="AI12" s="290">
        <v>2017</v>
      </c>
      <c r="AJ12" s="290" t="s">
        <v>65</v>
      </c>
      <c r="AK12" s="290">
        <v>17120</v>
      </c>
      <c r="AL12" s="290" t="s">
        <v>72</v>
      </c>
      <c r="AM12" s="290">
        <v>696</v>
      </c>
      <c r="AN12" s="394" t="s">
        <v>160</v>
      </c>
      <c r="AO12" s="395">
        <v>2016</v>
      </c>
      <c r="AP12" s="395" t="s">
        <v>65</v>
      </c>
      <c r="AQ12" s="395">
        <v>16500</v>
      </c>
      <c r="AR12" s="395" t="s">
        <v>72</v>
      </c>
      <c r="AS12" s="396">
        <v>35</v>
      </c>
      <c r="AT12" s="397" t="s">
        <v>158</v>
      </c>
      <c r="AU12" s="398">
        <v>2015</v>
      </c>
      <c r="AV12" s="398" t="s">
        <v>65</v>
      </c>
      <c r="AW12" s="398">
        <v>16000</v>
      </c>
      <c r="AX12" s="398" t="s">
        <v>66</v>
      </c>
      <c r="AY12" s="399">
        <v>2</v>
      </c>
      <c r="AZ12" s="400" t="s">
        <v>164</v>
      </c>
      <c r="BA12" s="401">
        <v>2014</v>
      </c>
      <c r="BB12" s="401" t="s">
        <v>65</v>
      </c>
      <c r="BC12" s="401">
        <v>139500</v>
      </c>
      <c r="BD12" s="401" t="s">
        <v>72</v>
      </c>
      <c r="BE12" s="402">
        <v>6</v>
      </c>
    </row>
    <row r="13" spans="1:57" x14ac:dyDescent="0.3">
      <c r="A13" s="350" t="s">
        <v>147</v>
      </c>
      <c r="B13" s="350" t="s">
        <v>171</v>
      </c>
      <c r="C13" s="350">
        <v>2020</v>
      </c>
      <c r="D13" s="350" t="s">
        <v>65</v>
      </c>
      <c r="E13" s="350">
        <v>395000</v>
      </c>
      <c r="F13" s="353" t="s">
        <v>83</v>
      </c>
      <c r="G13" s="353">
        <v>1</v>
      </c>
      <c r="I13" s="382" t="s">
        <v>147</v>
      </c>
      <c r="J13" s="383" t="s">
        <v>164</v>
      </c>
      <c r="K13" s="383">
        <v>2021</v>
      </c>
      <c r="L13" s="383" t="s">
        <v>65</v>
      </c>
      <c r="M13" s="383">
        <v>139500</v>
      </c>
      <c r="N13" s="383" t="s">
        <v>72</v>
      </c>
      <c r="O13" s="384">
        <v>1</v>
      </c>
      <c r="P13" s="387" t="s">
        <v>159</v>
      </c>
      <c r="Q13" s="388">
        <v>2020</v>
      </c>
      <c r="R13" s="388" t="s">
        <v>65</v>
      </c>
      <c r="S13" s="388">
        <v>17120</v>
      </c>
      <c r="T13" s="388" t="s">
        <v>72</v>
      </c>
      <c r="U13" s="389">
        <v>7</v>
      </c>
      <c r="V13" s="289" t="s">
        <v>163</v>
      </c>
      <c r="W13" s="289">
        <v>2019</v>
      </c>
      <c r="X13" s="289" t="s">
        <v>65</v>
      </c>
      <c r="Y13" s="289">
        <v>209500</v>
      </c>
      <c r="Z13" s="289" t="s">
        <v>72</v>
      </c>
      <c r="AA13" s="289">
        <v>1</v>
      </c>
      <c r="AB13" s="391" t="s">
        <v>163</v>
      </c>
      <c r="AC13" s="392">
        <v>2018</v>
      </c>
      <c r="AD13" s="392" t="s">
        <v>65</v>
      </c>
      <c r="AE13" s="392">
        <v>209500</v>
      </c>
      <c r="AF13" s="392" t="s">
        <v>72</v>
      </c>
      <c r="AG13" s="393">
        <v>2</v>
      </c>
      <c r="AH13" s="290" t="s">
        <v>160</v>
      </c>
      <c r="AI13" s="290">
        <v>2017</v>
      </c>
      <c r="AJ13" s="290" t="s">
        <v>65</v>
      </c>
      <c r="AK13" s="290">
        <v>16500</v>
      </c>
      <c r="AL13" s="290" t="s">
        <v>72</v>
      </c>
      <c r="AM13" s="290">
        <v>38</v>
      </c>
      <c r="AN13" s="394" t="s">
        <v>163</v>
      </c>
      <c r="AO13" s="395">
        <v>2016</v>
      </c>
      <c r="AP13" s="395" t="s">
        <v>65</v>
      </c>
      <c r="AQ13" s="395">
        <v>209500</v>
      </c>
      <c r="AR13" s="395" t="s">
        <v>72</v>
      </c>
      <c r="AS13" s="396">
        <v>2</v>
      </c>
      <c r="AT13" s="397" t="s">
        <v>159</v>
      </c>
      <c r="AU13" s="398">
        <v>2015</v>
      </c>
      <c r="AV13" s="398" t="s">
        <v>65</v>
      </c>
      <c r="AW13" s="398">
        <v>17120</v>
      </c>
      <c r="AX13" s="398" t="s">
        <v>72</v>
      </c>
      <c r="AY13" s="399">
        <v>23</v>
      </c>
      <c r="AZ13" s="400" t="s">
        <v>165</v>
      </c>
      <c r="BA13" s="401">
        <v>2014</v>
      </c>
      <c r="BB13" s="401" t="s">
        <v>65</v>
      </c>
      <c r="BC13" s="401">
        <v>150000</v>
      </c>
      <c r="BD13" s="401" t="s">
        <v>72</v>
      </c>
      <c r="BE13" s="402">
        <v>9</v>
      </c>
    </row>
    <row r="14" spans="1:57" x14ac:dyDescent="0.3">
      <c r="A14" s="350" t="s">
        <v>147</v>
      </c>
      <c r="B14" s="350" t="s">
        <v>238</v>
      </c>
      <c r="C14" s="350">
        <v>2019</v>
      </c>
      <c r="D14" s="350" t="s">
        <v>65</v>
      </c>
      <c r="E14" s="350">
        <v>322500</v>
      </c>
      <c r="F14" s="353" t="s">
        <v>83</v>
      </c>
      <c r="G14" s="353">
        <v>1</v>
      </c>
      <c r="I14" s="382" t="s">
        <v>147</v>
      </c>
      <c r="J14" s="383" t="s">
        <v>165</v>
      </c>
      <c r="K14" s="383">
        <v>2021</v>
      </c>
      <c r="L14" s="383" t="s">
        <v>65</v>
      </c>
      <c r="M14" s="383">
        <v>150000</v>
      </c>
      <c r="N14" s="383" t="s">
        <v>72</v>
      </c>
      <c r="O14" s="384">
        <v>11</v>
      </c>
      <c r="P14" s="387" t="s">
        <v>160</v>
      </c>
      <c r="Q14" s="388">
        <v>2020</v>
      </c>
      <c r="R14" s="388" t="s">
        <v>65</v>
      </c>
      <c r="S14" s="388">
        <v>16500</v>
      </c>
      <c r="T14" s="388" t="s">
        <v>72</v>
      </c>
      <c r="U14" s="389">
        <v>28</v>
      </c>
      <c r="V14" s="289" t="s">
        <v>165</v>
      </c>
      <c r="W14" s="289">
        <v>2019</v>
      </c>
      <c r="X14" s="289" t="s">
        <v>65</v>
      </c>
      <c r="Y14" s="289">
        <v>150000</v>
      </c>
      <c r="Z14" s="289" t="s">
        <v>72</v>
      </c>
      <c r="AA14" s="289">
        <v>12</v>
      </c>
      <c r="AB14" s="391" t="s">
        <v>165</v>
      </c>
      <c r="AC14" s="392">
        <v>2018</v>
      </c>
      <c r="AD14" s="392" t="s">
        <v>65</v>
      </c>
      <c r="AE14" s="392">
        <v>150000</v>
      </c>
      <c r="AF14" s="392" t="s">
        <v>72</v>
      </c>
      <c r="AG14" s="393">
        <v>18</v>
      </c>
      <c r="AH14" s="290" t="s">
        <v>163</v>
      </c>
      <c r="AI14" s="290">
        <v>2017</v>
      </c>
      <c r="AJ14" s="290" t="s">
        <v>65</v>
      </c>
      <c r="AK14" s="290">
        <v>209500</v>
      </c>
      <c r="AL14" s="290" t="s">
        <v>72</v>
      </c>
      <c r="AM14" s="290">
        <v>1</v>
      </c>
      <c r="AN14" s="394" t="s">
        <v>165</v>
      </c>
      <c r="AO14" s="395">
        <v>2016</v>
      </c>
      <c r="AP14" s="395" t="s">
        <v>65</v>
      </c>
      <c r="AQ14" s="395">
        <v>150000</v>
      </c>
      <c r="AR14" s="395" t="s">
        <v>72</v>
      </c>
      <c r="AS14" s="396">
        <v>16</v>
      </c>
      <c r="AT14" s="397" t="s">
        <v>160</v>
      </c>
      <c r="AU14" s="398">
        <v>2015</v>
      </c>
      <c r="AV14" s="398" t="s">
        <v>65</v>
      </c>
      <c r="AW14" s="398">
        <v>16500</v>
      </c>
      <c r="AX14" s="398" t="s">
        <v>72</v>
      </c>
      <c r="AY14" s="399">
        <v>41</v>
      </c>
      <c r="AZ14" s="400" t="s">
        <v>167</v>
      </c>
      <c r="BA14" s="401">
        <v>2014</v>
      </c>
      <c r="BB14" s="401" t="s">
        <v>65</v>
      </c>
      <c r="BC14" s="401">
        <v>154500</v>
      </c>
      <c r="BD14" s="401" t="s">
        <v>72</v>
      </c>
      <c r="BE14" s="402">
        <v>12</v>
      </c>
    </row>
    <row r="15" spans="1:57" x14ac:dyDescent="0.3">
      <c r="A15" s="350" t="s">
        <v>147</v>
      </c>
      <c r="B15" s="350" t="s">
        <v>238</v>
      </c>
      <c r="C15" s="350">
        <v>2016</v>
      </c>
      <c r="D15" s="350" t="s">
        <v>65</v>
      </c>
      <c r="E15" s="350">
        <v>322500</v>
      </c>
      <c r="F15" s="353" t="s">
        <v>83</v>
      </c>
      <c r="G15" s="353">
        <v>1</v>
      </c>
      <c r="I15" s="382" t="s">
        <v>147</v>
      </c>
      <c r="J15" s="383" t="s">
        <v>167</v>
      </c>
      <c r="K15" s="383">
        <v>2021</v>
      </c>
      <c r="L15" s="383" t="s">
        <v>65</v>
      </c>
      <c r="M15" s="383">
        <v>154500</v>
      </c>
      <c r="N15" s="383" t="s">
        <v>72</v>
      </c>
      <c r="O15" s="384">
        <v>13</v>
      </c>
      <c r="P15" s="387" t="s">
        <v>162</v>
      </c>
      <c r="Q15" s="388">
        <v>2020</v>
      </c>
      <c r="R15" s="388" t="s">
        <v>65</v>
      </c>
      <c r="S15" s="388">
        <v>93000</v>
      </c>
      <c r="T15" s="388" t="s">
        <v>72</v>
      </c>
      <c r="U15" s="389">
        <v>6</v>
      </c>
      <c r="V15" s="289" t="s">
        <v>166</v>
      </c>
      <c r="W15" s="289">
        <v>2019</v>
      </c>
      <c r="X15" s="289" t="s">
        <v>65</v>
      </c>
      <c r="Y15" s="289">
        <v>136000</v>
      </c>
      <c r="Z15" s="289" t="s">
        <v>72</v>
      </c>
      <c r="AA15" s="289">
        <v>1</v>
      </c>
      <c r="AB15" s="391" t="s">
        <v>167</v>
      </c>
      <c r="AC15" s="392">
        <v>2018</v>
      </c>
      <c r="AD15" s="392" t="s">
        <v>65</v>
      </c>
      <c r="AE15" s="392">
        <v>154500</v>
      </c>
      <c r="AF15" s="392" t="s">
        <v>72</v>
      </c>
      <c r="AG15" s="393">
        <v>5</v>
      </c>
      <c r="AH15" s="290" t="s">
        <v>164</v>
      </c>
      <c r="AI15" s="290">
        <v>2017</v>
      </c>
      <c r="AJ15" s="290" t="s">
        <v>65</v>
      </c>
      <c r="AK15" s="290">
        <v>139500</v>
      </c>
      <c r="AL15" s="290" t="s">
        <v>72</v>
      </c>
      <c r="AM15" s="290">
        <v>1</v>
      </c>
      <c r="AN15" s="394" t="s">
        <v>167</v>
      </c>
      <c r="AO15" s="395">
        <v>2016</v>
      </c>
      <c r="AP15" s="395" t="s">
        <v>65</v>
      </c>
      <c r="AQ15" s="395">
        <v>154500</v>
      </c>
      <c r="AR15" s="395" t="s">
        <v>72</v>
      </c>
      <c r="AS15" s="396">
        <v>4</v>
      </c>
      <c r="AT15" s="397" t="s">
        <v>163</v>
      </c>
      <c r="AU15" s="398">
        <v>2015</v>
      </c>
      <c r="AV15" s="398" t="s">
        <v>65</v>
      </c>
      <c r="AW15" s="398">
        <v>209500</v>
      </c>
      <c r="AX15" s="398" t="s">
        <v>72</v>
      </c>
      <c r="AY15" s="399">
        <v>1</v>
      </c>
      <c r="AZ15" s="400" t="s">
        <v>168</v>
      </c>
      <c r="BA15" s="401">
        <v>2014</v>
      </c>
      <c r="BB15" s="401" t="s">
        <v>65</v>
      </c>
      <c r="BC15" s="401">
        <v>174200</v>
      </c>
      <c r="BD15" s="401" t="s">
        <v>72</v>
      </c>
      <c r="BE15" s="402">
        <v>8</v>
      </c>
    </row>
    <row r="16" spans="1:57" x14ac:dyDescent="0.3">
      <c r="A16" s="350" t="s">
        <v>147</v>
      </c>
      <c r="B16" s="350" t="s">
        <v>257</v>
      </c>
      <c r="C16" s="350">
        <v>2020</v>
      </c>
      <c r="D16" s="350" t="s">
        <v>65</v>
      </c>
      <c r="E16" s="350">
        <v>321874</v>
      </c>
      <c r="F16" s="353" t="s">
        <v>83</v>
      </c>
      <c r="G16" s="353">
        <v>1</v>
      </c>
      <c r="I16" s="382" t="s">
        <v>147</v>
      </c>
      <c r="J16" s="383" t="s">
        <v>168</v>
      </c>
      <c r="K16" s="383">
        <v>2021</v>
      </c>
      <c r="L16" s="383" t="s">
        <v>65</v>
      </c>
      <c r="M16" s="383">
        <v>174200</v>
      </c>
      <c r="N16" s="383" t="s">
        <v>72</v>
      </c>
      <c r="O16" s="384">
        <v>10</v>
      </c>
      <c r="P16" s="387" t="s">
        <v>163</v>
      </c>
      <c r="Q16" s="388">
        <v>2020</v>
      </c>
      <c r="R16" s="388" t="s">
        <v>65</v>
      </c>
      <c r="S16" s="388">
        <v>209500</v>
      </c>
      <c r="T16" s="388" t="s">
        <v>72</v>
      </c>
      <c r="U16" s="389">
        <v>2</v>
      </c>
      <c r="V16" s="289" t="s">
        <v>167</v>
      </c>
      <c r="W16" s="289">
        <v>2019</v>
      </c>
      <c r="X16" s="289" t="s">
        <v>65</v>
      </c>
      <c r="Y16" s="289">
        <v>154500</v>
      </c>
      <c r="Z16" s="289" t="s">
        <v>72</v>
      </c>
      <c r="AA16" s="289">
        <v>8</v>
      </c>
      <c r="AB16" s="391" t="s">
        <v>168</v>
      </c>
      <c r="AC16" s="392">
        <v>2018</v>
      </c>
      <c r="AD16" s="392" t="s">
        <v>65</v>
      </c>
      <c r="AE16" s="392">
        <v>174200</v>
      </c>
      <c r="AF16" s="392" t="s">
        <v>72</v>
      </c>
      <c r="AG16" s="393">
        <v>16</v>
      </c>
      <c r="AH16" s="290" t="s">
        <v>165</v>
      </c>
      <c r="AI16" s="290">
        <v>2017</v>
      </c>
      <c r="AJ16" s="290" t="s">
        <v>65</v>
      </c>
      <c r="AK16" s="290">
        <v>150000</v>
      </c>
      <c r="AL16" s="290" t="s">
        <v>72</v>
      </c>
      <c r="AM16" s="290">
        <v>16</v>
      </c>
      <c r="AN16" s="394" t="s">
        <v>168</v>
      </c>
      <c r="AO16" s="395">
        <v>2016</v>
      </c>
      <c r="AP16" s="395" t="s">
        <v>65</v>
      </c>
      <c r="AQ16" s="395">
        <v>174200</v>
      </c>
      <c r="AR16" s="395" t="s">
        <v>72</v>
      </c>
      <c r="AS16" s="396">
        <v>13</v>
      </c>
      <c r="AT16" s="397" t="s">
        <v>164</v>
      </c>
      <c r="AU16" s="398">
        <v>2015</v>
      </c>
      <c r="AV16" s="398" t="s">
        <v>65</v>
      </c>
      <c r="AW16" s="398">
        <v>139500</v>
      </c>
      <c r="AX16" s="398" t="s">
        <v>72</v>
      </c>
      <c r="AY16" s="399">
        <v>2</v>
      </c>
      <c r="AZ16" s="400" t="s">
        <v>71</v>
      </c>
      <c r="BA16" s="401">
        <v>2014</v>
      </c>
      <c r="BB16" s="401" t="s">
        <v>65</v>
      </c>
      <c r="BC16" s="401">
        <v>12500</v>
      </c>
      <c r="BD16" s="401" t="s">
        <v>72</v>
      </c>
      <c r="BE16" s="402">
        <v>82</v>
      </c>
    </row>
    <row r="17" spans="1:57" x14ac:dyDescent="0.3">
      <c r="A17" s="350" t="s">
        <v>147</v>
      </c>
      <c r="B17" s="350" t="s">
        <v>170</v>
      </c>
      <c r="C17" s="350">
        <v>2016</v>
      </c>
      <c r="D17" s="350" t="s">
        <v>65</v>
      </c>
      <c r="E17" s="350">
        <v>255500</v>
      </c>
      <c r="F17" s="353" t="s">
        <v>83</v>
      </c>
      <c r="G17" s="353">
        <v>1</v>
      </c>
      <c r="I17" s="382" t="s">
        <v>147</v>
      </c>
      <c r="J17" s="383" t="s">
        <v>169</v>
      </c>
      <c r="K17" s="383">
        <v>2021</v>
      </c>
      <c r="L17" s="383" t="s">
        <v>65</v>
      </c>
      <c r="M17" s="383">
        <v>187700</v>
      </c>
      <c r="N17" s="383" t="s">
        <v>72</v>
      </c>
      <c r="O17" s="384">
        <v>1</v>
      </c>
      <c r="P17" s="387" t="s">
        <v>165</v>
      </c>
      <c r="Q17" s="388">
        <v>2020</v>
      </c>
      <c r="R17" s="388" t="s">
        <v>65</v>
      </c>
      <c r="S17" s="388">
        <v>150000</v>
      </c>
      <c r="T17" s="388" t="s">
        <v>72</v>
      </c>
      <c r="U17" s="389">
        <v>4</v>
      </c>
      <c r="V17" s="289" t="s">
        <v>168</v>
      </c>
      <c r="W17" s="289">
        <v>2019</v>
      </c>
      <c r="X17" s="289" t="s">
        <v>65</v>
      </c>
      <c r="Y17" s="289">
        <v>174200</v>
      </c>
      <c r="Z17" s="289" t="s">
        <v>72</v>
      </c>
      <c r="AA17" s="289">
        <v>15</v>
      </c>
      <c r="AB17" s="391" t="s">
        <v>71</v>
      </c>
      <c r="AC17" s="392">
        <v>2018</v>
      </c>
      <c r="AD17" s="392" t="s">
        <v>65</v>
      </c>
      <c r="AE17" s="392">
        <v>12500</v>
      </c>
      <c r="AF17" s="392" t="s">
        <v>72</v>
      </c>
      <c r="AG17" s="393">
        <v>209</v>
      </c>
      <c r="AH17" s="290" t="s">
        <v>167</v>
      </c>
      <c r="AI17" s="290">
        <v>2017</v>
      </c>
      <c r="AJ17" s="290" t="s">
        <v>65</v>
      </c>
      <c r="AK17" s="290">
        <v>154500</v>
      </c>
      <c r="AL17" s="290" t="s">
        <v>72</v>
      </c>
      <c r="AM17" s="290">
        <v>1</v>
      </c>
      <c r="AN17" s="394" t="s">
        <v>170</v>
      </c>
      <c r="AO17" s="395">
        <v>2016</v>
      </c>
      <c r="AP17" s="395" t="s">
        <v>65</v>
      </c>
      <c r="AQ17" s="395">
        <v>255500</v>
      </c>
      <c r="AR17" s="395" t="s">
        <v>83</v>
      </c>
      <c r="AS17" s="396">
        <v>1</v>
      </c>
      <c r="AT17" s="397" t="s">
        <v>165</v>
      </c>
      <c r="AU17" s="398">
        <v>2015</v>
      </c>
      <c r="AV17" s="398" t="s">
        <v>65</v>
      </c>
      <c r="AW17" s="398">
        <v>150000</v>
      </c>
      <c r="AX17" s="398" t="s">
        <v>72</v>
      </c>
      <c r="AY17" s="399">
        <v>16</v>
      </c>
      <c r="AZ17" s="400" t="s">
        <v>176</v>
      </c>
      <c r="BA17" s="401">
        <v>2014</v>
      </c>
      <c r="BB17" s="401" t="s">
        <v>65</v>
      </c>
      <c r="BC17" s="401">
        <v>2250</v>
      </c>
      <c r="BD17" s="401" t="s">
        <v>66</v>
      </c>
      <c r="BE17" s="402">
        <v>1</v>
      </c>
    </row>
    <row r="18" spans="1:57" x14ac:dyDescent="0.3">
      <c r="A18" s="350" t="s">
        <v>147</v>
      </c>
      <c r="B18" s="350" t="s">
        <v>163</v>
      </c>
      <c r="C18" s="350">
        <v>2021</v>
      </c>
      <c r="D18" s="350" t="s">
        <v>65</v>
      </c>
      <c r="E18" s="350">
        <v>209500</v>
      </c>
      <c r="F18" s="353" t="s">
        <v>72</v>
      </c>
      <c r="G18" s="353">
        <v>1</v>
      </c>
      <c r="I18" s="382" t="s">
        <v>147</v>
      </c>
      <c r="J18" s="383" t="s">
        <v>172</v>
      </c>
      <c r="K18" s="383">
        <v>2021</v>
      </c>
      <c r="L18" s="383" t="s">
        <v>65</v>
      </c>
      <c r="M18" s="383">
        <v>134000</v>
      </c>
      <c r="N18" s="383" t="s">
        <v>72</v>
      </c>
      <c r="O18" s="384">
        <v>1</v>
      </c>
      <c r="P18" s="387" t="s">
        <v>168</v>
      </c>
      <c r="Q18" s="388">
        <v>2020</v>
      </c>
      <c r="R18" s="388" t="s">
        <v>65</v>
      </c>
      <c r="S18" s="388">
        <v>174200</v>
      </c>
      <c r="T18" s="388" t="s">
        <v>72</v>
      </c>
      <c r="U18" s="389">
        <v>5</v>
      </c>
      <c r="V18" s="289" t="s">
        <v>169</v>
      </c>
      <c r="W18" s="289">
        <v>2019</v>
      </c>
      <c r="X18" s="289" t="s">
        <v>65</v>
      </c>
      <c r="Y18" s="289">
        <v>187700</v>
      </c>
      <c r="Z18" s="289" t="s">
        <v>72</v>
      </c>
      <c r="AA18" s="289">
        <v>1</v>
      </c>
      <c r="AB18" s="391" t="s">
        <v>176</v>
      </c>
      <c r="AC18" s="392">
        <v>2018</v>
      </c>
      <c r="AD18" s="392" t="s">
        <v>65</v>
      </c>
      <c r="AE18" s="392">
        <v>2250</v>
      </c>
      <c r="AF18" s="392" t="s">
        <v>66</v>
      </c>
      <c r="AG18" s="393">
        <v>3</v>
      </c>
      <c r="AH18" s="290" t="s">
        <v>168</v>
      </c>
      <c r="AI18" s="290">
        <v>2017</v>
      </c>
      <c r="AJ18" s="290" t="s">
        <v>65</v>
      </c>
      <c r="AK18" s="290">
        <v>174200</v>
      </c>
      <c r="AL18" s="290" t="s">
        <v>72</v>
      </c>
      <c r="AM18" s="290">
        <v>15</v>
      </c>
      <c r="AN18" s="394" t="s">
        <v>173</v>
      </c>
      <c r="AO18" s="395">
        <v>2016</v>
      </c>
      <c r="AP18" s="395" t="s">
        <v>65</v>
      </c>
      <c r="AQ18" s="395">
        <v>149000</v>
      </c>
      <c r="AR18" s="395" t="s">
        <v>72</v>
      </c>
      <c r="AS18" s="396">
        <v>2</v>
      </c>
      <c r="AT18" s="397" t="s">
        <v>167</v>
      </c>
      <c r="AU18" s="398">
        <v>2015</v>
      </c>
      <c r="AV18" s="398" t="s">
        <v>65</v>
      </c>
      <c r="AW18" s="398">
        <v>154500</v>
      </c>
      <c r="AX18" s="398" t="s">
        <v>72</v>
      </c>
      <c r="AY18" s="399">
        <v>7</v>
      </c>
      <c r="AZ18" s="400" t="s">
        <v>178</v>
      </c>
      <c r="BA18" s="401">
        <v>2014</v>
      </c>
      <c r="BB18" s="401" t="s">
        <v>65</v>
      </c>
      <c r="BC18" s="401">
        <v>14000</v>
      </c>
      <c r="BD18" s="401" t="s">
        <v>72</v>
      </c>
      <c r="BE18" s="402">
        <v>5</v>
      </c>
    </row>
    <row r="19" spans="1:57" x14ac:dyDescent="0.3">
      <c r="A19" s="350" t="s">
        <v>147</v>
      </c>
      <c r="B19" s="350" t="s">
        <v>163</v>
      </c>
      <c r="C19" s="350">
        <v>2020</v>
      </c>
      <c r="D19" s="350" t="s">
        <v>65</v>
      </c>
      <c r="E19" s="350">
        <v>209500</v>
      </c>
      <c r="F19" s="353" t="s">
        <v>72</v>
      </c>
      <c r="G19" s="353">
        <v>2</v>
      </c>
      <c r="I19" s="382" t="s">
        <v>147</v>
      </c>
      <c r="J19" s="383" t="s">
        <v>174</v>
      </c>
      <c r="K19" s="383">
        <v>2021</v>
      </c>
      <c r="L19" s="383" t="s">
        <v>65</v>
      </c>
      <c r="M19" s="383">
        <v>11800</v>
      </c>
      <c r="N19" s="383" t="s">
        <v>72</v>
      </c>
      <c r="O19" s="384">
        <v>6</v>
      </c>
      <c r="P19" s="387" t="s">
        <v>171</v>
      </c>
      <c r="Q19" s="388">
        <v>2020</v>
      </c>
      <c r="R19" s="388" t="s">
        <v>65</v>
      </c>
      <c r="S19" s="388">
        <v>395000</v>
      </c>
      <c r="T19" s="388" t="s">
        <v>83</v>
      </c>
      <c r="U19" s="389">
        <v>1</v>
      </c>
      <c r="V19" s="289" t="s">
        <v>174</v>
      </c>
      <c r="W19" s="289">
        <v>2019</v>
      </c>
      <c r="X19" s="289" t="s">
        <v>65</v>
      </c>
      <c r="Y19" s="289">
        <v>11800</v>
      </c>
      <c r="Z19" s="289" t="s">
        <v>72</v>
      </c>
      <c r="AA19" s="289">
        <v>2</v>
      </c>
      <c r="AB19" s="391" t="s">
        <v>177</v>
      </c>
      <c r="AC19" s="392">
        <v>2018</v>
      </c>
      <c r="AD19" s="392" t="s">
        <v>65</v>
      </c>
      <c r="AE19" s="392">
        <v>2750</v>
      </c>
      <c r="AF19" s="392" t="s">
        <v>66</v>
      </c>
      <c r="AG19" s="393">
        <v>1</v>
      </c>
      <c r="AH19" s="290" t="s">
        <v>174</v>
      </c>
      <c r="AI19" s="290">
        <v>2017</v>
      </c>
      <c r="AJ19" s="290" t="s">
        <v>65</v>
      </c>
      <c r="AK19" s="290">
        <v>11800</v>
      </c>
      <c r="AL19" s="290" t="s">
        <v>72</v>
      </c>
      <c r="AM19" s="290">
        <v>3</v>
      </c>
      <c r="AN19" s="394" t="s">
        <v>174</v>
      </c>
      <c r="AO19" s="395">
        <v>2016</v>
      </c>
      <c r="AP19" s="395" t="s">
        <v>65</v>
      </c>
      <c r="AQ19" s="395">
        <v>11800</v>
      </c>
      <c r="AR19" s="395" t="s">
        <v>72</v>
      </c>
      <c r="AS19" s="396">
        <v>5</v>
      </c>
      <c r="AT19" s="397" t="s">
        <v>168</v>
      </c>
      <c r="AU19" s="398">
        <v>2015</v>
      </c>
      <c r="AV19" s="398" t="s">
        <v>65</v>
      </c>
      <c r="AW19" s="398">
        <v>174200</v>
      </c>
      <c r="AX19" s="398" t="s">
        <v>72</v>
      </c>
      <c r="AY19" s="399">
        <v>16</v>
      </c>
      <c r="AZ19" s="400" t="s">
        <v>73</v>
      </c>
      <c r="BA19" s="401">
        <v>2014</v>
      </c>
      <c r="BB19" s="401" t="s">
        <v>65</v>
      </c>
      <c r="BC19" s="401">
        <v>3500</v>
      </c>
      <c r="BD19" s="401" t="s">
        <v>66</v>
      </c>
      <c r="BE19" s="402">
        <v>4</v>
      </c>
    </row>
    <row r="20" spans="1:57" x14ac:dyDescent="0.3">
      <c r="A20" s="350" t="s">
        <v>147</v>
      </c>
      <c r="B20" s="350" t="s">
        <v>163</v>
      </c>
      <c r="C20" s="350">
        <v>2019</v>
      </c>
      <c r="D20" s="350" t="s">
        <v>65</v>
      </c>
      <c r="E20" s="350">
        <v>209500</v>
      </c>
      <c r="F20" s="353" t="s">
        <v>72</v>
      </c>
      <c r="G20" s="353">
        <v>1</v>
      </c>
      <c r="I20" s="382" t="s">
        <v>147</v>
      </c>
      <c r="J20" s="383" t="s">
        <v>71</v>
      </c>
      <c r="K20" s="383">
        <v>2021</v>
      </c>
      <c r="L20" s="383" t="s">
        <v>65</v>
      </c>
      <c r="M20" s="383">
        <v>12500</v>
      </c>
      <c r="N20" s="383" t="s">
        <v>72</v>
      </c>
      <c r="O20" s="384">
        <v>152</v>
      </c>
      <c r="P20" s="387" t="s">
        <v>174</v>
      </c>
      <c r="Q20" s="388">
        <v>2020</v>
      </c>
      <c r="R20" s="388" t="s">
        <v>65</v>
      </c>
      <c r="S20" s="388">
        <v>11800</v>
      </c>
      <c r="T20" s="388" t="s">
        <v>72</v>
      </c>
      <c r="U20" s="389">
        <v>7</v>
      </c>
      <c r="V20" s="289" t="s">
        <v>71</v>
      </c>
      <c r="W20" s="289">
        <v>2019</v>
      </c>
      <c r="X20" s="289" t="s">
        <v>65</v>
      </c>
      <c r="Y20" s="289">
        <v>12500</v>
      </c>
      <c r="Z20" s="289" t="s">
        <v>72</v>
      </c>
      <c r="AA20" s="289">
        <v>203</v>
      </c>
      <c r="AB20" s="391" t="s">
        <v>178</v>
      </c>
      <c r="AC20" s="392">
        <v>2018</v>
      </c>
      <c r="AD20" s="392" t="s">
        <v>65</v>
      </c>
      <c r="AE20" s="392">
        <v>14000</v>
      </c>
      <c r="AF20" s="392" t="s">
        <v>72</v>
      </c>
      <c r="AG20" s="393">
        <v>14</v>
      </c>
      <c r="AH20" s="290" t="s">
        <v>175</v>
      </c>
      <c r="AI20" s="290">
        <v>2017</v>
      </c>
      <c r="AJ20" s="290" t="s">
        <v>65</v>
      </c>
      <c r="AK20" s="290">
        <v>17120</v>
      </c>
      <c r="AL20" s="290" t="s">
        <v>72</v>
      </c>
      <c r="AM20" s="290">
        <v>1</v>
      </c>
      <c r="AN20" s="394" t="s">
        <v>71</v>
      </c>
      <c r="AO20" s="395">
        <v>2016</v>
      </c>
      <c r="AP20" s="395" t="s">
        <v>65</v>
      </c>
      <c r="AQ20" s="395">
        <v>12500</v>
      </c>
      <c r="AR20" s="395" t="s">
        <v>72</v>
      </c>
      <c r="AS20" s="396">
        <v>184</v>
      </c>
      <c r="AT20" s="397" t="s">
        <v>174</v>
      </c>
      <c r="AU20" s="398">
        <v>2015</v>
      </c>
      <c r="AV20" s="398" t="s">
        <v>65</v>
      </c>
      <c r="AW20" s="398">
        <v>11800</v>
      </c>
      <c r="AX20" s="398" t="s">
        <v>72</v>
      </c>
      <c r="AY20" s="399">
        <v>1</v>
      </c>
      <c r="AZ20" s="400" t="s">
        <v>74</v>
      </c>
      <c r="BA20" s="401">
        <v>2014</v>
      </c>
      <c r="BB20" s="401" t="s">
        <v>65</v>
      </c>
      <c r="BC20" s="401">
        <v>3400</v>
      </c>
      <c r="BD20" s="401" t="s">
        <v>66</v>
      </c>
      <c r="BE20" s="402">
        <v>25</v>
      </c>
    </row>
    <row r="21" spans="1:57" x14ac:dyDescent="0.3">
      <c r="A21" s="350" t="s">
        <v>147</v>
      </c>
      <c r="B21" s="350" t="s">
        <v>163</v>
      </c>
      <c r="C21" s="350">
        <v>2018</v>
      </c>
      <c r="D21" s="350" t="s">
        <v>65</v>
      </c>
      <c r="E21" s="350">
        <v>209500</v>
      </c>
      <c r="F21" s="353" t="s">
        <v>72</v>
      </c>
      <c r="G21" s="353">
        <v>2</v>
      </c>
      <c r="I21" s="382" t="s">
        <v>147</v>
      </c>
      <c r="J21" s="383" t="s">
        <v>176</v>
      </c>
      <c r="K21" s="383">
        <v>2021</v>
      </c>
      <c r="L21" s="383" t="s">
        <v>65</v>
      </c>
      <c r="M21" s="383">
        <v>2250</v>
      </c>
      <c r="N21" s="383" t="s">
        <v>66</v>
      </c>
      <c r="O21" s="384">
        <v>4</v>
      </c>
      <c r="P21" s="387" t="s">
        <v>71</v>
      </c>
      <c r="Q21" s="388">
        <v>2020</v>
      </c>
      <c r="R21" s="388" t="s">
        <v>65</v>
      </c>
      <c r="S21" s="388">
        <v>12500</v>
      </c>
      <c r="T21" s="388" t="s">
        <v>72</v>
      </c>
      <c r="U21" s="389">
        <v>172</v>
      </c>
      <c r="V21" s="289" t="s">
        <v>178</v>
      </c>
      <c r="W21" s="289">
        <v>2019</v>
      </c>
      <c r="X21" s="289" t="s">
        <v>65</v>
      </c>
      <c r="Y21" s="289">
        <v>14000</v>
      </c>
      <c r="Z21" s="289" t="s">
        <v>72</v>
      </c>
      <c r="AA21" s="289">
        <v>12</v>
      </c>
      <c r="AB21" s="391" t="s">
        <v>73</v>
      </c>
      <c r="AC21" s="392">
        <v>2018</v>
      </c>
      <c r="AD21" s="392" t="s">
        <v>65</v>
      </c>
      <c r="AE21" s="392">
        <v>3500</v>
      </c>
      <c r="AF21" s="392" t="s">
        <v>66</v>
      </c>
      <c r="AG21" s="393">
        <v>19</v>
      </c>
      <c r="AH21" s="290" t="s">
        <v>71</v>
      </c>
      <c r="AI21" s="290">
        <v>2017</v>
      </c>
      <c r="AJ21" s="290" t="s">
        <v>65</v>
      </c>
      <c r="AK21" s="290">
        <v>12500</v>
      </c>
      <c r="AL21" s="290" t="s">
        <v>72</v>
      </c>
      <c r="AM21" s="290">
        <v>198</v>
      </c>
      <c r="AN21" s="394" t="s">
        <v>176</v>
      </c>
      <c r="AO21" s="395">
        <v>2016</v>
      </c>
      <c r="AP21" s="395" t="s">
        <v>65</v>
      </c>
      <c r="AQ21" s="395">
        <v>2250</v>
      </c>
      <c r="AR21" s="395" t="s">
        <v>66</v>
      </c>
      <c r="AS21" s="396">
        <v>2</v>
      </c>
      <c r="AT21" s="397" t="s">
        <v>175</v>
      </c>
      <c r="AU21" s="398">
        <v>2015</v>
      </c>
      <c r="AV21" s="398" t="s">
        <v>65</v>
      </c>
      <c r="AW21" s="398">
        <v>17120</v>
      </c>
      <c r="AX21" s="398" t="s">
        <v>72</v>
      </c>
      <c r="AY21" s="399">
        <v>1</v>
      </c>
      <c r="AZ21" s="400" t="s">
        <v>75</v>
      </c>
      <c r="BA21" s="401">
        <v>2014</v>
      </c>
      <c r="BB21" s="401" t="s">
        <v>65</v>
      </c>
      <c r="BC21" s="401">
        <v>3650</v>
      </c>
      <c r="BD21" s="401" t="s">
        <v>66</v>
      </c>
      <c r="BE21" s="402">
        <v>21</v>
      </c>
    </row>
    <row r="22" spans="1:57" x14ac:dyDescent="0.3">
      <c r="A22" s="350" t="s">
        <v>147</v>
      </c>
      <c r="B22" s="350" t="s">
        <v>163</v>
      </c>
      <c r="C22" s="350">
        <v>2017</v>
      </c>
      <c r="D22" s="350" t="s">
        <v>65</v>
      </c>
      <c r="E22" s="350">
        <v>209500</v>
      </c>
      <c r="F22" s="353" t="s">
        <v>72</v>
      </c>
      <c r="G22" s="353">
        <v>1</v>
      </c>
      <c r="I22" s="382" t="s">
        <v>147</v>
      </c>
      <c r="J22" s="383" t="s">
        <v>178</v>
      </c>
      <c r="K22" s="383">
        <v>2021</v>
      </c>
      <c r="L22" s="383" t="s">
        <v>65</v>
      </c>
      <c r="M22" s="383">
        <v>14000</v>
      </c>
      <c r="N22" s="383" t="s">
        <v>72</v>
      </c>
      <c r="O22" s="384">
        <v>9</v>
      </c>
      <c r="P22" s="387" t="s">
        <v>177</v>
      </c>
      <c r="Q22" s="388">
        <v>2020</v>
      </c>
      <c r="R22" s="388" t="s">
        <v>65</v>
      </c>
      <c r="S22" s="388">
        <v>2750</v>
      </c>
      <c r="T22" s="388" t="s">
        <v>66</v>
      </c>
      <c r="U22" s="389">
        <v>3</v>
      </c>
      <c r="V22" s="289" t="s">
        <v>73</v>
      </c>
      <c r="W22" s="289">
        <v>2019</v>
      </c>
      <c r="X22" s="289" t="s">
        <v>65</v>
      </c>
      <c r="Y22" s="289">
        <v>3500</v>
      </c>
      <c r="Z22" s="289" t="s">
        <v>66</v>
      </c>
      <c r="AA22" s="289">
        <v>11</v>
      </c>
      <c r="AB22" s="391" t="s">
        <v>74</v>
      </c>
      <c r="AC22" s="392">
        <v>2018</v>
      </c>
      <c r="AD22" s="392" t="s">
        <v>65</v>
      </c>
      <c r="AE22" s="392">
        <v>3400</v>
      </c>
      <c r="AF22" s="392" t="s">
        <v>66</v>
      </c>
      <c r="AG22" s="393">
        <v>45</v>
      </c>
      <c r="AH22" s="290" t="s">
        <v>176</v>
      </c>
      <c r="AI22" s="290">
        <v>2017</v>
      </c>
      <c r="AJ22" s="290" t="s">
        <v>65</v>
      </c>
      <c r="AK22" s="290">
        <v>2250</v>
      </c>
      <c r="AL22" s="290" t="s">
        <v>66</v>
      </c>
      <c r="AM22" s="290">
        <v>3</v>
      </c>
      <c r="AN22" s="394" t="s">
        <v>177</v>
      </c>
      <c r="AO22" s="395">
        <v>2016</v>
      </c>
      <c r="AP22" s="395" t="s">
        <v>65</v>
      </c>
      <c r="AQ22" s="395">
        <v>2750</v>
      </c>
      <c r="AR22" s="395" t="s">
        <v>66</v>
      </c>
      <c r="AS22" s="396">
        <v>1</v>
      </c>
      <c r="AT22" s="397" t="s">
        <v>71</v>
      </c>
      <c r="AU22" s="398">
        <v>2015</v>
      </c>
      <c r="AV22" s="398" t="s">
        <v>65</v>
      </c>
      <c r="AW22" s="398">
        <v>12500</v>
      </c>
      <c r="AX22" s="398" t="s">
        <v>72</v>
      </c>
      <c r="AY22" s="399">
        <v>133</v>
      </c>
      <c r="AZ22" s="400" t="s">
        <v>179</v>
      </c>
      <c r="BA22" s="401">
        <v>2014</v>
      </c>
      <c r="BB22" s="401" t="s">
        <v>65</v>
      </c>
      <c r="BC22" s="401">
        <v>16100</v>
      </c>
      <c r="BD22" s="401" t="s">
        <v>66</v>
      </c>
      <c r="BE22" s="402">
        <v>71</v>
      </c>
    </row>
    <row r="23" spans="1:57" x14ac:dyDescent="0.3">
      <c r="A23" s="350" t="s">
        <v>147</v>
      </c>
      <c r="B23" s="350" t="s">
        <v>163</v>
      </c>
      <c r="C23" s="350">
        <v>2016</v>
      </c>
      <c r="D23" s="350" t="s">
        <v>65</v>
      </c>
      <c r="E23" s="350">
        <v>209500</v>
      </c>
      <c r="F23" s="353" t="s">
        <v>72</v>
      </c>
      <c r="G23" s="353">
        <v>2</v>
      </c>
      <c r="I23" s="382" t="s">
        <v>147</v>
      </c>
      <c r="J23" s="383" t="s">
        <v>73</v>
      </c>
      <c r="K23" s="383">
        <v>2021</v>
      </c>
      <c r="L23" s="383" t="s">
        <v>65</v>
      </c>
      <c r="M23" s="383">
        <v>3500</v>
      </c>
      <c r="N23" s="383" t="s">
        <v>66</v>
      </c>
      <c r="O23" s="384">
        <v>8</v>
      </c>
      <c r="P23" s="387" t="s">
        <v>178</v>
      </c>
      <c r="Q23" s="388">
        <v>2020</v>
      </c>
      <c r="R23" s="388" t="s">
        <v>65</v>
      </c>
      <c r="S23" s="388">
        <v>14000</v>
      </c>
      <c r="T23" s="388" t="s">
        <v>72</v>
      </c>
      <c r="U23" s="389">
        <v>15</v>
      </c>
      <c r="V23" s="289" t="s">
        <v>74</v>
      </c>
      <c r="W23" s="289">
        <v>2019</v>
      </c>
      <c r="X23" s="289" t="s">
        <v>65</v>
      </c>
      <c r="Y23" s="289">
        <v>3400</v>
      </c>
      <c r="Z23" s="289" t="s">
        <v>66</v>
      </c>
      <c r="AA23" s="289">
        <v>56</v>
      </c>
      <c r="AB23" s="391" t="s">
        <v>75</v>
      </c>
      <c r="AC23" s="392">
        <v>2018</v>
      </c>
      <c r="AD23" s="392" t="s">
        <v>65</v>
      </c>
      <c r="AE23" s="392">
        <v>3650</v>
      </c>
      <c r="AF23" s="392" t="s">
        <v>66</v>
      </c>
      <c r="AG23" s="393">
        <v>39</v>
      </c>
      <c r="AH23" s="290" t="s">
        <v>178</v>
      </c>
      <c r="AI23" s="290">
        <v>2017</v>
      </c>
      <c r="AJ23" s="290" t="s">
        <v>65</v>
      </c>
      <c r="AK23" s="290">
        <v>14000</v>
      </c>
      <c r="AL23" s="290" t="s">
        <v>72</v>
      </c>
      <c r="AM23" s="290">
        <v>25</v>
      </c>
      <c r="AN23" s="394" t="s">
        <v>178</v>
      </c>
      <c r="AO23" s="395">
        <v>2016</v>
      </c>
      <c r="AP23" s="395" t="s">
        <v>65</v>
      </c>
      <c r="AQ23" s="395">
        <v>14000</v>
      </c>
      <c r="AR23" s="395" t="s">
        <v>72</v>
      </c>
      <c r="AS23" s="396">
        <v>23</v>
      </c>
      <c r="AT23" s="397" t="s">
        <v>177</v>
      </c>
      <c r="AU23" s="398">
        <v>2015</v>
      </c>
      <c r="AV23" s="398" t="s">
        <v>65</v>
      </c>
      <c r="AW23" s="398">
        <v>2750</v>
      </c>
      <c r="AX23" s="398" t="s">
        <v>66</v>
      </c>
      <c r="AY23" s="399">
        <v>1</v>
      </c>
      <c r="AZ23" s="400" t="s">
        <v>76</v>
      </c>
      <c r="BA23" s="401">
        <v>2014</v>
      </c>
      <c r="BB23" s="401" t="s">
        <v>65</v>
      </c>
      <c r="BC23" s="401">
        <v>5300</v>
      </c>
      <c r="BD23" s="401" t="s">
        <v>66</v>
      </c>
      <c r="BE23" s="402">
        <v>8</v>
      </c>
    </row>
    <row r="24" spans="1:57" x14ac:dyDescent="0.3">
      <c r="A24" s="350" t="s">
        <v>147</v>
      </c>
      <c r="B24" s="350" t="s">
        <v>163</v>
      </c>
      <c r="C24" s="350">
        <v>2015</v>
      </c>
      <c r="D24" s="350" t="s">
        <v>65</v>
      </c>
      <c r="E24" s="350">
        <v>209500</v>
      </c>
      <c r="F24" s="353" t="s">
        <v>72</v>
      </c>
      <c r="G24" s="353">
        <v>1</v>
      </c>
      <c r="I24" s="382" t="s">
        <v>147</v>
      </c>
      <c r="J24" s="383" t="s">
        <v>74</v>
      </c>
      <c r="K24" s="383">
        <v>2021</v>
      </c>
      <c r="L24" s="383" t="s">
        <v>65</v>
      </c>
      <c r="M24" s="383">
        <v>3400</v>
      </c>
      <c r="N24" s="383" t="s">
        <v>66</v>
      </c>
      <c r="O24" s="384">
        <v>54</v>
      </c>
      <c r="P24" s="387" t="s">
        <v>73</v>
      </c>
      <c r="Q24" s="388">
        <v>2020</v>
      </c>
      <c r="R24" s="388" t="s">
        <v>65</v>
      </c>
      <c r="S24" s="388">
        <v>3500</v>
      </c>
      <c r="T24" s="388" t="s">
        <v>66</v>
      </c>
      <c r="U24" s="389">
        <v>14</v>
      </c>
      <c r="V24" s="289" t="s">
        <v>75</v>
      </c>
      <c r="W24" s="289">
        <v>2019</v>
      </c>
      <c r="X24" s="289" t="s">
        <v>65</v>
      </c>
      <c r="Y24" s="289">
        <v>3650</v>
      </c>
      <c r="Z24" s="289" t="s">
        <v>66</v>
      </c>
      <c r="AA24" s="289">
        <v>39</v>
      </c>
      <c r="AB24" s="391" t="s">
        <v>179</v>
      </c>
      <c r="AC24" s="392">
        <v>2018</v>
      </c>
      <c r="AD24" s="392" t="s">
        <v>65</v>
      </c>
      <c r="AE24" s="392">
        <v>16100</v>
      </c>
      <c r="AF24" s="392" t="s">
        <v>66</v>
      </c>
      <c r="AG24" s="393">
        <v>84</v>
      </c>
      <c r="AH24" s="290" t="s">
        <v>73</v>
      </c>
      <c r="AI24" s="290">
        <v>2017</v>
      </c>
      <c r="AJ24" s="290" t="s">
        <v>65</v>
      </c>
      <c r="AK24" s="290">
        <v>3500</v>
      </c>
      <c r="AL24" s="290" t="s">
        <v>66</v>
      </c>
      <c r="AM24" s="290">
        <v>19</v>
      </c>
      <c r="AN24" s="394" t="s">
        <v>73</v>
      </c>
      <c r="AO24" s="395">
        <v>2016</v>
      </c>
      <c r="AP24" s="395" t="s">
        <v>65</v>
      </c>
      <c r="AQ24" s="395">
        <v>3500</v>
      </c>
      <c r="AR24" s="395" t="s">
        <v>66</v>
      </c>
      <c r="AS24" s="396">
        <v>19</v>
      </c>
      <c r="AT24" s="397" t="s">
        <v>178</v>
      </c>
      <c r="AU24" s="398">
        <v>2015</v>
      </c>
      <c r="AV24" s="398" t="s">
        <v>65</v>
      </c>
      <c r="AW24" s="398">
        <v>14000</v>
      </c>
      <c r="AX24" s="398" t="s">
        <v>72</v>
      </c>
      <c r="AY24" s="399">
        <v>29</v>
      </c>
      <c r="AZ24" s="400" t="s">
        <v>77</v>
      </c>
      <c r="BA24" s="401">
        <v>2014</v>
      </c>
      <c r="BB24" s="401" t="s">
        <v>65</v>
      </c>
      <c r="BC24" s="401">
        <v>5500</v>
      </c>
      <c r="BD24" s="401" t="s">
        <v>66</v>
      </c>
      <c r="BE24" s="402">
        <v>13</v>
      </c>
    </row>
    <row r="25" spans="1:57" x14ac:dyDescent="0.3">
      <c r="A25" s="350" t="s">
        <v>147</v>
      </c>
      <c r="B25" s="350" t="s">
        <v>151</v>
      </c>
      <c r="C25" s="350">
        <v>2021</v>
      </c>
      <c r="D25" s="350" t="s">
        <v>65</v>
      </c>
      <c r="E25" s="350">
        <v>206132</v>
      </c>
      <c r="F25" s="353" t="s">
        <v>72</v>
      </c>
      <c r="G25" s="353">
        <v>1</v>
      </c>
      <c r="I25" s="382" t="s">
        <v>147</v>
      </c>
      <c r="J25" s="383" t="s">
        <v>75</v>
      </c>
      <c r="K25" s="383">
        <v>2021</v>
      </c>
      <c r="L25" s="383" t="s">
        <v>65</v>
      </c>
      <c r="M25" s="383">
        <v>3650</v>
      </c>
      <c r="N25" s="383" t="s">
        <v>66</v>
      </c>
      <c r="O25" s="384">
        <v>52</v>
      </c>
      <c r="P25" s="387" t="s">
        <v>74</v>
      </c>
      <c r="Q25" s="388">
        <v>2020</v>
      </c>
      <c r="R25" s="388" t="s">
        <v>65</v>
      </c>
      <c r="S25" s="388">
        <v>3400</v>
      </c>
      <c r="T25" s="388" t="s">
        <v>66</v>
      </c>
      <c r="U25" s="389">
        <v>56</v>
      </c>
      <c r="V25" s="289" t="s">
        <v>179</v>
      </c>
      <c r="W25" s="289">
        <v>2019</v>
      </c>
      <c r="X25" s="289" t="s">
        <v>65</v>
      </c>
      <c r="Y25" s="289">
        <v>16100</v>
      </c>
      <c r="Z25" s="289" t="s">
        <v>66</v>
      </c>
      <c r="AA25" s="289">
        <v>129</v>
      </c>
      <c r="AB25" s="391" t="s">
        <v>76</v>
      </c>
      <c r="AC25" s="392">
        <v>2018</v>
      </c>
      <c r="AD25" s="392" t="s">
        <v>65</v>
      </c>
      <c r="AE25" s="392">
        <v>5300</v>
      </c>
      <c r="AF25" s="392" t="s">
        <v>66</v>
      </c>
      <c r="AG25" s="393">
        <v>17</v>
      </c>
      <c r="AH25" s="290" t="s">
        <v>74</v>
      </c>
      <c r="AI25" s="290">
        <v>2017</v>
      </c>
      <c r="AJ25" s="290" t="s">
        <v>65</v>
      </c>
      <c r="AK25" s="290">
        <v>3400</v>
      </c>
      <c r="AL25" s="290" t="s">
        <v>66</v>
      </c>
      <c r="AM25" s="290">
        <v>53</v>
      </c>
      <c r="AN25" s="394" t="s">
        <v>74</v>
      </c>
      <c r="AO25" s="395">
        <v>2016</v>
      </c>
      <c r="AP25" s="395" t="s">
        <v>65</v>
      </c>
      <c r="AQ25" s="395">
        <v>3400</v>
      </c>
      <c r="AR25" s="395" t="s">
        <v>66</v>
      </c>
      <c r="AS25" s="396">
        <v>32</v>
      </c>
      <c r="AT25" s="397" t="s">
        <v>73</v>
      </c>
      <c r="AU25" s="398">
        <v>2015</v>
      </c>
      <c r="AV25" s="398" t="s">
        <v>65</v>
      </c>
      <c r="AW25" s="398">
        <v>3500</v>
      </c>
      <c r="AX25" s="398" t="s">
        <v>66</v>
      </c>
      <c r="AY25" s="399">
        <v>10</v>
      </c>
      <c r="AZ25" s="400" t="s">
        <v>78</v>
      </c>
      <c r="BA25" s="401">
        <v>2014</v>
      </c>
      <c r="BB25" s="401" t="s">
        <v>65</v>
      </c>
      <c r="BC25" s="401">
        <v>6775</v>
      </c>
      <c r="BD25" s="401" t="s">
        <v>66</v>
      </c>
      <c r="BE25" s="402">
        <v>6</v>
      </c>
    </row>
    <row r="26" spans="1:57" x14ac:dyDescent="0.3">
      <c r="A26" s="350" t="s">
        <v>147</v>
      </c>
      <c r="B26" s="350" t="s">
        <v>151</v>
      </c>
      <c r="C26" s="350">
        <v>2019</v>
      </c>
      <c r="D26" s="350" t="s">
        <v>65</v>
      </c>
      <c r="E26" s="350">
        <v>206132</v>
      </c>
      <c r="F26" s="353" t="s">
        <v>72</v>
      </c>
      <c r="G26" s="353">
        <v>2</v>
      </c>
      <c r="I26" s="382" t="s">
        <v>147</v>
      </c>
      <c r="J26" s="383" t="s">
        <v>179</v>
      </c>
      <c r="K26" s="383">
        <v>2021</v>
      </c>
      <c r="L26" s="383" t="s">
        <v>65</v>
      </c>
      <c r="M26" s="383">
        <v>16100</v>
      </c>
      <c r="N26" s="383" t="s">
        <v>66</v>
      </c>
      <c r="O26" s="384">
        <v>92</v>
      </c>
      <c r="P26" s="387" t="s">
        <v>75</v>
      </c>
      <c r="Q26" s="388">
        <v>2020</v>
      </c>
      <c r="R26" s="388" t="s">
        <v>65</v>
      </c>
      <c r="S26" s="388">
        <v>3650</v>
      </c>
      <c r="T26" s="388" t="s">
        <v>66</v>
      </c>
      <c r="U26" s="389">
        <v>46</v>
      </c>
      <c r="V26" s="289" t="s">
        <v>76</v>
      </c>
      <c r="W26" s="289">
        <v>2019</v>
      </c>
      <c r="X26" s="289" t="s">
        <v>65</v>
      </c>
      <c r="Y26" s="289">
        <v>5300</v>
      </c>
      <c r="Z26" s="289" t="s">
        <v>66</v>
      </c>
      <c r="AA26" s="289">
        <v>9</v>
      </c>
      <c r="AB26" s="391" t="s">
        <v>180</v>
      </c>
      <c r="AC26" s="392">
        <v>2018</v>
      </c>
      <c r="AD26" s="392" t="s">
        <v>65</v>
      </c>
      <c r="AE26" s="392">
        <v>5990</v>
      </c>
      <c r="AF26" s="392" t="s">
        <v>66</v>
      </c>
      <c r="AG26" s="393">
        <v>1</v>
      </c>
      <c r="AH26" s="290" t="s">
        <v>75</v>
      </c>
      <c r="AI26" s="290">
        <v>2017</v>
      </c>
      <c r="AJ26" s="290" t="s">
        <v>65</v>
      </c>
      <c r="AK26" s="290">
        <v>3650</v>
      </c>
      <c r="AL26" s="290" t="s">
        <v>66</v>
      </c>
      <c r="AM26" s="290">
        <v>42</v>
      </c>
      <c r="AN26" s="394" t="s">
        <v>75</v>
      </c>
      <c r="AO26" s="395">
        <v>2016</v>
      </c>
      <c r="AP26" s="395" t="s">
        <v>65</v>
      </c>
      <c r="AQ26" s="395">
        <v>3650</v>
      </c>
      <c r="AR26" s="395" t="s">
        <v>66</v>
      </c>
      <c r="AS26" s="396">
        <v>30</v>
      </c>
      <c r="AT26" s="397" t="s">
        <v>74</v>
      </c>
      <c r="AU26" s="398">
        <v>2015</v>
      </c>
      <c r="AV26" s="398" t="s">
        <v>65</v>
      </c>
      <c r="AW26" s="398">
        <v>3400</v>
      </c>
      <c r="AX26" s="398" t="s">
        <v>66</v>
      </c>
      <c r="AY26" s="399">
        <v>44</v>
      </c>
      <c r="AZ26" s="400" t="s">
        <v>80</v>
      </c>
      <c r="BA26" s="401">
        <v>2014</v>
      </c>
      <c r="BB26" s="401" t="s">
        <v>65</v>
      </c>
      <c r="BC26" s="401">
        <v>10097</v>
      </c>
      <c r="BD26" s="401" t="s">
        <v>72</v>
      </c>
      <c r="BE26" s="402">
        <v>222</v>
      </c>
    </row>
    <row r="27" spans="1:57" x14ac:dyDescent="0.3">
      <c r="A27" s="350" t="s">
        <v>147</v>
      </c>
      <c r="B27" s="350" t="s">
        <v>151</v>
      </c>
      <c r="C27" s="350">
        <v>2016</v>
      </c>
      <c r="D27" s="350" t="s">
        <v>65</v>
      </c>
      <c r="E27" s="350">
        <v>206132</v>
      </c>
      <c r="F27" s="353" t="s">
        <v>72</v>
      </c>
      <c r="G27" s="353">
        <v>1</v>
      </c>
      <c r="I27" s="382" t="s">
        <v>147</v>
      </c>
      <c r="J27" s="383" t="s">
        <v>76</v>
      </c>
      <c r="K27" s="383">
        <v>2021</v>
      </c>
      <c r="L27" s="383" t="s">
        <v>65</v>
      </c>
      <c r="M27" s="383">
        <v>5300</v>
      </c>
      <c r="N27" s="383" t="s">
        <v>66</v>
      </c>
      <c r="O27" s="384">
        <v>14</v>
      </c>
      <c r="P27" s="387" t="s">
        <v>179</v>
      </c>
      <c r="Q27" s="388">
        <v>2020</v>
      </c>
      <c r="R27" s="388" t="s">
        <v>65</v>
      </c>
      <c r="S27" s="388">
        <v>16100</v>
      </c>
      <c r="T27" s="388" t="s">
        <v>66</v>
      </c>
      <c r="U27" s="389">
        <v>108</v>
      </c>
      <c r="V27" s="289" t="s">
        <v>77</v>
      </c>
      <c r="W27" s="289">
        <v>2019</v>
      </c>
      <c r="X27" s="289" t="s">
        <v>65</v>
      </c>
      <c r="Y27" s="289">
        <v>5500</v>
      </c>
      <c r="Z27" s="289" t="s">
        <v>66</v>
      </c>
      <c r="AA27" s="289">
        <v>10</v>
      </c>
      <c r="AB27" s="391" t="s">
        <v>77</v>
      </c>
      <c r="AC27" s="392">
        <v>2018</v>
      </c>
      <c r="AD27" s="392" t="s">
        <v>65</v>
      </c>
      <c r="AE27" s="392">
        <v>5500</v>
      </c>
      <c r="AF27" s="392" t="s">
        <v>66</v>
      </c>
      <c r="AG27" s="393">
        <v>8</v>
      </c>
      <c r="AH27" s="290" t="s">
        <v>179</v>
      </c>
      <c r="AI27" s="290">
        <v>2017</v>
      </c>
      <c r="AJ27" s="290" t="s">
        <v>65</v>
      </c>
      <c r="AK27" s="290">
        <v>16100</v>
      </c>
      <c r="AL27" s="290" t="s">
        <v>66</v>
      </c>
      <c r="AM27" s="290">
        <v>123</v>
      </c>
      <c r="AN27" s="394" t="s">
        <v>179</v>
      </c>
      <c r="AO27" s="395">
        <v>2016</v>
      </c>
      <c r="AP27" s="395" t="s">
        <v>65</v>
      </c>
      <c r="AQ27" s="395">
        <v>16100</v>
      </c>
      <c r="AR27" s="395" t="s">
        <v>66</v>
      </c>
      <c r="AS27" s="396">
        <v>100</v>
      </c>
      <c r="AT27" s="397" t="s">
        <v>75</v>
      </c>
      <c r="AU27" s="398">
        <v>2015</v>
      </c>
      <c r="AV27" s="398" t="s">
        <v>65</v>
      </c>
      <c r="AW27" s="398">
        <v>3650</v>
      </c>
      <c r="AX27" s="398" t="s">
        <v>66</v>
      </c>
      <c r="AY27" s="399">
        <v>36</v>
      </c>
      <c r="AZ27" s="400" t="s">
        <v>183</v>
      </c>
      <c r="BA27" s="401">
        <v>2014</v>
      </c>
      <c r="BB27" s="401" t="s">
        <v>65</v>
      </c>
      <c r="BC27" s="401">
        <v>1543</v>
      </c>
      <c r="BD27" s="401" t="s">
        <v>72</v>
      </c>
      <c r="BE27" s="402">
        <v>3</v>
      </c>
    </row>
    <row r="28" spans="1:57" x14ac:dyDescent="0.3">
      <c r="A28" s="350" t="s">
        <v>147</v>
      </c>
      <c r="B28" s="350" t="s">
        <v>169</v>
      </c>
      <c r="C28" s="350">
        <v>2021</v>
      </c>
      <c r="D28" s="350" t="s">
        <v>65</v>
      </c>
      <c r="E28" s="350">
        <v>187700</v>
      </c>
      <c r="F28" s="353" t="s">
        <v>72</v>
      </c>
      <c r="G28" s="353">
        <v>1</v>
      </c>
      <c r="I28" s="382" t="s">
        <v>147</v>
      </c>
      <c r="J28" s="383" t="s">
        <v>180</v>
      </c>
      <c r="K28" s="383">
        <v>2021</v>
      </c>
      <c r="L28" s="383" t="s">
        <v>65</v>
      </c>
      <c r="M28" s="383">
        <v>5990</v>
      </c>
      <c r="N28" s="383" t="s">
        <v>66</v>
      </c>
      <c r="O28" s="384">
        <v>2</v>
      </c>
      <c r="P28" s="387" t="s">
        <v>76</v>
      </c>
      <c r="Q28" s="388">
        <v>2020</v>
      </c>
      <c r="R28" s="388" t="s">
        <v>65</v>
      </c>
      <c r="S28" s="388">
        <v>5300</v>
      </c>
      <c r="T28" s="388" t="s">
        <v>66</v>
      </c>
      <c r="U28" s="389">
        <v>11</v>
      </c>
      <c r="V28" s="289" t="s">
        <v>78</v>
      </c>
      <c r="W28" s="289">
        <v>2019</v>
      </c>
      <c r="X28" s="289" t="s">
        <v>65</v>
      </c>
      <c r="Y28" s="289">
        <v>6775</v>
      </c>
      <c r="Z28" s="289" t="s">
        <v>66</v>
      </c>
      <c r="AA28" s="289">
        <v>4</v>
      </c>
      <c r="AB28" s="391" t="s">
        <v>78</v>
      </c>
      <c r="AC28" s="392">
        <v>2018</v>
      </c>
      <c r="AD28" s="392" t="s">
        <v>65</v>
      </c>
      <c r="AE28" s="392">
        <v>6775</v>
      </c>
      <c r="AF28" s="392" t="s">
        <v>66</v>
      </c>
      <c r="AG28" s="393">
        <v>4</v>
      </c>
      <c r="AH28" s="290" t="s">
        <v>76</v>
      </c>
      <c r="AI28" s="290">
        <v>2017</v>
      </c>
      <c r="AJ28" s="290" t="s">
        <v>65</v>
      </c>
      <c r="AK28" s="290">
        <v>5300</v>
      </c>
      <c r="AL28" s="290" t="s">
        <v>66</v>
      </c>
      <c r="AM28" s="290">
        <v>13</v>
      </c>
      <c r="AN28" s="394" t="s">
        <v>76</v>
      </c>
      <c r="AO28" s="395">
        <v>2016</v>
      </c>
      <c r="AP28" s="395" t="s">
        <v>65</v>
      </c>
      <c r="AQ28" s="395">
        <v>5300</v>
      </c>
      <c r="AR28" s="395" t="s">
        <v>66</v>
      </c>
      <c r="AS28" s="396">
        <v>14</v>
      </c>
      <c r="AT28" s="397" t="s">
        <v>179</v>
      </c>
      <c r="AU28" s="398">
        <v>2015</v>
      </c>
      <c r="AV28" s="398" t="s">
        <v>65</v>
      </c>
      <c r="AW28" s="398">
        <v>16100</v>
      </c>
      <c r="AX28" s="398" t="s">
        <v>66</v>
      </c>
      <c r="AY28" s="399">
        <v>96</v>
      </c>
      <c r="AZ28" s="400" t="s">
        <v>81</v>
      </c>
      <c r="BA28" s="401">
        <v>2014</v>
      </c>
      <c r="BB28" s="401" t="s">
        <v>65</v>
      </c>
      <c r="BC28" s="401">
        <v>3325</v>
      </c>
      <c r="BD28" s="401" t="s">
        <v>66</v>
      </c>
      <c r="BE28" s="402">
        <v>3</v>
      </c>
    </row>
    <row r="29" spans="1:57" x14ac:dyDescent="0.3">
      <c r="A29" s="350" t="s">
        <v>147</v>
      </c>
      <c r="B29" s="350" t="s">
        <v>169</v>
      </c>
      <c r="C29" s="350">
        <v>2019</v>
      </c>
      <c r="D29" s="350" t="s">
        <v>65</v>
      </c>
      <c r="E29" s="350">
        <v>187700</v>
      </c>
      <c r="F29" s="353" t="s">
        <v>72</v>
      </c>
      <c r="G29" s="353">
        <v>1</v>
      </c>
      <c r="I29" s="382" t="s">
        <v>147</v>
      </c>
      <c r="J29" s="383" t="s">
        <v>77</v>
      </c>
      <c r="K29" s="383">
        <v>2021</v>
      </c>
      <c r="L29" s="383" t="s">
        <v>65</v>
      </c>
      <c r="M29" s="383">
        <v>5500</v>
      </c>
      <c r="N29" s="383" t="s">
        <v>66</v>
      </c>
      <c r="O29" s="384">
        <v>11</v>
      </c>
      <c r="P29" s="387" t="s">
        <v>77</v>
      </c>
      <c r="Q29" s="388">
        <v>2020</v>
      </c>
      <c r="R29" s="388" t="s">
        <v>65</v>
      </c>
      <c r="S29" s="388">
        <v>5500</v>
      </c>
      <c r="T29" s="388" t="s">
        <v>66</v>
      </c>
      <c r="U29" s="389">
        <v>12</v>
      </c>
      <c r="V29" s="289" t="s">
        <v>181</v>
      </c>
      <c r="W29" s="289">
        <v>2019</v>
      </c>
      <c r="X29" s="289" t="s">
        <v>65</v>
      </c>
      <c r="Y29" s="289">
        <v>3368</v>
      </c>
      <c r="Z29" s="289" t="s">
        <v>66</v>
      </c>
      <c r="AA29" s="289">
        <v>4</v>
      </c>
      <c r="AB29" s="391" t="s">
        <v>181</v>
      </c>
      <c r="AC29" s="392">
        <v>2018</v>
      </c>
      <c r="AD29" s="392" t="s">
        <v>65</v>
      </c>
      <c r="AE29" s="392">
        <v>3368</v>
      </c>
      <c r="AF29" s="392" t="s">
        <v>66</v>
      </c>
      <c r="AG29" s="393">
        <v>3</v>
      </c>
      <c r="AH29" s="290" t="s">
        <v>180</v>
      </c>
      <c r="AI29" s="290">
        <v>2017</v>
      </c>
      <c r="AJ29" s="290" t="s">
        <v>65</v>
      </c>
      <c r="AK29" s="290">
        <v>5990</v>
      </c>
      <c r="AL29" s="290" t="s">
        <v>66</v>
      </c>
      <c r="AM29" s="290">
        <v>1</v>
      </c>
      <c r="AN29" s="394" t="s">
        <v>77</v>
      </c>
      <c r="AO29" s="395">
        <v>2016</v>
      </c>
      <c r="AP29" s="395" t="s">
        <v>65</v>
      </c>
      <c r="AQ29" s="395">
        <v>5500</v>
      </c>
      <c r="AR29" s="395" t="s">
        <v>66</v>
      </c>
      <c r="AS29" s="396">
        <v>26</v>
      </c>
      <c r="AT29" s="397" t="s">
        <v>76</v>
      </c>
      <c r="AU29" s="398">
        <v>2015</v>
      </c>
      <c r="AV29" s="398" t="s">
        <v>65</v>
      </c>
      <c r="AW29" s="398">
        <v>5300</v>
      </c>
      <c r="AX29" s="398" t="s">
        <v>66</v>
      </c>
      <c r="AY29" s="399">
        <v>17</v>
      </c>
      <c r="AZ29" s="400" t="s">
        <v>82</v>
      </c>
      <c r="BA29" s="401">
        <v>2014</v>
      </c>
      <c r="BB29" s="401" t="s">
        <v>65</v>
      </c>
      <c r="BC29" s="401">
        <v>155000</v>
      </c>
      <c r="BD29" s="401" t="s">
        <v>83</v>
      </c>
      <c r="BE29" s="402">
        <v>41</v>
      </c>
    </row>
    <row r="30" spans="1:57" x14ac:dyDescent="0.3">
      <c r="A30" s="350" t="s">
        <v>147</v>
      </c>
      <c r="B30" s="350" t="s">
        <v>161</v>
      </c>
      <c r="C30" s="350">
        <v>2021</v>
      </c>
      <c r="D30" s="350" t="s">
        <v>65</v>
      </c>
      <c r="E30" s="350">
        <v>181200</v>
      </c>
      <c r="F30" s="353" t="s">
        <v>72</v>
      </c>
      <c r="G30" s="353">
        <v>1</v>
      </c>
      <c r="I30" s="382" t="s">
        <v>147</v>
      </c>
      <c r="J30" s="383" t="s">
        <v>78</v>
      </c>
      <c r="K30" s="383">
        <v>2021</v>
      </c>
      <c r="L30" s="383" t="s">
        <v>65</v>
      </c>
      <c r="M30" s="383">
        <v>6775</v>
      </c>
      <c r="N30" s="383" t="s">
        <v>66</v>
      </c>
      <c r="O30" s="384">
        <v>3</v>
      </c>
      <c r="P30" s="387" t="s">
        <v>78</v>
      </c>
      <c r="Q30" s="388">
        <v>2020</v>
      </c>
      <c r="R30" s="388" t="s">
        <v>65</v>
      </c>
      <c r="S30" s="388">
        <v>6775</v>
      </c>
      <c r="T30" s="388" t="s">
        <v>66</v>
      </c>
      <c r="U30" s="389">
        <v>2</v>
      </c>
      <c r="V30" s="289" t="s">
        <v>182</v>
      </c>
      <c r="W30" s="289">
        <v>2019</v>
      </c>
      <c r="X30" s="289" t="s">
        <v>65</v>
      </c>
      <c r="Y30" s="289">
        <v>10400</v>
      </c>
      <c r="Z30" s="289" t="s">
        <v>72</v>
      </c>
      <c r="AA30" s="289">
        <v>1</v>
      </c>
      <c r="AB30" s="391" t="s">
        <v>79</v>
      </c>
      <c r="AC30" s="392">
        <v>2018</v>
      </c>
      <c r="AD30" s="392" t="s">
        <v>65</v>
      </c>
      <c r="AE30" s="392">
        <v>10097</v>
      </c>
      <c r="AF30" s="392" t="s">
        <v>66</v>
      </c>
      <c r="AG30" s="393">
        <v>1</v>
      </c>
      <c r="AH30" s="290" t="s">
        <v>77</v>
      </c>
      <c r="AI30" s="290">
        <v>2017</v>
      </c>
      <c r="AJ30" s="290" t="s">
        <v>65</v>
      </c>
      <c r="AK30" s="290">
        <v>5500</v>
      </c>
      <c r="AL30" s="290" t="s">
        <v>66</v>
      </c>
      <c r="AM30" s="290">
        <v>13</v>
      </c>
      <c r="AN30" s="394" t="s">
        <v>78</v>
      </c>
      <c r="AO30" s="395">
        <v>2016</v>
      </c>
      <c r="AP30" s="395" t="s">
        <v>65</v>
      </c>
      <c r="AQ30" s="395">
        <v>6775</v>
      </c>
      <c r="AR30" s="395" t="s">
        <v>66</v>
      </c>
      <c r="AS30" s="396">
        <v>2</v>
      </c>
      <c r="AT30" s="397" t="s">
        <v>77</v>
      </c>
      <c r="AU30" s="398">
        <v>2015</v>
      </c>
      <c r="AV30" s="398" t="s">
        <v>65</v>
      </c>
      <c r="AW30" s="398">
        <v>5500</v>
      </c>
      <c r="AX30" s="398" t="s">
        <v>66</v>
      </c>
      <c r="AY30" s="399">
        <v>13</v>
      </c>
      <c r="AZ30" s="400" t="s">
        <v>184</v>
      </c>
      <c r="BA30" s="401">
        <v>2014</v>
      </c>
      <c r="BB30" s="401" t="s">
        <v>65</v>
      </c>
      <c r="BC30" s="401">
        <v>1450</v>
      </c>
      <c r="BD30" s="401" t="s">
        <v>66</v>
      </c>
      <c r="BE30" s="402">
        <v>3</v>
      </c>
    </row>
    <row r="31" spans="1:57" x14ac:dyDescent="0.3">
      <c r="A31" s="350" t="s">
        <v>147</v>
      </c>
      <c r="B31" s="350" t="s">
        <v>168</v>
      </c>
      <c r="C31" s="350">
        <v>2021</v>
      </c>
      <c r="D31" s="350" t="s">
        <v>65</v>
      </c>
      <c r="E31" s="350">
        <v>174200</v>
      </c>
      <c r="F31" s="353" t="s">
        <v>72</v>
      </c>
      <c r="G31" s="353">
        <v>10</v>
      </c>
      <c r="I31" s="382" t="s">
        <v>147</v>
      </c>
      <c r="J31" s="383" t="s">
        <v>181</v>
      </c>
      <c r="K31" s="383">
        <v>2021</v>
      </c>
      <c r="L31" s="383" t="s">
        <v>65</v>
      </c>
      <c r="M31" s="383">
        <v>3368</v>
      </c>
      <c r="N31" s="383" t="s">
        <v>66</v>
      </c>
      <c r="O31" s="384">
        <v>1</v>
      </c>
      <c r="P31" s="387" t="s">
        <v>181</v>
      </c>
      <c r="Q31" s="388">
        <v>2020</v>
      </c>
      <c r="R31" s="388" t="s">
        <v>65</v>
      </c>
      <c r="S31" s="388">
        <v>3368</v>
      </c>
      <c r="T31" s="388" t="s">
        <v>66</v>
      </c>
      <c r="U31" s="389">
        <v>3</v>
      </c>
      <c r="V31" s="289" t="s">
        <v>80</v>
      </c>
      <c r="W31" s="289">
        <v>2019</v>
      </c>
      <c r="X31" s="289" t="s">
        <v>65</v>
      </c>
      <c r="Y31" s="289">
        <v>10097</v>
      </c>
      <c r="Z31" s="289" t="s">
        <v>72</v>
      </c>
      <c r="AA31" s="289">
        <v>259</v>
      </c>
      <c r="AB31" s="391" t="s">
        <v>182</v>
      </c>
      <c r="AC31" s="392">
        <v>2018</v>
      </c>
      <c r="AD31" s="392" t="s">
        <v>65</v>
      </c>
      <c r="AE31" s="392">
        <v>10400</v>
      </c>
      <c r="AF31" s="392" t="s">
        <v>72</v>
      </c>
      <c r="AG31" s="393">
        <v>3</v>
      </c>
      <c r="AH31" s="290" t="s">
        <v>78</v>
      </c>
      <c r="AI31" s="290">
        <v>2017</v>
      </c>
      <c r="AJ31" s="290" t="s">
        <v>65</v>
      </c>
      <c r="AK31" s="290">
        <v>6775</v>
      </c>
      <c r="AL31" s="290" t="s">
        <v>66</v>
      </c>
      <c r="AM31" s="290">
        <v>2</v>
      </c>
      <c r="AN31" s="394" t="s">
        <v>181</v>
      </c>
      <c r="AO31" s="395">
        <v>2016</v>
      </c>
      <c r="AP31" s="395" t="s">
        <v>65</v>
      </c>
      <c r="AQ31" s="395">
        <v>3368</v>
      </c>
      <c r="AR31" s="395" t="s">
        <v>66</v>
      </c>
      <c r="AS31" s="396">
        <v>5</v>
      </c>
      <c r="AT31" s="397" t="s">
        <v>78</v>
      </c>
      <c r="AU31" s="398">
        <v>2015</v>
      </c>
      <c r="AV31" s="398" t="s">
        <v>65</v>
      </c>
      <c r="AW31" s="398">
        <v>6775</v>
      </c>
      <c r="AX31" s="398" t="s">
        <v>66</v>
      </c>
      <c r="AY31" s="399">
        <v>3</v>
      </c>
      <c r="AZ31" s="400" t="s">
        <v>84</v>
      </c>
      <c r="BA31" s="401">
        <v>2014</v>
      </c>
      <c r="BB31" s="401" t="s">
        <v>65</v>
      </c>
      <c r="BC31" s="401">
        <v>1543</v>
      </c>
      <c r="BD31" s="401" t="s">
        <v>66</v>
      </c>
      <c r="BE31" s="402">
        <v>5</v>
      </c>
    </row>
    <row r="32" spans="1:57" x14ac:dyDescent="0.3">
      <c r="A32" s="350" t="s">
        <v>147</v>
      </c>
      <c r="B32" s="350" t="s">
        <v>168</v>
      </c>
      <c r="C32" s="350">
        <v>2020</v>
      </c>
      <c r="D32" s="350" t="s">
        <v>65</v>
      </c>
      <c r="E32" s="350">
        <v>174200</v>
      </c>
      <c r="F32" s="353" t="s">
        <v>72</v>
      </c>
      <c r="G32" s="353">
        <v>5</v>
      </c>
      <c r="I32" s="382" t="s">
        <v>147</v>
      </c>
      <c r="J32" s="383" t="s">
        <v>79</v>
      </c>
      <c r="K32" s="383">
        <v>2021</v>
      </c>
      <c r="L32" s="383" t="s">
        <v>65</v>
      </c>
      <c r="M32" s="383">
        <v>10097</v>
      </c>
      <c r="N32" s="383" t="s">
        <v>66</v>
      </c>
      <c r="O32" s="384">
        <v>1</v>
      </c>
      <c r="P32" s="387" t="s">
        <v>80</v>
      </c>
      <c r="Q32" s="388">
        <v>2020</v>
      </c>
      <c r="R32" s="388" t="s">
        <v>65</v>
      </c>
      <c r="S32" s="388">
        <v>10097</v>
      </c>
      <c r="T32" s="388" t="s">
        <v>72</v>
      </c>
      <c r="U32" s="389">
        <v>163</v>
      </c>
      <c r="V32" s="289" t="s">
        <v>183</v>
      </c>
      <c r="W32" s="289">
        <v>2019</v>
      </c>
      <c r="X32" s="289" t="s">
        <v>65</v>
      </c>
      <c r="Y32" s="289">
        <v>1543</v>
      </c>
      <c r="Z32" s="289" t="s">
        <v>72</v>
      </c>
      <c r="AA32" s="289">
        <v>4</v>
      </c>
      <c r="AB32" s="391" t="s">
        <v>80</v>
      </c>
      <c r="AC32" s="392">
        <v>2018</v>
      </c>
      <c r="AD32" s="392" t="s">
        <v>65</v>
      </c>
      <c r="AE32" s="392">
        <v>10097</v>
      </c>
      <c r="AF32" s="392" t="s">
        <v>72</v>
      </c>
      <c r="AG32" s="393">
        <v>297</v>
      </c>
      <c r="AH32" s="290" t="s">
        <v>181</v>
      </c>
      <c r="AI32" s="290">
        <v>2017</v>
      </c>
      <c r="AJ32" s="290" t="s">
        <v>65</v>
      </c>
      <c r="AK32" s="290">
        <v>3368</v>
      </c>
      <c r="AL32" s="290" t="s">
        <v>66</v>
      </c>
      <c r="AM32" s="290">
        <v>5</v>
      </c>
      <c r="AN32" s="394" t="s">
        <v>79</v>
      </c>
      <c r="AO32" s="395">
        <v>2016</v>
      </c>
      <c r="AP32" s="395" t="s">
        <v>65</v>
      </c>
      <c r="AQ32" s="395">
        <v>10097</v>
      </c>
      <c r="AR32" s="395" t="s">
        <v>66</v>
      </c>
      <c r="AS32" s="396">
        <v>4</v>
      </c>
      <c r="AT32" s="397" t="s">
        <v>181</v>
      </c>
      <c r="AU32" s="398">
        <v>2015</v>
      </c>
      <c r="AV32" s="398" t="s">
        <v>65</v>
      </c>
      <c r="AW32" s="398">
        <v>3368</v>
      </c>
      <c r="AX32" s="398" t="s">
        <v>66</v>
      </c>
      <c r="AY32" s="399">
        <v>1</v>
      </c>
      <c r="AZ32" s="400" t="s">
        <v>186</v>
      </c>
      <c r="BA32" s="401">
        <v>2014</v>
      </c>
      <c r="BB32" s="401" t="s">
        <v>65</v>
      </c>
      <c r="BC32" s="401">
        <v>585000</v>
      </c>
      <c r="BD32" s="401" t="s">
        <v>83</v>
      </c>
      <c r="BE32" s="402">
        <v>9</v>
      </c>
    </row>
    <row r="33" spans="1:57" x14ac:dyDescent="0.3">
      <c r="A33" s="350" t="s">
        <v>147</v>
      </c>
      <c r="B33" s="350" t="s">
        <v>168</v>
      </c>
      <c r="C33" s="350">
        <v>2019</v>
      </c>
      <c r="D33" s="350" t="s">
        <v>65</v>
      </c>
      <c r="E33" s="350">
        <v>174200</v>
      </c>
      <c r="F33" s="353" t="s">
        <v>72</v>
      </c>
      <c r="G33" s="353">
        <v>15</v>
      </c>
      <c r="I33" s="382" t="s">
        <v>147</v>
      </c>
      <c r="J33" s="383" t="s">
        <v>80</v>
      </c>
      <c r="K33" s="383">
        <v>2021</v>
      </c>
      <c r="L33" s="383" t="s">
        <v>65</v>
      </c>
      <c r="M33" s="383">
        <v>10097</v>
      </c>
      <c r="N33" s="383" t="s">
        <v>72</v>
      </c>
      <c r="O33" s="384">
        <v>111</v>
      </c>
      <c r="P33" s="387" t="s">
        <v>183</v>
      </c>
      <c r="Q33" s="388">
        <v>2020</v>
      </c>
      <c r="R33" s="388" t="s">
        <v>65</v>
      </c>
      <c r="S33" s="388">
        <v>1543</v>
      </c>
      <c r="T33" s="388" t="s">
        <v>72</v>
      </c>
      <c r="U33" s="389">
        <v>12</v>
      </c>
      <c r="V33" s="289" t="s">
        <v>81</v>
      </c>
      <c r="W33" s="289">
        <v>2019</v>
      </c>
      <c r="X33" s="289" t="s">
        <v>65</v>
      </c>
      <c r="Y33" s="289">
        <v>3325</v>
      </c>
      <c r="Z33" s="289" t="s">
        <v>66</v>
      </c>
      <c r="AA33" s="289">
        <v>7</v>
      </c>
      <c r="AB33" s="391" t="s">
        <v>183</v>
      </c>
      <c r="AC33" s="392">
        <v>2018</v>
      </c>
      <c r="AD33" s="392" t="s">
        <v>65</v>
      </c>
      <c r="AE33" s="392">
        <v>1543</v>
      </c>
      <c r="AF33" s="392" t="s">
        <v>72</v>
      </c>
      <c r="AG33" s="393">
        <v>2</v>
      </c>
      <c r="AH33" s="290" t="s">
        <v>79</v>
      </c>
      <c r="AI33" s="290">
        <v>2017</v>
      </c>
      <c r="AJ33" s="290" t="s">
        <v>65</v>
      </c>
      <c r="AK33" s="290">
        <v>10097</v>
      </c>
      <c r="AL33" s="290" t="s">
        <v>66</v>
      </c>
      <c r="AM33" s="290">
        <v>3</v>
      </c>
      <c r="AN33" s="394" t="s">
        <v>80</v>
      </c>
      <c r="AO33" s="395">
        <v>2016</v>
      </c>
      <c r="AP33" s="395" t="s">
        <v>65</v>
      </c>
      <c r="AQ33" s="395">
        <v>10097</v>
      </c>
      <c r="AR33" s="395" t="s">
        <v>72</v>
      </c>
      <c r="AS33" s="396">
        <v>501</v>
      </c>
      <c r="AT33" s="397" t="s">
        <v>79</v>
      </c>
      <c r="AU33" s="398">
        <v>2015</v>
      </c>
      <c r="AV33" s="398" t="s">
        <v>65</v>
      </c>
      <c r="AW33" s="398">
        <v>10097</v>
      </c>
      <c r="AX33" s="398" t="s">
        <v>66</v>
      </c>
      <c r="AY33" s="399">
        <v>8</v>
      </c>
      <c r="AZ33" s="400" t="s">
        <v>86</v>
      </c>
      <c r="BA33" s="401">
        <v>2014</v>
      </c>
      <c r="BB33" s="401" t="s">
        <v>65</v>
      </c>
      <c r="BC33" s="401">
        <v>2450</v>
      </c>
      <c r="BD33" s="401" t="s">
        <v>66</v>
      </c>
      <c r="BE33" s="402">
        <v>258</v>
      </c>
    </row>
    <row r="34" spans="1:57" x14ac:dyDescent="0.3">
      <c r="A34" s="350" t="s">
        <v>147</v>
      </c>
      <c r="B34" s="350" t="s">
        <v>168</v>
      </c>
      <c r="C34" s="350">
        <v>2018</v>
      </c>
      <c r="D34" s="350" t="s">
        <v>65</v>
      </c>
      <c r="E34" s="350">
        <v>174200</v>
      </c>
      <c r="F34" s="353" t="s">
        <v>72</v>
      </c>
      <c r="G34" s="353">
        <v>16</v>
      </c>
      <c r="I34" s="382" t="s">
        <v>147</v>
      </c>
      <c r="J34" s="383" t="s">
        <v>183</v>
      </c>
      <c r="K34" s="383">
        <v>2021</v>
      </c>
      <c r="L34" s="383" t="s">
        <v>65</v>
      </c>
      <c r="M34" s="383">
        <v>1543</v>
      </c>
      <c r="N34" s="383" t="s">
        <v>72</v>
      </c>
      <c r="O34" s="384">
        <v>9</v>
      </c>
      <c r="P34" s="387" t="s">
        <v>81</v>
      </c>
      <c r="Q34" s="388">
        <v>2020</v>
      </c>
      <c r="R34" s="388" t="s">
        <v>65</v>
      </c>
      <c r="S34" s="388">
        <v>3325</v>
      </c>
      <c r="T34" s="388" t="s">
        <v>66</v>
      </c>
      <c r="U34" s="389">
        <v>1</v>
      </c>
      <c r="V34" s="289" t="s">
        <v>82</v>
      </c>
      <c r="W34" s="289">
        <v>2019</v>
      </c>
      <c r="X34" s="289" t="s">
        <v>65</v>
      </c>
      <c r="Y34" s="289">
        <v>155000</v>
      </c>
      <c r="Z34" s="289" t="s">
        <v>83</v>
      </c>
      <c r="AA34" s="289">
        <v>48</v>
      </c>
      <c r="AB34" s="391" t="s">
        <v>81</v>
      </c>
      <c r="AC34" s="392">
        <v>2018</v>
      </c>
      <c r="AD34" s="392" t="s">
        <v>65</v>
      </c>
      <c r="AE34" s="392">
        <v>3325</v>
      </c>
      <c r="AF34" s="392" t="s">
        <v>66</v>
      </c>
      <c r="AG34" s="393">
        <v>9</v>
      </c>
      <c r="AH34" s="290" t="s">
        <v>80</v>
      </c>
      <c r="AI34" s="290">
        <v>2017</v>
      </c>
      <c r="AJ34" s="290" t="s">
        <v>65</v>
      </c>
      <c r="AK34" s="290">
        <v>10097</v>
      </c>
      <c r="AL34" s="290" t="s">
        <v>72</v>
      </c>
      <c r="AM34" s="290">
        <v>347</v>
      </c>
      <c r="AN34" s="394" t="s">
        <v>81</v>
      </c>
      <c r="AO34" s="395">
        <v>2016</v>
      </c>
      <c r="AP34" s="395" t="s">
        <v>65</v>
      </c>
      <c r="AQ34" s="395">
        <v>3325</v>
      </c>
      <c r="AR34" s="395" t="s">
        <v>66</v>
      </c>
      <c r="AS34" s="396">
        <v>5</v>
      </c>
      <c r="AT34" s="397" t="s">
        <v>182</v>
      </c>
      <c r="AU34" s="398">
        <v>2015</v>
      </c>
      <c r="AV34" s="398" t="s">
        <v>65</v>
      </c>
      <c r="AW34" s="398">
        <v>10400</v>
      </c>
      <c r="AX34" s="398" t="s">
        <v>72</v>
      </c>
      <c r="AY34" s="399">
        <v>2</v>
      </c>
      <c r="AZ34" s="400" t="s">
        <v>87</v>
      </c>
      <c r="BA34" s="401">
        <v>2014</v>
      </c>
      <c r="BB34" s="401" t="s">
        <v>65</v>
      </c>
      <c r="BC34" s="401">
        <v>2500</v>
      </c>
      <c r="BD34" s="401" t="s">
        <v>66</v>
      </c>
      <c r="BE34" s="402">
        <v>2</v>
      </c>
    </row>
    <row r="35" spans="1:57" x14ac:dyDescent="0.3">
      <c r="A35" s="350" t="s">
        <v>147</v>
      </c>
      <c r="B35" s="350" t="s">
        <v>168</v>
      </c>
      <c r="C35" s="350">
        <v>2017</v>
      </c>
      <c r="D35" s="350" t="s">
        <v>65</v>
      </c>
      <c r="E35" s="350">
        <v>174200</v>
      </c>
      <c r="F35" s="353" t="s">
        <v>72</v>
      </c>
      <c r="G35" s="353">
        <v>15</v>
      </c>
      <c r="I35" s="382" t="s">
        <v>147</v>
      </c>
      <c r="J35" s="383" t="s">
        <v>81</v>
      </c>
      <c r="K35" s="383">
        <v>2021</v>
      </c>
      <c r="L35" s="383" t="s">
        <v>65</v>
      </c>
      <c r="M35" s="383">
        <v>3325</v>
      </c>
      <c r="N35" s="383" t="s">
        <v>66</v>
      </c>
      <c r="O35" s="384">
        <v>5</v>
      </c>
      <c r="P35" s="387" t="s">
        <v>82</v>
      </c>
      <c r="Q35" s="388">
        <v>2020</v>
      </c>
      <c r="R35" s="388" t="s">
        <v>65</v>
      </c>
      <c r="S35" s="388">
        <v>155000</v>
      </c>
      <c r="T35" s="388" t="s">
        <v>83</v>
      </c>
      <c r="U35" s="389">
        <v>39</v>
      </c>
      <c r="V35" s="289" t="s">
        <v>184</v>
      </c>
      <c r="W35" s="289">
        <v>2019</v>
      </c>
      <c r="X35" s="289" t="s">
        <v>65</v>
      </c>
      <c r="Y35" s="289">
        <v>1450</v>
      </c>
      <c r="Z35" s="289" t="s">
        <v>66</v>
      </c>
      <c r="AA35" s="289">
        <v>5</v>
      </c>
      <c r="AB35" s="391" t="s">
        <v>82</v>
      </c>
      <c r="AC35" s="392">
        <v>2018</v>
      </c>
      <c r="AD35" s="392" t="s">
        <v>65</v>
      </c>
      <c r="AE35" s="392">
        <v>155000</v>
      </c>
      <c r="AF35" s="392" t="s">
        <v>83</v>
      </c>
      <c r="AG35" s="393">
        <v>58</v>
      </c>
      <c r="AH35" s="290" t="s">
        <v>183</v>
      </c>
      <c r="AI35" s="290">
        <v>2017</v>
      </c>
      <c r="AJ35" s="290" t="s">
        <v>65</v>
      </c>
      <c r="AK35" s="290">
        <v>1543</v>
      </c>
      <c r="AL35" s="290" t="s">
        <v>72</v>
      </c>
      <c r="AM35" s="290">
        <v>3</v>
      </c>
      <c r="AN35" s="394" t="s">
        <v>82</v>
      </c>
      <c r="AO35" s="395">
        <v>2016</v>
      </c>
      <c r="AP35" s="395" t="s">
        <v>65</v>
      </c>
      <c r="AQ35" s="395">
        <v>155000</v>
      </c>
      <c r="AR35" s="395" t="s">
        <v>83</v>
      </c>
      <c r="AS35" s="396">
        <v>57</v>
      </c>
      <c r="AT35" s="397" t="s">
        <v>80</v>
      </c>
      <c r="AU35" s="398">
        <v>2015</v>
      </c>
      <c r="AV35" s="398" t="s">
        <v>65</v>
      </c>
      <c r="AW35" s="398">
        <v>10097</v>
      </c>
      <c r="AX35" s="398" t="s">
        <v>72</v>
      </c>
      <c r="AY35" s="399">
        <v>429</v>
      </c>
      <c r="AZ35" s="400" t="s">
        <v>88</v>
      </c>
      <c r="BA35" s="401">
        <v>2014</v>
      </c>
      <c r="BB35" s="401" t="s">
        <v>65</v>
      </c>
      <c r="BC35" s="401">
        <v>2550</v>
      </c>
      <c r="BD35" s="401" t="s">
        <v>66</v>
      </c>
      <c r="BE35" s="402">
        <v>78</v>
      </c>
    </row>
    <row r="36" spans="1:57" x14ac:dyDescent="0.3">
      <c r="A36" s="350" t="s">
        <v>147</v>
      </c>
      <c r="B36" s="350" t="s">
        <v>168</v>
      </c>
      <c r="C36" s="350">
        <v>2016</v>
      </c>
      <c r="D36" s="350" t="s">
        <v>65</v>
      </c>
      <c r="E36" s="350">
        <v>174200</v>
      </c>
      <c r="F36" s="353" t="s">
        <v>72</v>
      </c>
      <c r="G36" s="353">
        <v>13</v>
      </c>
      <c r="I36" s="382" t="s">
        <v>147</v>
      </c>
      <c r="J36" s="383" t="s">
        <v>82</v>
      </c>
      <c r="K36" s="383">
        <v>2021</v>
      </c>
      <c r="L36" s="383" t="s">
        <v>65</v>
      </c>
      <c r="M36" s="383">
        <v>155000</v>
      </c>
      <c r="N36" s="383" t="s">
        <v>83</v>
      </c>
      <c r="O36" s="384">
        <v>14</v>
      </c>
      <c r="P36" s="387" t="s">
        <v>184</v>
      </c>
      <c r="Q36" s="388">
        <v>2020</v>
      </c>
      <c r="R36" s="388" t="s">
        <v>65</v>
      </c>
      <c r="S36" s="388">
        <v>1450</v>
      </c>
      <c r="T36" s="388" t="s">
        <v>66</v>
      </c>
      <c r="U36" s="389">
        <v>1</v>
      </c>
      <c r="V36" s="289" t="s">
        <v>84</v>
      </c>
      <c r="W36" s="289">
        <v>2019</v>
      </c>
      <c r="X36" s="289" t="s">
        <v>65</v>
      </c>
      <c r="Y36" s="289">
        <v>1543</v>
      </c>
      <c r="Z36" s="289" t="s">
        <v>66</v>
      </c>
      <c r="AA36" s="289">
        <v>10</v>
      </c>
      <c r="AB36" s="391" t="s">
        <v>84</v>
      </c>
      <c r="AC36" s="392">
        <v>2018</v>
      </c>
      <c r="AD36" s="392" t="s">
        <v>65</v>
      </c>
      <c r="AE36" s="392">
        <v>1543</v>
      </c>
      <c r="AF36" s="392" t="s">
        <v>66</v>
      </c>
      <c r="AG36" s="393">
        <v>3</v>
      </c>
      <c r="AH36" s="290" t="s">
        <v>81</v>
      </c>
      <c r="AI36" s="290">
        <v>2017</v>
      </c>
      <c r="AJ36" s="290" t="s">
        <v>65</v>
      </c>
      <c r="AK36" s="290">
        <v>3325</v>
      </c>
      <c r="AL36" s="290" t="s">
        <v>66</v>
      </c>
      <c r="AM36" s="290">
        <v>7</v>
      </c>
      <c r="AN36" s="394" t="s">
        <v>84</v>
      </c>
      <c r="AO36" s="395">
        <v>2016</v>
      </c>
      <c r="AP36" s="395" t="s">
        <v>65</v>
      </c>
      <c r="AQ36" s="395">
        <v>1543</v>
      </c>
      <c r="AR36" s="395" t="s">
        <v>66</v>
      </c>
      <c r="AS36" s="396">
        <v>3</v>
      </c>
      <c r="AT36" s="397" t="s">
        <v>183</v>
      </c>
      <c r="AU36" s="398">
        <v>2015</v>
      </c>
      <c r="AV36" s="398" t="s">
        <v>65</v>
      </c>
      <c r="AW36" s="398">
        <v>1543</v>
      </c>
      <c r="AX36" s="398" t="s">
        <v>72</v>
      </c>
      <c r="AY36" s="399">
        <v>14</v>
      </c>
      <c r="AZ36" s="400" t="s">
        <v>89</v>
      </c>
      <c r="BA36" s="401">
        <v>2014</v>
      </c>
      <c r="BB36" s="401" t="s">
        <v>65</v>
      </c>
      <c r="BC36" s="401">
        <v>3348</v>
      </c>
      <c r="BD36" s="401" t="s">
        <v>66</v>
      </c>
      <c r="BE36" s="402">
        <v>9</v>
      </c>
    </row>
    <row r="37" spans="1:57" x14ac:dyDescent="0.3">
      <c r="A37" s="350" t="s">
        <v>147</v>
      </c>
      <c r="B37" s="350" t="s">
        <v>168</v>
      </c>
      <c r="C37" s="350">
        <v>2015</v>
      </c>
      <c r="D37" s="350" t="s">
        <v>65</v>
      </c>
      <c r="E37" s="350">
        <v>174200</v>
      </c>
      <c r="F37" s="353" t="s">
        <v>72</v>
      </c>
      <c r="G37" s="353">
        <v>16</v>
      </c>
      <c r="I37" s="382" t="s">
        <v>147</v>
      </c>
      <c r="J37" s="383" t="s">
        <v>184</v>
      </c>
      <c r="K37" s="383">
        <v>2021</v>
      </c>
      <c r="L37" s="383" t="s">
        <v>65</v>
      </c>
      <c r="M37" s="383">
        <v>1450</v>
      </c>
      <c r="N37" s="383" t="s">
        <v>66</v>
      </c>
      <c r="O37" s="384">
        <v>1</v>
      </c>
      <c r="P37" s="387" t="s">
        <v>84</v>
      </c>
      <c r="Q37" s="388">
        <v>2020</v>
      </c>
      <c r="R37" s="388" t="s">
        <v>65</v>
      </c>
      <c r="S37" s="388">
        <v>1543</v>
      </c>
      <c r="T37" s="388" t="s">
        <v>66</v>
      </c>
      <c r="U37" s="389">
        <v>8</v>
      </c>
      <c r="V37" s="289" t="s">
        <v>85</v>
      </c>
      <c r="W37" s="289">
        <v>2019</v>
      </c>
      <c r="X37" s="289" t="s">
        <v>65</v>
      </c>
      <c r="Y37" s="289">
        <v>5732</v>
      </c>
      <c r="Z37" s="289" t="s">
        <v>66</v>
      </c>
      <c r="AA37" s="289">
        <v>9</v>
      </c>
      <c r="AB37" s="391" t="s">
        <v>85</v>
      </c>
      <c r="AC37" s="392">
        <v>2018</v>
      </c>
      <c r="AD37" s="392" t="s">
        <v>65</v>
      </c>
      <c r="AE37" s="392">
        <v>5732</v>
      </c>
      <c r="AF37" s="392" t="s">
        <v>66</v>
      </c>
      <c r="AG37" s="393">
        <v>6</v>
      </c>
      <c r="AH37" s="290" t="s">
        <v>82</v>
      </c>
      <c r="AI37" s="290">
        <v>2017</v>
      </c>
      <c r="AJ37" s="290" t="s">
        <v>65</v>
      </c>
      <c r="AK37" s="290">
        <v>155000</v>
      </c>
      <c r="AL37" s="290" t="s">
        <v>83</v>
      </c>
      <c r="AM37" s="290">
        <v>60</v>
      </c>
      <c r="AN37" s="394" t="s">
        <v>85</v>
      </c>
      <c r="AO37" s="395">
        <v>2016</v>
      </c>
      <c r="AP37" s="395" t="s">
        <v>65</v>
      </c>
      <c r="AQ37" s="395">
        <v>5732</v>
      </c>
      <c r="AR37" s="395" t="s">
        <v>66</v>
      </c>
      <c r="AS37" s="396">
        <v>3</v>
      </c>
      <c r="AT37" s="397" t="s">
        <v>81</v>
      </c>
      <c r="AU37" s="398">
        <v>2015</v>
      </c>
      <c r="AV37" s="398" t="s">
        <v>65</v>
      </c>
      <c r="AW37" s="398">
        <v>3325</v>
      </c>
      <c r="AX37" s="398" t="s">
        <v>66</v>
      </c>
      <c r="AY37" s="399">
        <v>4</v>
      </c>
      <c r="AZ37" s="400" t="s">
        <v>187</v>
      </c>
      <c r="BA37" s="401">
        <v>2014</v>
      </c>
      <c r="BB37" s="401" t="s">
        <v>65</v>
      </c>
      <c r="BC37" s="401">
        <v>3350</v>
      </c>
      <c r="BD37" s="401" t="s">
        <v>66</v>
      </c>
      <c r="BE37" s="402">
        <v>1</v>
      </c>
    </row>
    <row r="38" spans="1:57" x14ac:dyDescent="0.3">
      <c r="A38" s="350" t="s">
        <v>147</v>
      </c>
      <c r="B38" s="350" t="s">
        <v>168</v>
      </c>
      <c r="C38" s="350">
        <v>2014</v>
      </c>
      <c r="D38" s="350" t="s">
        <v>65</v>
      </c>
      <c r="E38" s="350">
        <v>174200</v>
      </c>
      <c r="F38" s="353" t="s">
        <v>72</v>
      </c>
      <c r="G38" s="353">
        <v>8</v>
      </c>
      <c r="I38" s="382" t="s">
        <v>147</v>
      </c>
      <c r="J38" s="383" t="s">
        <v>84</v>
      </c>
      <c r="K38" s="383">
        <v>2021</v>
      </c>
      <c r="L38" s="383" t="s">
        <v>65</v>
      </c>
      <c r="M38" s="383">
        <v>1543</v>
      </c>
      <c r="N38" s="383" t="s">
        <v>66</v>
      </c>
      <c r="O38" s="384">
        <v>3</v>
      </c>
      <c r="P38" s="387" t="s">
        <v>85</v>
      </c>
      <c r="Q38" s="388">
        <v>2020</v>
      </c>
      <c r="R38" s="388" t="s">
        <v>65</v>
      </c>
      <c r="S38" s="388">
        <v>5732</v>
      </c>
      <c r="T38" s="388" t="s">
        <v>66</v>
      </c>
      <c r="U38" s="389">
        <v>6</v>
      </c>
      <c r="V38" s="289" t="s">
        <v>186</v>
      </c>
      <c r="W38" s="289">
        <v>2019</v>
      </c>
      <c r="X38" s="289" t="s">
        <v>65</v>
      </c>
      <c r="Y38" s="289">
        <v>585000</v>
      </c>
      <c r="Z38" s="289" t="s">
        <v>83</v>
      </c>
      <c r="AA38" s="289">
        <v>3</v>
      </c>
      <c r="AB38" s="391" t="s">
        <v>186</v>
      </c>
      <c r="AC38" s="392">
        <v>2018</v>
      </c>
      <c r="AD38" s="392" t="s">
        <v>65</v>
      </c>
      <c r="AE38" s="392">
        <v>585000</v>
      </c>
      <c r="AF38" s="392" t="s">
        <v>83</v>
      </c>
      <c r="AG38" s="393">
        <v>1</v>
      </c>
      <c r="AH38" s="290" t="s">
        <v>184</v>
      </c>
      <c r="AI38" s="290">
        <v>2017</v>
      </c>
      <c r="AJ38" s="290" t="s">
        <v>65</v>
      </c>
      <c r="AK38" s="290">
        <v>1450</v>
      </c>
      <c r="AL38" s="290" t="s">
        <v>66</v>
      </c>
      <c r="AM38" s="290">
        <v>3</v>
      </c>
      <c r="AN38" s="394" t="s">
        <v>185</v>
      </c>
      <c r="AO38" s="395">
        <v>2016</v>
      </c>
      <c r="AP38" s="395" t="s">
        <v>65</v>
      </c>
      <c r="AQ38" s="395">
        <v>1320</v>
      </c>
      <c r="AR38" s="395" t="s">
        <v>66</v>
      </c>
      <c r="AS38" s="396">
        <v>1</v>
      </c>
      <c r="AT38" s="397" t="s">
        <v>82</v>
      </c>
      <c r="AU38" s="398">
        <v>2015</v>
      </c>
      <c r="AV38" s="398" t="s">
        <v>65</v>
      </c>
      <c r="AW38" s="398">
        <v>155000</v>
      </c>
      <c r="AX38" s="398" t="s">
        <v>83</v>
      </c>
      <c r="AY38" s="399">
        <v>75</v>
      </c>
      <c r="AZ38" s="400" t="s">
        <v>90</v>
      </c>
      <c r="BA38" s="401">
        <v>2014</v>
      </c>
      <c r="BB38" s="401" t="s">
        <v>65</v>
      </c>
      <c r="BC38" s="401">
        <v>3600</v>
      </c>
      <c r="BD38" s="401" t="s">
        <v>66</v>
      </c>
      <c r="BE38" s="402">
        <v>23</v>
      </c>
    </row>
    <row r="39" spans="1:57" x14ac:dyDescent="0.3">
      <c r="A39" s="354" t="s">
        <v>147</v>
      </c>
      <c r="B39" s="354" t="s">
        <v>150</v>
      </c>
      <c r="C39" s="354">
        <v>2019</v>
      </c>
      <c r="D39" s="354" t="s">
        <v>65</v>
      </c>
      <c r="E39" s="354">
        <v>174165</v>
      </c>
      <c r="F39" s="355" t="s">
        <v>72</v>
      </c>
      <c r="G39" s="355">
        <v>2</v>
      </c>
      <c r="I39" s="382" t="s">
        <v>147</v>
      </c>
      <c r="J39" s="383" t="s">
        <v>85</v>
      </c>
      <c r="K39" s="383">
        <v>2021</v>
      </c>
      <c r="L39" s="383" t="s">
        <v>65</v>
      </c>
      <c r="M39" s="383">
        <v>5732</v>
      </c>
      <c r="N39" s="383" t="s">
        <v>66</v>
      </c>
      <c r="O39" s="384">
        <v>4</v>
      </c>
      <c r="P39" s="387" t="s">
        <v>186</v>
      </c>
      <c r="Q39" s="388">
        <v>2020</v>
      </c>
      <c r="R39" s="388" t="s">
        <v>65</v>
      </c>
      <c r="S39" s="388">
        <v>585000</v>
      </c>
      <c r="T39" s="388" t="s">
        <v>83</v>
      </c>
      <c r="U39" s="389">
        <v>4</v>
      </c>
      <c r="V39" s="289" t="s">
        <v>86</v>
      </c>
      <c r="W39" s="289">
        <v>2019</v>
      </c>
      <c r="X39" s="289" t="s">
        <v>65</v>
      </c>
      <c r="Y39" s="289">
        <v>2450</v>
      </c>
      <c r="Z39" s="289" t="s">
        <v>66</v>
      </c>
      <c r="AA39" s="289">
        <v>397</v>
      </c>
      <c r="AB39" s="391" t="s">
        <v>86</v>
      </c>
      <c r="AC39" s="392">
        <v>2018</v>
      </c>
      <c r="AD39" s="392" t="s">
        <v>65</v>
      </c>
      <c r="AE39" s="392">
        <v>2450</v>
      </c>
      <c r="AF39" s="392" t="s">
        <v>66</v>
      </c>
      <c r="AG39" s="393">
        <v>428</v>
      </c>
      <c r="AH39" s="290" t="s">
        <v>84</v>
      </c>
      <c r="AI39" s="290">
        <v>2017</v>
      </c>
      <c r="AJ39" s="290" t="s">
        <v>65</v>
      </c>
      <c r="AK39" s="290">
        <v>1543</v>
      </c>
      <c r="AL39" s="290" t="s">
        <v>66</v>
      </c>
      <c r="AM39" s="290">
        <v>6</v>
      </c>
      <c r="AN39" s="394" t="s">
        <v>186</v>
      </c>
      <c r="AO39" s="395">
        <v>2016</v>
      </c>
      <c r="AP39" s="395" t="s">
        <v>65</v>
      </c>
      <c r="AQ39" s="395">
        <v>585000</v>
      </c>
      <c r="AR39" s="395" t="s">
        <v>83</v>
      </c>
      <c r="AS39" s="396">
        <v>4</v>
      </c>
      <c r="AT39" s="397" t="s">
        <v>84</v>
      </c>
      <c r="AU39" s="398">
        <v>2015</v>
      </c>
      <c r="AV39" s="398" t="s">
        <v>65</v>
      </c>
      <c r="AW39" s="398">
        <v>1543</v>
      </c>
      <c r="AX39" s="398" t="s">
        <v>66</v>
      </c>
      <c r="AY39" s="399">
        <v>10</v>
      </c>
      <c r="AZ39" s="400" t="s">
        <v>91</v>
      </c>
      <c r="BA39" s="401">
        <v>2014</v>
      </c>
      <c r="BB39" s="401" t="s">
        <v>65</v>
      </c>
      <c r="BC39" s="401">
        <v>7800</v>
      </c>
      <c r="BD39" s="401" t="s">
        <v>66</v>
      </c>
      <c r="BE39" s="402">
        <v>2</v>
      </c>
    </row>
    <row r="40" spans="1:57" x14ac:dyDescent="0.3">
      <c r="A40" s="354" t="s">
        <v>147</v>
      </c>
      <c r="B40" s="354" t="s">
        <v>150</v>
      </c>
      <c r="C40" s="354">
        <v>2018</v>
      </c>
      <c r="D40" s="354" t="s">
        <v>65</v>
      </c>
      <c r="E40" s="354">
        <v>174165</v>
      </c>
      <c r="F40" s="355" t="s">
        <v>72</v>
      </c>
      <c r="G40" s="355">
        <v>2</v>
      </c>
      <c r="I40" s="382" t="s">
        <v>147</v>
      </c>
      <c r="J40" s="383" t="s">
        <v>185</v>
      </c>
      <c r="K40" s="383">
        <v>2021</v>
      </c>
      <c r="L40" s="383" t="s">
        <v>65</v>
      </c>
      <c r="M40" s="383">
        <v>1320</v>
      </c>
      <c r="N40" s="383" t="s">
        <v>66</v>
      </c>
      <c r="O40" s="384">
        <v>1</v>
      </c>
      <c r="P40" s="387" t="s">
        <v>86</v>
      </c>
      <c r="Q40" s="388">
        <v>2020</v>
      </c>
      <c r="R40" s="388" t="s">
        <v>65</v>
      </c>
      <c r="S40" s="388">
        <v>2450</v>
      </c>
      <c r="T40" s="388" t="s">
        <v>66</v>
      </c>
      <c r="U40" s="389">
        <v>540</v>
      </c>
      <c r="V40" s="289" t="s">
        <v>87</v>
      </c>
      <c r="W40" s="289">
        <v>2019</v>
      </c>
      <c r="X40" s="289" t="s">
        <v>65</v>
      </c>
      <c r="Y40" s="289">
        <v>2500</v>
      </c>
      <c r="Z40" s="289" t="s">
        <v>66</v>
      </c>
      <c r="AA40" s="289">
        <v>29</v>
      </c>
      <c r="AB40" s="391" t="s">
        <v>87</v>
      </c>
      <c r="AC40" s="392">
        <v>2018</v>
      </c>
      <c r="AD40" s="392" t="s">
        <v>65</v>
      </c>
      <c r="AE40" s="392">
        <v>2500</v>
      </c>
      <c r="AF40" s="392" t="s">
        <v>66</v>
      </c>
      <c r="AG40" s="393">
        <v>7</v>
      </c>
      <c r="AH40" s="290" t="s">
        <v>85</v>
      </c>
      <c r="AI40" s="290">
        <v>2017</v>
      </c>
      <c r="AJ40" s="290" t="s">
        <v>65</v>
      </c>
      <c r="AK40" s="290">
        <v>5732</v>
      </c>
      <c r="AL40" s="290" t="s">
        <v>66</v>
      </c>
      <c r="AM40" s="290">
        <v>6</v>
      </c>
      <c r="AN40" s="394" t="s">
        <v>86</v>
      </c>
      <c r="AO40" s="395">
        <v>2016</v>
      </c>
      <c r="AP40" s="395" t="s">
        <v>65</v>
      </c>
      <c r="AQ40" s="395">
        <v>2450</v>
      </c>
      <c r="AR40" s="395" t="s">
        <v>66</v>
      </c>
      <c r="AS40" s="396">
        <v>674</v>
      </c>
      <c r="AT40" s="397" t="s">
        <v>85</v>
      </c>
      <c r="AU40" s="398">
        <v>2015</v>
      </c>
      <c r="AV40" s="398" t="s">
        <v>65</v>
      </c>
      <c r="AW40" s="398">
        <v>5732</v>
      </c>
      <c r="AX40" s="398" t="s">
        <v>66</v>
      </c>
      <c r="AY40" s="399">
        <v>5</v>
      </c>
      <c r="AZ40" s="400" t="s">
        <v>92</v>
      </c>
      <c r="BA40" s="401">
        <v>2014</v>
      </c>
      <c r="BB40" s="401" t="s">
        <v>65</v>
      </c>
      <c r="BC40" s="401">
        <v>3100</v>
      </c>
      <c r="BD40" s="401" t="s">
        <v>66</v>
      </c>
      <c r="BE40" s="402">
        <v>37</v>
      </c>
    </row>
    <row r="41" spans="1:57" x14ac:dyDescent="0.3">
      <c r="A41" s="354" t="s">
        <v>147</v>
      </c>
      <c r="B41" s="354" t="s">
        <v>150</v>
      </c>
      <c r="C41" s="354">
        <v>2017</v>
      </c>
      <c r="D41" s="354" t="s">
        <v>65</v>
      </c>
      <c r="E41" s="354">
        <v>174165</v>
      </c>
      <c r="F41" s="355" t="s">
        <v>72</v>
      </c>
      <c r="G41" s="355">
        <v>1</v>
      </c>
      <c r="I41" s="382" t="s">
        <v>147</v>
      </c>
      <c r="J41" s="383" t="s">
        <v>186</v>
      </c>
      <c r="K41" s="383">
        <v>2021</v>
      </c>
      <c r="L41" s="383" t="s">
        <v>65</v>
      </c>
      <c r="M41" s="383">
        <v>585000</v>
      </c>
      <c r="N41" s="383" t="s">
        <v>83</v>
      </c>
      <c r="O41" s="384">
        <v>6</v>
      </c>
      <c r="P41" s="387" t="s">
        <v>87</v>
      </c>
      <c r="Q41" s="388">
        <v>2020</v>
      </c>
      <c r="R41" s="388" t="s">
        <v>65</v>
      </c>
      <c r="S41" s="388">
        <v>2500</v>
      </c>
      <c r="T41" s="388" t="s">
        <v>66</v>
      </c>
      <c r="U41" s="389">
        <v>14</v>
      </c>
      <c r="V41" s="289" t="s">
        <v>88</v>
      </c>
      <c r="W41" s="289">
        <v>2019</v>
      </c>
      <c r="X41" s="289" t="s">
        <v>65</v>
      </c>
      <c r="Y41" s="289">
        <v>2550</v>
      </c>
      <c r="Z41" s="289" t="s">
        <v>66</v>
      </c>
      <c r="AA41" s="289">
        <v>166</v>
      </c>
      <c r="AB41" s="391" t="s">
        <v>88</v>
      </c>
      <c r="AC41" s="392">
        <v>2018</v>
      </c>
      <c r="AD41" s="392" t="s">
        <v>65</v>
      </c>
      <c r="AE41" s="392">
        <v>2550</v>
      </c>
      <c r="AF41" s="392" t="s">
        <v>66</v>
      </c>
      <c r="AG41" s="393">
        <v>186</v>
      </c>
      <c r="AH41" s="290" t="s">
        <v>186</v>
      </c>
      <c r="AI41" s="290">
        <v>2017</v>
      </c>
      <c r="AJ41" s="290" t="s">
        <v>65</v>
      </c>
      <c r="AK41" s="290">
        <v>585000</v>
      </c>
      <c r="AL41" s="290" t="s">
        <v>83</v>
      </c>
      <c r="AM41" s="290">
        <v>6</v>
      </c>
      <c r="AN41" s="394" t="s">
        <v>87</v>
      </c>
      <c r="AO41" s="395">
        <v>2016</v>
      </c>
      <c r="AP41" s="395" t="s">
        <v>65</v>
      </c>
      <c r="AQ41" s="395">
        <v>2500</v>
      </c>
      <c r="AR41" s="395" t="s">
        <v>66</v>
      </c>
      <c r="AS41" s="396">
        <v>9</v>
      </c>
      <c r="AT41" s="397" t="s">
        <v>186</v>
      </c>
      <c r="AU41" s="398">
        <v>2015</v>
      </c>
      <c r="AV41" s="398" t="s">
        <v>65</v>
      </c>
      <c r="AW41" s="398">
        <v>585000</v>
      </c>
      <c r="AX41" s="398" t="s">
        <v>83</v>
      </c>
      <c r="AY41" s="399">
        <v>9</v>
      </c>
      <c r="AZ41" s="400" t="s">
        <v>93</v>
      </c>
      <c r="BA41" s="401">
        <v>2014</v>
      </c>
      <c r="BB41" s="401" t="s">
        <v>65</v>
      </c>
      <c r="BC41" s="401">
        <v>12125</v>
      </c>
      <c r="BD41" s="401" t="s">
        <v>66</v>
      </c>
      <c r="BE41" s="402">
        <v>31</v>
      </c>
    </row>
    <row r="42" spans="1:57" x14ac:dyDescent="0.3">
      <c r="A42" s="354" t="s">
        <v>147</v>
      </c>
      <c r="B42" s="354" t="s">
        <v>150</v>
      </c>
      <c r="C42" s="354">
        <v>2015</v>
      </c>
      <c r="D42" s="354" t="s">
        <v>65</v>
      </c>
      <c r="E42" s="354">
        <v>174165</v>
      </c>
      <c r="F42" s="355" t="s">
        <v>72</v>
      </c>
      <c r="G42" s="355">
        <v>1</v>
      </c>
      <c r="I42" s="382" t="s">
        <v>147</v>
      </c>
      <c r="J42" s="383" t="s">
        <v>86</v>
      </c>
      <c r="K42" s="383">
        <v>2021</v>
      </c>
      <c r="L42" s="383" t="s">
        <v>65</v>
      </c>
      <c r="M42" s="383">
        <v>2450</v>
      </c>
      <c r="N42" s="383" t="s">
        <v>66</v>
      </c>
      <c r="O42" s="384">
        <v>680</v>
      </c>
      <c r="P42" s="387" t="s">
        <v>88</v>
      </c>
      <c r="Q42" s="388">
        <v>2020</v>
      </c>
      <c r="R42" s="388" t="s">
        <v>65</v>
      </c>
      <c r="S42" s="388">
        <v>2550</v>
      </c>
      <c r="T42" s="388" t="s">
        <v>66</v>
      </c>
      <c r="U42" s="389">
        <v>185</v>
      </c>
      <c r="V42" s="289" t="s">
        <v>89</v>
      </c>
      <c r="W42" s="289">
        <v>2019</v>
      </c>
      <c r="X42" s="289" t="s">
        <v>65</v>
      </c>
      <c r="Y42" s="289">
        <v>3348</v>
      </c>
      <c r="Z42" s="289" t="s">
        <v>66</v>
      </c>
      <c r="AA42" s="289">
        <v>10</v>
      </c>
      <c r="AB42" s="391" t="s">
        <v>89</v>
      </c>
      <c r="AC42" s="392">
        <v>2018</v>
      </c>
      <c r="AD42" s="392" t="s">
        <v>65</v>
      </c>
      <c r="AE42" s="392">
        <v>3348</v>
      </c>
      <c r="AF42" s="392" t="s">
        <v>66</v>
      </c>
      <c r="AG42" s="393">
        <v>10</v>
      </c>
      <c r="AH42" s="290" t="s">
        <v>86</v>
      </c>
      <c r="AI42" s="290">
        <v>2017</v>
      </c>
      <c r="AJ42" s="290" t="s">
        <v>65</v>
      </c>
      <c r="AK42" s="290">
        <v>2450</v>
      </c>
      <c r="AL42" s="290" t="s">
        <v>66</v>
      </c>
      <c r="AM42" s="290">
        <v>658</v>
      </c>
      <c r="AN42" s="394" t="s">
        <v>88</v>
      </c>
      <c r="AO42" s="395">
        <v>2016</v>
      </c>
      <c r="AP42" s="395" t="s">
        <v>65</v>
      </c>
      <c r="AQ42" s="395">
        <v>2550</v>
      </c>
      <c r="AR42" s="395" t="s">
        <v>66</v>
      </c>
      <c r="AS42" s="396">
        <v>236</v>
      </c>
      <c r="AT42" s="397" t="s">
        <v>86</v>
      </c>
      <c r="AU42" s="398">
        <v>2015</v>
      </c>
      <c r="AV42" s="398" t="s">
        <v>65</v>
      </c>
      <c r="AW42" s="398">
        <v>2450</v>
      </c>
      <c r="AX42" s="398" t="s">
        <v>66</v>
      </c>
      <c r="AY42" s="399">
        <v>603</v>
      </c>
      <c r="AZ42" s="400" t="s">
        <v>94</v>
      </c>
      <c r="BA42" s="401">
        <v>2014</v>
      </c>
      <c r="BB42" s="401" t="s">
        <v>65</v>
      </c>
      <c r="BC42" s="401">
        <v>13870</v>
      </c>
      <c r="BD42" s="401" t="s">
        <v>66</v>
      </c>
      <c r="BE42" s="402">
        <v>19</v>
      </c>
    </row>
    <row r="43" spans="1:57" x14ac:dyDescent="0.3">
      <c r="A43" s="354" t="s">
        <v>147</v>
      </c>
      <c r="B43" s="354" t="s">
        <v>150</v>
      </c>
      <c r="C43" s="354">
        <v>2014</v>
      </c>
      <c r="D43" s="354" t="s">
        <v>65</v>
      </c>
      <c r="E43" s="354">
        <v>174165</v>
      </c>
      <c r="F43" s="355" t="s">
        <v>72</v>
      </c>
      <c r="G43" s="355">
        <v>2</v>
      </c>
      <c r="I43" s="382" t="s">
        <v>147</v>
      </c>
      <c r="J43" s="383" t="s">
        <v>87</v>
      </c>
      <c r="K43" s="383">
        <v>2021</v>
      </c>
      <c r="L43" s="383" t="s">
        <v>65</v>
      </c>
      <c r="M43" s="383">
        <v>2500</v>
      </c>
      <c r="N43" s="383" t="s">
        <v>66</v>
      </c>
      <c r="O43" s="384">
        <v>11</v>
      </c>
      <c r="P43" s="387" t="s">
        <v>89</v>
      </c>
      <c r="Q43" s="388">
        <v>2020</v>
      </c>
      <c r="R43" s="388" t="s">
        <v>65</v>
      </c>
      <c r="S43" s="388">
        <v>3348</v>
      </c>
      <c r="T43" s="388" t="s">
        <v>66</v>
      </c>
      <c r="U43" s="389">
        <v>13</v>
      </c>
      <c r="V43" s="289" t="s">
        <v>90</v>
      </c>
      <c r="W43" s="289">
        <v>2019</v>
      </c>
      <c r="X43" s="289" t="s">
        <v>65</v>
      </c>
      <c r="Y43" s="289">
        <v>3600</v>
      </c>
      <c r="Z43" s="289" t="s">
        <v>66</v>
      </c>
      <c r="AA43" s="289">
        <v>27</v>
      </c>
      <c r="AB43" s="391" t="s">
        <v>90</v>
      </c>
      <c r="AC43" s="392">
        <v>2018</v>
      </c>
      <c r="AD43" s="392" t="s">
        <v>65</v>
      </c>
      <c r="AE43" s="392">
        <v>3600</v>
      </c>
      <c r="AF43" s="392" t="s">
        <v>66</v>
      </c>
      <c r="AG43" s="393">
        <v>9</v>
      </c>
      <c r="AH43" s="290" t="s">
        <v>87</v>
      </c>
      <c r="AI43" s="290">
        <v>2017</v>
      </c>
      <c r="AJ43" s="290" t="s">
        <v>65</v>
      </c>
      <c r="AK43" s="290">
        <v>2500</v>
      </c>
      <c r="AL43" s="290" t="s">
        <v>66</v>
      </c>
      <c r="AM43" s="290">
        <v>6</v>
      </c>
      <c r="AN43" s="394" t="s">
        <v>89</v>
      </c>
      <c r="AO43" s="395">
        <v>2016</v>
      </c>
      <c r="AP43" s="395" t="s">
        <v>65</v>
      </c>
      <c r="AQ43" s="395">
        <v>3348</v>
      </c>
      <c r="AR43" s="395" t="s">
        <v>66</v>
      </c>
      <c r="AS43" s="396">
        <v>20</v>
      </c>
      <c r="AT43" s="397" t="s">
        <v>87</v>
      </c>
      <c r="AU43" s="398">
        <v>2015</v>
      </c>
      <c r="AV43" s="398" t="s">
        <v>65</v>
      </c>
      <c r="AW43" s="398">
        <v>2500</v>
      </c>
      <c r="AX43" s="398" t="s">
        <v>66</v>
      </c>
      <c r="AY43" s="399">
        <v>9</v>
      </c>
      <c r="AZ43" s="400" t="s">
        <v>189</v>
      </c>
      <c r="BA43" s="401">
        <v>2014</v>
      </c>
      <c r="BB43" s="401" t="s">
        <v>65</v>
      </c>
      <c r="BC43" s="401">
        <v>10361</v>
      </c>
      <c r="BD43" s="401" t="s">
        <v>66</v>
      </c>
      <c r="BE43" s="402">
        <v>5</v>
      </c>
    </row>
    <row r="44" spans="1:57" x14ac:dyDescent="0.3">
      <c r="A44" s="350" t="s">
        <v>147</v>
      </c>
      <c r="B44" s="350" t="s">
        <v>247</v>
      </c>
      <c r="C44" s="350">
        <v>2016</v>
      </c>
      <c r="D44" s="350" t="s">
        <v>65</v>
      </c>
      <c r="E44" s="350">
        <v>172500</v>
      </c>
      <c r="F44" s="353" t="s">
        <v>72</v>
      </c>
      <c r="G44" s="353">
        <v>1</v>
      </c>
      <c r="I44" s="382" t="s">
        <v>147</v>
      </c>
      <c r="J44" s="383" t="s">
        <v>88</v>
      </c>
      <c r="K44" s="383">
        <v>2021</v>
      </c>
      <c r="L44" s="383" t="s">
        <v>65</v>
      </c>
      <c r="M44" s="383">
        <v>2550</v>
      </c>
      <c r="N44" s="383" t="s">
        <v>66</v>
      </c>
      <c r="O44" s="384">
        <v>142</v>
      </c>
      <c r="P44" s="387" t="s">
        <v>187</v>
      </c>
      <c r="Q44" s="388">
        <v>2020</v>
      </c>
      <c r="R44" s="388" t="s">
        <v>65</v>
      </c>
      <c r="S44" s="388">
        <v>3350</v>
      </c>
      <c r="T44" s="388" t="s">
        <v>66</v>
      </c>
      <c r="U44" s="389">
        <v>3</v>
      </c>
      <c r="V44" s="289" t="s">
        <v>91</v>
      </c>
      <c r="W44" s="289">
        <v>2019</v>
      </c>
      <c r="X44" s="289" t="s">
        <v>65</v>
      </c>
      <c r="Y44" s="289">
        <v>7800</v>
      </c>
      <c r="Z44" s="289" t="s">
        <v>66</v>
      </c>
      <c r="AA44" s="289">
        <v>7</v>
      </c>
      <c r="AB44" s="391" t="s">
        <v>91</v>
      </c>
      <c r="AC44" s="392">
        <v>2018</v>
      </c>
      <c r="AD44" s="392" t="s">
        <v>65</v>
      </c>
      <c r="AE44" s="392">
        <v>7800</v>
      </c>
      <c r="AF44" s="392" t="s">
        <v>66</v>
      </c>
      <c r="AG44" s="393">
        <v>5</v>
      </c>
      <c r="AH44" s="290" t="s">
        <v>88</v>
      </c>
      <c r="AI44" s="290">
        <v>2017</v>
      </c>
      <c r="AJ44" s="290" t="s">
        <v>65</v>
      </c>
      <c r="AK44" s="290">
        <v>2550</v>
      </c>
      <c r="AL44" s="290" t="s">
        <v>66</v>
      </c>
      <c r="AM44" s="290">
        <v>214</v>
      </c>
      <c r="AN44" s="394" t="s">
        <v>187</v>
      </c>
      <c r="AO44" s="395">
        <v>2016</v>
      </c>
      <c r="AP44" s="395" t="s">
        <v>65</v>
      </c>
      <c r="AQ44" s="395">
        <v>3350</v>
      </c>
      <c r="AR44" s="395" t="s">
        <v>66</v>
      </c>
      <c r="AS44" s="396">
        <v>1</v>
      </c>
      <c r="AT44" s="397" t="s">
        <v>88</v>
      </c>
      <c r="AU44" s="398">
        <v>2015</v>
      </c>
      <c r="AV44" s="398" t="s">
        <v>65</v>
      </c>
      <c r="AW44" s="398">
        <v>2550</v>
      </c>
      <c r="AX44" s="398" t="s">
        <v>66</v>
      </c>
      <c r="AY44" s="399">
        <v>190</v>
      </c>
      <c r="AZ44" s="400" t="s">
        <v>190</v>
      </c>
      <c r="BA44" s="401">
        <v>2014</v>
      </c>
      <c r="BB44" s="401" t="s">
        <v>65</v>
      </c>
      <c r="BC44" s="401">
        <v>155000</v>
      </c>
      <c r="BD44" s="401" t="s">
        <v>83</v>
      </c>
      <c r="BE44" s="402">
        <v>1</v>
      </c>
    </row>
    <row r="45" spans="1:57" x14ac:dyDescent="0.3">
      <c r="A45" s="350" t="s">
        <v>147</v>
      </c>
      <c r="B45" s="350" t="s">
        <v>149</v>
      </c>
      <c r="C45" s="350">
        <v>2019</v>
      </c>
      <c r="D45" s="350" t="s">
        <v>65</v>
      </c>
      <c r="E45" s="350">
        <v>168653</v>
      </c>
      <c r="F45" s="353" t="s">
        <v>72</v>
      </c>
      <c r="G45" s="353">
        <v>2</v>
      </c>
      <c r="I45" s="382" t="s">
        <v>147</v>
      </c>
      <c r="J45" s="383" t="s">
        <v>89</v>
      </c>
      <c r="K45" s="383">
        <v>2021</v>
      </c>
      <c r="L45" s="383" t="s">
        <v>65</v>
      </c>
      <c r="M45" s="383">
        <v>3348</v>
      </c>
      <c r="N45" s="383" t="s">
        <v>66</v>
      </c>
      <c r="O45" s="384">
        <v>10</v>
      </c>
      <c r="P45" s="387" t="s">
        <v>90</v>
      </c>
      <c r="Q45" s="388">
        <v>2020</v>
      </c>
      <c r="R45" s="388" t="s">
        <v>65</v>
      </c>
      <c r="S45" s="388">
        <v>3600</v>
      </c>
      <c r="T45" s="388" t="s">
        <v>66</v>
      </c>
      <c r="U45" s="389">
        <v>49</v>
      </c>
      <c r="V45" s="289" t="s">
        <v>92</v>
      </c>
      <c r="W45" s="289">
        <v>2019</v>
      </c>
      <c r="X45" s="289" t="s">
        <v>65</v>
      </c>
      <c r="Y45" s="289">
        <v>3100</v>
      </c>
      <c r="Z45" s="289" t="s">
        <v>66</v>
      </c>
      <c r="AA45" s="289">
        <v>45</v>
      </c>
      <c r="AB45" s="391" t="s">
        <v>92</v>
      </c>
      <c r="AC45" s="392">
        <v>2018</v>
      </c>
      <c r="AD45" s="392" t="s">
        <v>65</v>
      </c>
      <c r="AE45" s="392">
        <v>3100</v>
      </c>
      <c r="AF45" s="392" t="s">
        <v>66</v>
      </c>
      <c r="AG45" s="393">
        <v>74</v>
      </c>
      <c r="AH45" s="290" t="s">
        <v>89</v>
      </c>
      <c r="AI45" s="290">
        <v>2017</v>
      </c>
      <c r="AJ45" s="290" t="s">
        <v>65</v>
      </c>
      <c r="AK45" s="290">
        <v>3348</v>
      </c>
      <c r="AL45" s="290" t="s">
        <v>66</v>
      </c>
      <c r="AM45" s="290">
        <v>19</v>
      </c>
      <c r="AN45" s="394" t="s">
        <v>90</v>
      </c>
      <c r="AO45" s="395">
        <v>2016</v>
      </c>
      <c r="AP45" s="395" t="s">
        <v>65</v>
      </c>
      <c r="AQ45" s="395">
        <v>3600</v>
      </c>
      <c r="AR45" s="395" t="s">
        <v>66</v>
      </c>
      <c r="AS45" s="396">
        <v>16</v>
      </c>
      <c r="AT45" s="397" t="s">
        <v>89</v>
      </c>
      <c r="AU45" s="398">
        <v>2015</v>
      </c>
      <c r="AV45" s="398" t="s">
        <v>65</v>
      </c>
      <c r="AW45" s="398">
        <v>3348</v>
      </c>
      <c r="AX45" s="398" t="s">
        <v>66</v>
      </c>
      <c r="AY45" s="399">
        <v>13</v>
      </c>
      <c r="AZ45" s="400" t="s">
        <v>96</v>
      </c>
      <c r="BA45" s="401">
        <v>2014</v>
      </c>
      <c r="BB45" s="401" t="s">
        <v>65</v>
      </c>
      <c r="BC45" s="401">
        <v>4600</v>
      </c>
      <c r="BD45" s="401" t="s">
        <v>66</v>
      </c>
      <c r="BE45" s="402">
        <v>15</v>
      </c>
    </row>
    <row r="46" spans="1:57" x14ac:dyDescent="0.3">
      <c r="A46" s="350" t="s">
        <v>147</v>
      </c>
      <c r="B46" s="350" t="s">
        <v>149</v>
      </c>
      <c r="C46" s="350">
        <v>2018</v>
      </c>
      <c r="D46" s="350" t="s">
        <v>65</v>
      </c>
      <c r="E46" s="350">
        <v>168653</v>
      </c>
      <c r="F46" s="353" t="s">
        <v>72</v>
      </c>
      <c r="G46" s="353">
        <v>1</v>
      </c>
      <c r="I46" s="382" t="s">
        <v>147</v>
      </c>
      <c r="J46" s="383" t="s">
        <v>187</v>
      </c>
      <c r="K46" s="383">
        <v>2021</v>
      </c>
      <c r="L46" s="383" t="s">
        <v>65</v>
      </c>
      <c r="M46" s="383">
        <v>3350</v>
      </c>
      <c r="N46" s="383" t="s">
        <v>66</v>
      </c>
      <c r="O46" s="384">
        <v>1</v>
      </c>
      <c r="P46" s="387" t="s">
        <v>91</v>
      </c>
      <c r="Q46" s="388">
        <v>2020</v>
      </c>
      <c r="R46" s="388" t="s">
        <v>65</v>
      </c>
      <c r="S46" s="388">
        <v>7800</v>
      </c>
      <c r="T46" s="388" t="s">
        <v>66</v>
      </c>
      <c r="U46" s="389">
        <v>9</v>
      </c>
      <c r="V46" s="289" t="s">
        <v>188</v>
      </c>
      <c r="W46" s="289">
        <v>2019</v>
      </c>
      <c r="X46" s="289" t="s">
        <v>65</v>
      </c>
      <c r="Y46" s="289">
        <v>3600</v>
      </c>
      <c r="Z46" s="289" t="s">
        <v>66</v>
      </c>
      <c r="AA46" s="289">
        <v>5</v>
      </c>
      <c r="AB46" s="391" t="s">
        <v>188</v>
      </c>
      <c r="AC46" s="392">
        <v>2018</v>
      </c>
      <c r="AD46" s="392" t="s">
        <v>65</v>
      </c>
      <c r="AE46" s="392">
        <v>3600</v>
      </c>
      <c r="AF46" s="392" t="s">
        <v>66</v>
      </c>
      <c r="AG46" s="393">
        <v>6</v>
      </c>
      <c r="AH46" s="290" t="s">
        <v>90</v>
      </c>
      <c r="AI46" s="290">
        <v>2017</v>
      </c>
      <c r="AJ46" s="290" t="s">
        <v>65</v>
      </c>
      <c r="AK46" s="290">
        <v>3600</v>
      </c>
      <c r="AL46" s="290" t="s">
        <v>66</v>
      </c>
      <c r="AM46" s="290">
        <v>20</v>
      </c>
      <c r="AN46" s="394" t="s">
        <v>91</v>
      </c>
      <c r="AO46" s="395">
        <v>2016</v>
      </c>
      <c r="AP46" s="395" t="s">
        <v>65</v>
      </c>
      <c r="AQ46" s="395">
        <v>7800</v>
      </c>
      <c r="AR46" s="395" t="s">
        <v>66</v>
      </c>
      <c r="AS46" s="396">
        <v>14</v>
      </c>
      <c r="AT46" s="397" t="s">
        <v>90</v>
      </c>
      <c r="AU46" s="398">
        <v>2015</v>
      </c>
      <c r="AV46" s="398" t="s">
        <v>65</v>
      </c>
      <c r="AW46" s="398">
        <v>3600</v>
      </c>
      <c r="AX46" s="398" t="s">
        <v>66</v>
      </c>
      <c r="AY46" s="399">
        <v>34</v>
      </c>
      <c r="AZ46" s="400" t="s">
        <v>192</v>
      </c>
      <c r="BA46" s="401">
        <v>2014</v>
      </c>
      <c r="BB46" s="401" t="s">
        <v>65</v>
      </c>
      <c r="BC46" s="401">
        <v>4850</v>
      </c>
      <c r="BD46" s="401" t="s">
        <v>66</v>
      </c>
      <c r="BE46" s="402">
        <v>1</v>
      </c>
    </row>
    <row r="47" spans="1:57" x14ac:dyDescent="0.3">
      <c r="A47" s="350" t="s">
        <v>147</v>
      </c>
      <c r="B47" s="350" t="s">
        <v>149</v>
      </c>
      <c r="C47" s="350">
        <v>2015</v>
      </c>
      <c r="D47" s="350" t="s">
        <v>65</v>
      </c>
      <c r="E47" s="350">
        <v>168653</v>
      </c>
      <c r="F47" s="353" t="s">
        <v>72</v>
      </c>
      <c r="G47" s="353">
        <v>2</v>
      </c>
      <c r="I47" s="382" t="s">
        <v>147</v>
      </c>
      <c r="J47" s="383" t="s">
        <v>90</v>
      </c>
      <c r="K47" s="383">
        <v>2021</v>
      </c>
      <c r="L47" s="383" t="s">
        <v>65</v>
      </c>
      <c r="M47" s="383">
        <v>3600</v>
      </c>
      <c r="N47" s="383" t="s">
        <v>66</v>
      </c>
      <c r="O47" s="384">
        <v>37</v>
      </c>
      <c r="P47" s="387" t="s">
        <v>92</v>
      </c>
      <c r="Q47" s="388">
        <v>2020</v>
      </c>
      <c r="R47" s="388" t="s">
        <v>65</v>
      </c>
      <c r="S47" s="388">
        <v>3100</v>
      </c>
      <c r="T47" s="388" t="s">
        <v>66</v>
      </c>
      <c r="U47" s="389">
        <v>43</v>
      </c>
      <c r="V47" s="289" t="s">
        <v>93</v>
      </c>
      <c r="W47" s="289">
        <v>2019</v>
      </c>
      <c r="X47" s="289" t="s">
        <v>65</v>
      </c>
      <c r="Y47" s="289">
        <v>12125</v>
      </c>
      <c r="Z47" s="289" t="s">
        <v>66</v>
      </c>
      <c r="AA47" s="289">
        <v>30</v>
      </c>
      <c r="AB47" s="391" t="s">
        <v>93</v>
      </c>
      <c r="AC47" s="392">
        <v>2018</v>
      </c>
      <c r="AD47" s="392" t="s">
        <v>65</v>
      </c>
      <c r="AE47" s="392">
        <v>12125</v>
      </c>
      <c r="AF47" s="392" t="s">
        <v>66</v>
      </c>
      <c r="AG47" s="393">
        <v>51</v>
      </c>
      <c r="AH47" s="290" t="s">
        <v>91</v>
      </c>
      <c r="AI47" s="290">
        <v>2017</v>
      </c>
      <c r="AJ47" s="290" t="s">
        <v>65</v>
      </c>
      <c r="AK47" s="290">
        <v>7800</v>
      </c>
      <c r="AL47" s="290" t="s">
        <v>66</v>
      </c>
      <c r="AM47" s="290">
        <v>4</v>
      </c>
      <c r="AN47" s="394" t="s">
        <v>92</v>
      </c>
      <c r="AO47" s="395">
        <v>2016</v>
      </c>
      <c r="AP47" s="395" t="s">
        <v>65</v>
      </c>
      <c r="AQ47" s="395">
        <v>3100</v>
      </c>
      <c r="AR47" s="395" t="s">
        <v>66</v>
      </c>
      <c r="AS47" s="396">
        <v>59</v>
      </c>
      <c r="AT47" s="397" t="s">
        <v>91</v>
      </c>
      <c r="AU47" s="398">
        <v>2015</v>
      </c>
      <c r="AV47" s="398" t="s">
        <v>65</v>
      </c>
      <c r="AW47" s="398">
        <v>7800</v>
      </c>
      <c r="AX47" s="398" t="s">
        <v>66</v>
      </c>
      <c r="AY47" s="399">
        <v>2</v>
      </c>
      <c r="AZ47" s="400" t="s">
        <v>97</v>
      </c>
      <c r="BA47" s="401">
        <v>2014</v>
      </c>
      <c r="BB47" s="401" t="s">
        <v>65</v>
      </c>
      <c r="BC47" s="401">
        <v>5974</v>
      </c>
      <c r="BD47" s="401" t="s">
        <v>66</v>
      </c>
      <c r="BE47" s="402">
        <v>6</v>
      </c>
    </row>
    <row r="48" spans="1:57" x14ac:dyDescent="0.3">
      <c r="A48" s="350" t="s">
        <v>147</v>
      </c>
      <c r="B48" s="350" t="s">
        <v>149</v>
      </c>
      <c r="C48" s="350">
        <v>2014</v>
      </c>
      <c r="D48" s="350" t="s">
        <v>65</v>
      </c>
      <c r="E48" s="350">
        <v>168653</v>
      </c>
      <c r="F48" s="353" t="s">
        <v>72</v>
      </c>
      <c r="G48" s="353">
        <v>2</v>
      </c>
      <c r="I48" s="382" t="s">
        <v>147</v>
      </c>
      <c r="J48" s="383" t="s">
        <v>91</v>
      </c>
      <c r="K48" s="383">
        <v>2021</v>
      </c>
      <c r="L48" s="383" t="s">
        <v>65</v>
      </c>
      <c r="M48" s="383">
        <v>7800</v>
      </c>
      <c r="N48" s="383" t="s">
        <v>66</v>
      </c>
      <c r="O48" s="384">
        <v>15</v>
      </c>
      <c r="P48" s="387" t="s">
        <v>188</v>
      </c>
      <c r="Q48" s="388">
        <v>2020</v>
      </c>
      <c r="R48" s="388" t="s">
        <v>65</v>
      </c>
      <c r="S48" s="388">
        <v>3600</v>
      </c>
      <c r="T48" s="388" t="s">
        <v>66</v>
      </c>
      <c r="U48" s="389">
        <v>5</v>
      </c>
      <c r="V48" s="289" t="s">
        <v>94</v>
      </c>
      <c r="W48" s="289">
        <v>2019</v>
      </c>
      <c r="X48" s="289" t="s">
        <v>65</v>
      </c>
      <c r="Y48" s="289">
        <v>13870</v>
      </c>
      <c r="Z48" s="289" t="s">
        <v>66</v>
      </c>
      <c r="AA48" s="289">
        <v>65</v>
      </c>
      <c r="AB48" s="391" t="s">
        <v>94</v>
      </c>
      <c r="AC48" s="392">
        <v>2018</v>
      </c>
      <c r="AD48" s="392" t="s">
        <v>65</v>
      </c>
      <c r="AE48" s="392">
        <v>13870</v>
      </c>
      <c r="AF48" s="392" t="s">
        <v>66</v>
      </c>
      <c r="AG48" s="393">
        <v>41</v>
      </c>
      <c r="AH48" s="290" t="s">
        <v>92</v>
      </c>
      <c r="AI48" s="290">
        <v>2017</v>
      </c>
      <c r="AJ48" s="290" t="s">
        <v>65</v>
      </c>
      <c r="AK48" s="290">
        <v>3100</v>
      </c>
      <c r="AL48" s="290" t="s">
        <v>66</v>
      </c>
      <c r="AM48" s="290">
        <v>70</v>
      </c>
      <c r="AN48" s="394" t="s">
        <v>188</v>
      </c>
      <c r="AO48" s="395">
        <v>2016</v>
      </c>
      <c r="AP48" s="395" t="s">
        <v>65</v>
      </c>
      <c r="AQ48" s="395">
        <v>3600</v>
      </c>
      <c r="AR48" s="395" t="s">
        <v>66</v>
      </c>
      <c r="AS48" s="396">
        <v>2</v>
      </c>
      <c r="AT48" s="397" t="s">
        <v>92</v>
      </c>
      <c r="AU48" s="398">
        <v>2015</v>
      </c>
      <c r="AV48" s="398" t="s">
        <v>65</v>
      </c>
      <c r="AW48" s="398">
        <v>3100</v>
      </c>
      <c r="AX48" s="398" t="s">
        <v>66</v>
      </c>
      <c r="AY48" s="399">
        <v>72</v>
      </c>
      <c r="AZ48" s="400" t="s">
        <v>98</v>
      </c>
      <c r="BA48" s="401">
        <v>2014</v>
      </c>
      <c r="BB48" s="401" t="s">
        <v>65</v>
      </c>
      <c r="BC48" s="401">
        <v>6850</v>
      </c>
      <c r="BD48" s="401" t="s">
        <v>66</v>
      </c>
      <c r="BE48" s="402">
        <v>2</v>
      </c>
    </row>
    <row r="49" spans="1:57" x14ac:dyDescent="0.3">
      <c r="A49" s="350" t="s">
        <v>147</v>
      </c>
      <c r="B49" s="350" t="s">
        <v>82</v>
      </c>
      <c r="C49" s="350">
        <v>2021</v>
      </c>
      <c r="D49" s="350" t="s">
        <v>65</v>
      </c>
      <c r="E49" s="350">
        <v>155000</v>
      </c>
      <c r="F49" s="353" t="s">
        <v>83</v>
      </c>
      <c r="G49" s="353">
        <v>14</v>
      </c>
      <c r="I49" s="382" t="s">
        <v>147</v>
      </c>
      <c r="J49" s="383" t="s">
        <v>92</v>
      </c>
      <c r="K49" s="383">
        <v>2021</v>
      </c>
      <c r="L49" s="383" t="s">
        <v>65</v>
      </c>
      <c r="M49" s="383">
        <v>3100</v>
      </c>
      <c r="N49" s="383" t="s">
        <v>66</v>
      </c>
      <c r="O49" s="384">
        <v>48</v>
      </c>
      <c r="P49" s="387" t="s">
        <v>93</v>
      </c>
      <c r="Q49" s="388">
        <v>2020</v>
      </c>
      <c r="R49" s="388" t="s">
        <v>65</v>
      </c>
      <c r="S49" s="388">
        <v>12125</v>
      </c>
      <c r="T49" s="388" t="s">
        <v>66</v>
      </c>
      <c r="U49" s="389">
        <v>45</v>
      </c>
      <c r="V49" s="289" t="s">
        <v>189</v>
      </c>
      <c r="W49" s="289">
        <v>2019</v>
      </c>
      <c r="X49" s="289" t="s">
        <v>65</v>
      </c>
      <c r="Y49" s="289">
        <v>10361</v>
      </c>
      <c r="Z49" s="289" t="s">
        <v>66</v>
      </c>
      <c r="AA49" s="289">
        <v>31</v>
      </c>
      <c r="AB49" s="391" t="s">
        <v>189</v>
      </c>
      <c r="AC49" s="392">
        <v>2018</v>
      </c>
      <c r="AD49" s="392" t="s">
        <v>65</v>
      </c>
      <c r="AE49" s="392">
        <v>10361</v>
      </c>
      <c r="AF49" s="392" t="s">
        <v>66</v>
      </c>
      <c r="AG49" s="393">
        <v>22</v>
      </c>
      <c r="AH49" s="290" t="s">
        <v>188</v>
      </c>
      <c r="AI49" s="290">
        <v>2017</v>
      </c>
      <c r="AJ49" s="290" t="s">
        <v>65</v>
      </c>
      <c r="AK49" s="290">
        <v>3600</v>
      </c>
      <c r="AL49" s="290" t="s">
        <v>66</v>
      </c>
      <c r="AM49" s="290">
        <v>2</v>
      </c>
      <c r="AN49" s="394" t="s">
        <v>93</v>
      </c>
      <c r="AO49" s="395">
        <v>2016</v>
      </c>
      <c r="AP49" s="395" t="s">
        <v>65</v>
      </c>
      <c r="AQ49" s="395">
        <v>12125</v>
      </c>
      <c r="AR49" s="395" t="s">
        <v>66</v>
      </c>
      <c r="AS49" s="396">
        <v>42</v>
      </c>
      <c r="AT49" s="397" t="s">
        <v>93</v>
      </c>
      <c r="AU49" s="398">
        <v>2015</v>
      </c>
      <c r="AV49" s="398" t="s">
        <v>65</v>
      </c>
      <c r="AW49" s="398">
        <v>12125</v>
      </c>
      <c r="AX49" s="398" t="s">
        <v>66</v>
      </c>
      <c r="AY49" s="399">
        <v>33</v>
      </c>
      <c r="AZ49" s="400" t="s">
        <v>100</v>
      </c>
      <c r="BA49" s="401">
        <v>2014</v>
      </c>
      <c r="BB49" s="401" t="s">
        <v>65</v>
      </c>
      <c r="BC49" s="401">
        <v>6750</v>
      </c>
      <c r="BD49" s="401" t="s">
        <v>66</v>
      </c>
      <c r="BE49" s="402">
        <v>10</v>
      </c>
    </row>
    <row r="50" spans="1:57" x14ac:dyDescent="0.3">
      <c r="A50" s="350" t="s">
        <v>147</v>
      </c>
      <c r="B50" s="350" t="s">
        <v>82</v>
      </c>
      <c r="C50" s="350">
        <v>2020</v>
      </c>
      <c r="D50" s="350" t="s">
        <v>65</v>
      </c>
      <c r="E50" s="350">
        <v>155000</v>
      </c>
      <c r="F50" s="353" t="s">
        <v>83</v>
      </c>
      <c r="G50" s="353">
        <v>39</v>
      </c>
      <c r="I50" s="382" t="s">
        <v>147</v>
      </c>
      <c r="J50" s="383" t="s">
        <v>188</v>
      </c>
      <c r="K50" s="383">
        <v>2021</v>
      </c>
      <c r="L50" s="383" t="s">
        <v>65</v>
      </c>
      <c r="M50" s="383">
        <v>3600</v>
      </c>
      <c r="N50" s="383" t="s">
        <v>66</v>
      </c>
      <c r="O50" s="384">
        <v>4</v>
      </c>
      <c r="P50" s="387" t="s">
        <v>94</v>
      </c>
      <c r="Q50" s="388">
        <v>2020</v>
      </c>
      <c r="R50" s="388" t="s">
        <v>65</v>
      </c>
      <c r="S50" s="388">
        <v>13870</v>
      </c>
      <c r="T50" s="388" t="s">
        <v>66</v>
      </c>
      <c r="U50" s="389">
        <v>70</v>
      </c>
      <c r="V50" s="289" t="s">
        <v>95</v>
      </c>
      <c r="W50" s="289">
        <v>2019</v>
      </c>
      <c r="X50" s="289" t="s">
        <v>65</v>
      </c>
      <c r="Y50" s="289">
        <v>13870</v>
      </c>
      <c r="Z50" s="289" t="s">
        <v>66</v>
      </c>
      <c r="AA50" s="289">
        <v>18</v>
      </c>
      <c r="AB50" s="391" t="s">
        <v>95</v>
      </c>
      <c r="AC50" s="392">
        <v>2018</v>
      </c>
      <c r="AD50" s="392" t="s">
        <v>65</v>
      </c>
      <c r="AE50" s="392">
        <v>13870</v>
      </c>
      <c r="AF50" s="392" t="s">
        <v>66</v>
      </c>
      <c r="AG50" s="393">
        <v>16</v>
      </c>
      <c r="AH50" s="290" t="s">
        <v>93</v>
      </c>
      <c r="AI50" s="290">
        <v>2017</v>
      </c>
      <c r="AJ50" s="290" t="s">
        <v>65</v>
      </c>
      <c r="AK50" s="290">
        <v>12125</v>
      </c>
      <c r="AL50" s="290" t="s">
        <v>66</v>
      </c>
      <c r="AM50" s="290">
        <v>61</v>
      </c>
      <c r="AN50" s="394" t="s">
        <v>94</v>
      </c>
      <c r="AO50" s="395">
        <v>2016</v>
      </c>
      <c r="AP50" s="395" t="s">
        <v>65</v>
      </c>
      <c r="AQ50" s="395">
        <v>13870</v>
      </c>
      <c r="AR50" s="395" t="s">
        <v>66</v>
      </c>
      <c r="AS50" s="396">
        <v>39</v>
      </c>
      <c r="AT50" s="397" t="s">
        <v>94</v>
      </c>
      <c r="AU50" s="398">
        <v>2015</v>
      </c>
      <c r="AV50" s="398" t="s">
        <v>65</v>
      </c>
      <c r="AW50" s="398">
        <v>13870</v>
      </c>
      <c r="AX50" s="398" t="s">
        <v>66</v>
      </c>
      <c r="AY50" s="399">
        <v>27</v>
      </c>
      <c r="AZ50" s="400" t="s">
        <v>101</v>
      </c>
      <c r="BA50" s="401">
        <v>2014</v>
      </c>
      <c r="BB50" s="401" t="s">
        <v>65</v>
      </c>
      <c r="BC50" s="401">
        <v>7450</v>
      </c>
      <c r="BD50" s="401" t="s">
        <v>66</v>
      </c>
      <c r="BE50" s="402">
        <v>9</v>
      </c>
    </row>
    <row r="51" spans="1:57" x14ac:dyDescent="0.3">
      <c r="A51" s="350" t="s">
        <v>147</v>
      </c>
      <c r="B51" s="350" t="s">
        <v>82</v>
      </c>
      <c r="C51" s="350">
        <v>2019</v>
      </c>
      <c r="D51" s="350" t="s">
        <v>65</v>
      </c>
      <c r="E51" s="350">
        <v>155000</v>
      </c>
      <c r="F51" s="353" t="s">
        <v>83</v>
      </c>
      <c r="G51" s="353">
        <v>48</v>
      </c>
      <c r="I51" s="382" t="s">
        <v>147</v>
      </c>
      <c r="J51" s="383" t="s">
        <v>93</v>
      </c>
      <c r="K51" s="383">
        <v>2021</v>
      </c>
      <c r="L51" s="383" t="s">
        <v>65</v>
      </c>
      <c r="M51" s="383">
        <v>12125</v>
      </c>
      <c r="N51" s="383" t="s">
        <v>66</v>
      </c>
      <c r="O51" s="384">
        <v>35</v>
      </c>
      <c r="P51" s="387" t="s">
        <v>189</v>
      </c>
      <c r="Q51" s="388">
        <v>2020</v>
      </c>
      <c r="R51" s="388" t="s">
        <v>65</v>
      </c>
      <c r="S51" s="388">
        <v>10361</v>
      </c>
      <c r="T51" s="388" t="s">
        <v>66</v>
      </c>
      <c r="U51" s="389">
        <v>26</v>
      </c>
      <c r="V51" s="289" t="s">
        <v>190</v>
      </c>
      <c r="W51" s="289">
        <v>2019</v>
      </c>
      <c r="X51" s="289" t="s">
        <v>65</v>
      </c>
      <c r="Y51" s="289">
        <v>155000</v>
      </c>
      <c r="Z51" s="289" t="s">
        <v>83</v>
      </c>
      <c r="AA51" s="289">
        <v>3</v>
      </c>
      <c r="AB51" s="391" t="s">
        <v>190</v>
      </c>
      <c r="AC51" s="392">
        <v>2018</v>
      </c>
      <c r="AD51" s="392" t="s">
        <v>65</v>
      </c>
      <c r="AE51" s="392">
        <v>155000</v>
      </c>
      <c r="AF51" s="392" t="s">
        <v>83</v>
      </c>
      <c r="AG51" s="393">
        <v>6</v>
      </c>
      <c r="AH51" s="290" t="s">
        <v>94</v>
      </c>
      <c r="AI51" s="290">
        <v>2017</v>
      </c>
      <c r="AJ51" s="290" t="s">
        <v>65</v>
      </c>
      <c r="AK51" s="290">
        <v>13870</v>
      </c>
      <c r="AL51" s="290" t="s">
        <v>66</v>
      </c>
      <c r="AM51" s="290">
        <v>39</v>
      </c>
      <c r="AN51" s="394" t="s">
        <v>189</v>
      </c>
      <c r="AO51" s="395">
        <v>2016</v>
      </c>
      <c r="AP51" s="395" t="s">
        <v>65</v>
      </c>
      <c r="AQ51" s="395">
        <v>10361</v>
      </c>
      <c r="AR51" s="395" t="s">
        <v>66</v>
      </c>
      <c r="AS51" s="396">
        <v>15</v>
      </c>
      <c r="AT51" s="397" t="s">
        <v>189</v>
      </c>
      <c r="AU51" s="398">
        <v>2015</v>
      </c>
      <c r="AV51" s="398" t="s">
        <v>65</v>
      </c>
      <c r="AW51" s="398">
        <v>10361</v>
      </c>
      <c r="AX51" s="398" t="s">
        <v>66</v>
      </c>
      <c r="AY51" s="399">
        <v>9</v>
      </c>
      <c r="AZ51" s="400" t="s">
        <v>193</v>
      </c>
      <c r="BA51" s="401">
        <v>2014</v>
      </c>
      <c r="BB51" s="401" t="s">
        <v>65</v>
      </c>
      <c r="BC51" s="401">
        <v>8598</v>
      </c>
      <c r="BD51" s="401" t="s">
        <v>66</v>
      </c>
      <c r="BE51" s="402">
        <v>8</v>
      </c>
    </row>
    <row r="52" spans="1:57" x14ac:dyDescent="0.3">
      <c r="A52" s="350" t="s">
        <v>147</v>
      </c>
      <c r="B52" s="350" t="s">
        <v>82</v>
      </c>
      <c r="C52" s="350">
        <v>2018</v>
      </c>
      <c r="D52" s="350" t="s">
        <v>65</v>
      </c>
      <c r="E52" s="350">
        <v>155000</v>
      </c>
      <c r="F52" s="353" t="s">
        <v>83</v>
      </c>
      <c r="G52" s="353">
        <v>58</v>
      </c>
      <c r="I52" s="382" t="s">
        <v>147</v>
      </c>
      <c r="J52" s="383" t="s">
        <v>94</v>
      </c>
      <c r="K52" s="383">
        <v>2021</v>
      </c>
      <c r="L52" s="383" t="s">
        <v>65</v>
      </c>
      <c r="M52" s="383">
        <v>13870</v>
      </c>
      <c r="N52" s="383" t="s">
        <v>66</v>
      </c>
      <c r="O52" s="384">
        <v>68</v>
      </c>
      <c r="P52" s="387" t="s">
        <v>95</v>
      </c>
      <c r="Q52" s="388">
        <v>2020</v>
      </c>
      <c r="R52" s="388" t="s">
        <v>65</v>
      </c>
      <c r="S52" s="388">
        <v>13870</v>
      </c>
      <c r="T52" s="388" t="s">
        <v>66</v>
      </c>
      <c r="U52" s="389">
        <v>20</v>
      </c>
      <c r="V52" s="289" t="s">
        <v>96</v>
      </c>
      <c r="W52" s="289">
        <v>2019</v>
      </c>
      <c r="X52" s="289" t="s">
        <v>65</v>
      </c>
      <c r="Y52" s="289">
        <v>4600</v>
      </c>
      <c r="Z52" s="289" t="s">
        <v>66</v>
      </c>
      <c r="AA52" s="289">
        <v>4</v>
      </c>
      <c r="AB52" s="391" t="s">
        <v>96</v>
      </c>
      <c r="AC52" s="392">
        <v>2018</v>
      </c>
      <c r="AD52" s="392" t="s">
        <v>65</v>
      </c>
      <c r="AE52" s="392">
        <v>4600</v>
      </c>
      <c r="AF52" s="392" t="s">
        <v>66</v>
      </c>
      <c r="AG52" s="393">
        <v>26</v>
      </c>
      <c r="AH52" s="290" t="s">
        <v>189</v>
      </c>
      <c r="AI52" s="290">
        <v>2017</v>
      </c>
      <c r="AJ52" s="290" t="s">
        <v>65</v>
      </c>
      <c r="AK52" s="290">
        <v>10361</v>
      </c>
      <c r="AL52" s="290" t="s">
        <v>66</v>
      </c>
      <c r="AM52" s="290">
        <v>24</v>
      </c>
      <c r="AN52" s="394" t="s">
        <v>95</v>
      </c>
      <c r="AO52" s="395">
        <v>2016</v>
      </c>
      <c r="AP52" s="395" t="s">
        <v>65</v>
      </c>
      <c r="AQ52" s="395">
        <v>13870</v>
      </c>
      <c r="AR52" s="395" t="s">
        <v>66</v>
      </c>
      <c r="AS52" s="396">
        <v>2</v>
      </c>
      <c r="AT52" s="397" t="s">
        <v>190</v>
      </c>
      <c r="AU52" s="398">
        <v>2015</v>
      </c>
      <c r="AV52" s="398" t="s">
        <v>65</v>
      </c>
      <c r="AW52" s="398">
        <v>155000</v>
      </c>
      <c r="AX52" s="398" t="s">
        <v>83</v>
      </c>
      <c r="AY52" s="399">
        <v>1</v>
      </c>
      <c r="AZ52" s="400" t="s">
        <v>102</v>
      </c>
      <c r="BA52" s="401">
        <v>2014</v>
      </c>
      <c r="BB52" s="401" t="s">
        <v>65</v>
      </c>
      <c r="BC52" s="401">
        <v>9850</v>
      </c>
      <c r="BD52" s="401" t="s">
        <v>66</v>
      </c>
      <c r="BE52" s="402">
        <v>5</v>
      </c>
    </row>
    <row r="53" spans="1:57" x14ac:dyDescent="0.3">
      <c r="A53" s="350" t="s">
        <v>147</v>
      </c>
      <c r="B53" s="350" t="s">
        <v>82</v>
      </c>
      <c r="C53" s="350">
        <v>2017</v>
      </c>
      <c r="D53" s="350" t="s">
        <v>65</v>
      </c>
      <c r="E53" s="350">
        <v>155000</v>
      </c>
      <c r="F53" s="353" t="s">
        <v>83</v>
      </c>
      <c r="G53" s="353">
        <v>60</v>
      </c>
      <c r="I53" s="382" t="s">
        <v>147</v>
      </c>
      <c r="J53" s="383" t="s">
        <v>189</v>
      </c>
      <c r="K53" s="383">
        <v>2021</v>
      </c>
      <c r="L53" s="383" t="s">
        <v>65</v>
      </c>
      <c r="M53" s="383">
        <v>10361</v>
      </c>
      <c r="N53" s="383" t="s">
        <v>66</v>
      </c>
      <c r="O53" s="384">
        <v>43</v>
      </c>
      <c r="P53" s="387" t="s">
        <v>190</v>
      </c>
      <c r="Q53" s="388">
        <v>2020</v>
      </c>
      <c r="R53" s="388" t="s">
        <v>65</v>
      </c>
      <c r="S53" s="388">
        <v>155000</v>
      </c>
      <c r="T53" s="388" t="s">
        <v>83</v>
      </c>
      <c r="U53" s="389">
        <v>4</v>
      </c>
      <c r="V53" s="289" t="s">
        <v>192</v>
      </c>
      <c r="W53" s="289">
        <v>2019</v>
      </c>
      <c r="X53" s="289" t="s">
        <v>65</v>
      </c>
      <c r="Y53" s="289">
        <v>4850</v>
      </c>
      <c r="Z53" s="289" t="s">
        <v>66</v>
      </c>
      <c r="AA53" s="289">
        <v>3</v>
      </c>
      <c r="AB53" s="391" t="s">
        <v>192</v>
      </c>
      <c r="AC53" s="392">
        <v>2018</v>
      </c>
      <c r="AD53" s="392" t="s">
        <v>65</v>
      </c>
      <c r="AE53" s="392">
        <v>4850</v>
      </c>
      <c r="AF53" s="392" t="s">
        <v>66</v>
      </c>
      <c r="AG53" s="393">
        <v>1</v>
      </c>
      <c r="AH53" s="290" t="s">
        <v>95</v>
      </c>
      <c r="AI53" s="290">
        <v>2017</v>
      </c>
      <c r="AJ53" s="290" t="s">
        <v>65</v>
      </c>
      <c r="AK53" s="290">
        <v>13870</v>
      </c>
      <c r="AL53" s="290" t="s">
        <v>66</v>
      </c>
      <c r="AM53" s="290">
        <v>16</v>
      </c>
      <c r="AN53" s="394" t="s">
        <v>190</v>
      </c>
      <c r="AO53" s="395">
        <v>2016</v>
      </c>
      <c r="AP53" s="395" t="s">
        <v>65</v>
      </c>
      <c r="AQ53" s="395">
        <v>155000</v>
      </c>
      <c r="AR53" s="395" t="s">
        <v>83</v>
      </c>
      <c r="AS53" s="396">
        <v>8</v>
      </c>
      <c r="AT53" s="397" t="s">
        <v>96</v>
      </c>
      <c r="AU53" s="398">
        <v>2015</v>
      </c>
      <c r="AV53" s="398" t="s">
        <v>65</v>
      </c>
      <c r="AW53" s="398">
        <v>4600</v>
      </c>
      <c r="AX53" s="398" t="s">
        <v>66</v>
      </c>
      <c r="AY53" s="399">
        <v>37</v>
      </c>
      <c r="AZ53" s="400" t="s">
        <v>194</v>
      </c>
      <c r="BA53" s="401">
        <v>2014</v>
      </c>
      <c r="BB53" s="401" t="s">
        <v>65</v>
      </c>
      <c r="BC53" s="401">
        <v>9502</v>
      </c>
      <c r="BD53" s="401" t="s">
        <v>66</v>
      </c>
      <c r="BE53" s="402">
        <v>4</v>
      </c>
    </row>
    <row r="54" spans="1:57" x14ac:dyDescent="0.3">
      <c r="A54" s="350" t="s">
        <v>147</v>
      </c>
      <c r="B54" s="350" t="s">
        <v>82</v>
      </c>
      <c r="C54" s="350">
        <v>2016</v>
      </c>
      <c r="D54" s="350" t="s">
        <v>65</v>
      </c>
      <c r="E54" s="350">
        <v>155000</v>
      </c>
      <c r="F54" s="353" t="s">
        <v>83</v>
      </c>
      <c r="G54" s="353">
        <v>57</v>
      </c>
      <c r="I54" s="382" t="s">
        <v>147</v>
      </c>
      <c r="J54" s="383" t="s">
        <v>95</v>
      </c>
      <c r="K54" s="383">
        <v>2021</v>
      </c>
      <c r="L54" s="383" t="s">
        <v>65</v>
      </c>
      <c r="M54" s="383">
        <v>13870</v>
      </c>
      <c r="N54" s="383" t="s">
        <v>66</v>
      </c>
      <c r="O54" s="384">
        <v>34</v>
      </c>
      <c r="P54" s="387" t="s">
        <v>96</v>
      </c>
      <c r="Q54" s="388">
        <v>2020</v>
      </c>
      <c r="R54" s="388" t="s">
        <v>65</v>
      </c>
      <c r="S54" s="388">
        <v>4600</v>
      </c>
      <c r="T54" s="388" t="s">
        <v>66</v>
      </c>
      <c r="U54" s="389">
        <v>7</v>
      </c>
      <c r="V54" s="289" t="s">
        <v>97</v>
      </c>
      <c r="W54" s="289">
        <v>2019</v>
      </c>
      <c r="X54" s="289" t="s">
        <v>65</v>
      </c>
      <c r="Y54" s="289">
        <v>5974</v>
      </c>
      <c r="Z54" s="289" t="s">
        <v>66</v>
      </c>
      <c r="AA54" s="289">
        <v>24</v>
      </c>
      <c r="AB54" s="391" t="s">
        <v>97</v>
      </c>
      <c r="AC54" s="392">
        <v>2018</v>
      </c>
      <c r="AD54" s="392" t="s">
        <v>65</v>
      </c>
      <c r="AE54" s="392">
        <v>5974</v>
      </c>
      <c r="AF54" s="392" t="s">
        <v>66</v>
      </c>
      <c r="AG54" s="393">
        <v>12</v>
      </c>
      <c r="AH54" s="290" t="s">
        <v>190</v>
      </c>
      <c r="AI54" s="290">
        <v>2017</v>
      </c>
      <c r="AJ54" s="290" t="s">
        <v>65</v>
      </c>
      <c r="AK54" s="290">
        <v>155000</v>
      </c>
      <c r="AL54" s="290" t="s">
        <v>83</v>
      </c>
      <c r="AM54" s="290">
        <v>7</v>
      </c>
      <c r="AN54" s="394" t="s">
        <v>96</v>
      </c>
      <c r="AO54" s="395">
        <v>2016</v>
      </c>
      <c r="AP54" s="395" t="s">
        <v>65</v>
      </c>
      <c r="AQ54" s="395">
        <v>4600</v>
      </c>
      <c r="AR54" s="395" t="s">
        <v>66</v>
      </c>
      <c r="AS54" s="396">
        <v>27</v>
      </c>
      <c r="AT54" s="397" t="s">
        <v>192</v>
      </c>
      <c r="AU54" s="398">
        <v>2015</v>
      </c>
      <c r="AV54" s="398" t="s">
        <v>65</v>
      </c>
      <c r="AW54" s="398">
        <v>4850</v>
      </c>
      <c r="AX54" s="398" t="s">
        <v>66</v>
      </c>
      <c r="AY54" s="399">
        <v>1</v>
      </c>
      <c r="AZ54" s="400" t="s">
        <v>195</v>
      </c>
      <c r="BA54" s="401">
        <v>2014</v>
      </c>
      <c r="BB54" s="401" t="s">
        <v>65</v>
      </c>
      <c r="BC54" s="401">
        <v>13227</v>
      </c>
      <c r="BD54" s="401" t="s">
        <v>66</v>
      </c>
      <c r="BE54" s="402">
        <v>7</v>
      </c>
    </row>
    <row r="55" spans="1:57" x14ac:dyDescent="0.3">
      <c r="A55" s="350" t="s">
        <v>147</v>
      </c>
      <c r="B55" s="350" t="s">
        <v>82</v>
      </c>
      <c r="C55" s="350">
        <v>2015</v>
      </c>
      <c r="D55" s="350" t="s">
        <v>65</v>
      </c>
      <c r="E55" s="350">
        <v>155000</v>
      </c>
      <c r="F55" s="353" t="s">
        <v>83</v>
      </c>
      <c r="G55" s="353">
        <v>75</v>
      </c>
      <c r="I55" s="382" t="s">
        <v>147</v>
      </c>
      <c r="J55" s="383" t="s">
        <v>190</v>
      </c>
      <c r="K55" s="383">
        <v>2021</v>
      </c>
      <c r="L55" s="383" t="s">
        <v>65</v>
      </c>
      <c r="M55" s="383">
        <v>155000</v>
      </c>
      <c r="N55" s="383" t="s">
        <v>83</v>
      </c>
      <c r="O55" s="384">
        <v>1</v>
      </c>
      <c r="P55" s="387" t="s">
        <v>191</v>
      </c>
      <c r="Q55" s="388">
        <v>2020</v>
      </c>
      <c r="R55" s="388" t="s">
        <v>65</v>
      </c>
      <c r="S55" s="388">
        <v>5990</v>
      </c>
      <c r="T55" s="388" t="s">
        <v>66</v>
      </c>
      <c r="U55" s="389">
        <v>8</v>
      </c>
      <c r="V55" s="289" t="s">
        <v>98</v>
      </c>
      <c r="W55" s="289">
        <v>2019</v>
      </c>
      <c r="X55" s="289" t="s">
        <v>65</v>
      </c>
      <c r="Y55" s="289">
        <v>6850</v>
      </c>
      <c r="Z55" s="289" t="s">
        <v>66</v>
      </c>
      <c r="AA55" s="289">
        <v>3</v>
      </c>
      <c r="AB55" s="391" t="s">
        <v>98</v>
      </c>
      <c r="AC55" s="392">
        <v>2018</v>
      </c>
      <c r="AD55" s="392" t="s">
        <v>65</v>
      </c>
      <c r="AE55" s="392">
        <v>6850</v>
      </c>
      <c r="AF55" s="392" t="s">
        <v>66</v>
      </c>
      <c r="AG55" s="393">
        <v>3</v>
      </c>
      <c r="AH55" s="290" t="s">
        <v>96</v>
      </c>
      <c r="AI55" s="290">
        <v>2017</v>
      </c>
      <c r="AJ55" s="290" t="s">
        <v>65</v>
      </c>
      <c r="AK55" s="290">
        <v>4600</v>
      </c>
      <c r="AL55" s="290" t="s">
        <v>66</v>
      </c>
      <c r="AM55" s="290">
        <v>21</v>
      </c>
      <c r="AN55" s="394" t="s">
        <v>192</v>
      </c>
      <c r="AO55" s="395">
        <v>2016</v>
      </c>
      <c r="AP55" s="395" t="s">
        <v>65</v>
      </c>
      <c r="AQ55" s="395">
        <v>4850</v>
      </c>
      <c r="AR55" s="395" t="s">
        <v>66</v>
      </c>
      <c r="AS55" s="396">
        <v>6</v>
      </c>
      <c r="AT55" s="397" t="s">
        <v>97</v>
      </c>
      <c r="AU55" s="398">
        <v>2015</v>
      </c>
      <c r="AV55" s="398" t="s">
        <v>65</v>
      </c>
      <c r="AW55" s="398">
        <v>5974</v>
      </c>
      <c r="AX55" s="398" t="s">
        <v>66</v>
      </c>
      <c r="AY55" s="399">
        <v>18</v>
      </c>
      <c r="AZ55" s="400" t="s">
        <v>196</v>
      </c>
      <c r="BA55" s="401">
        <v>2014</v>
      </c>
      <c r="BB55" s="401" t="s">
        <v>65</v>
      </c>
      <c r="BC55" s="401">
        <v>7716</v>
      </c>
      <c r="BD55" s="401" t="s">
        <v>66</v>
      </c>
      <c r="BE55" s="402">
        <v>24</v>
      </c>
    </row>
    <row r="56" spans="1:57" x14ac:dyDescent="0.3">
      <c r="A56" s="350" t="s">
        <v>147</v>
      </c>
      <c r="B56" s="350" t="s">
        <v>82</v>
      </c>
      <c r="C56" s="350">
        <v>2014</v>
      </c>
      <c r="D56" s="350" t="s">
        <v>65</v>
      </c>
      <c r="E56" s="350">
        <v>155000</v>
      </c>
      <c r="F56" s="353" t="s">
        <v>83</v>
      </c>
      <c r="G56" s="353">
        <v>41</v>
      </c>
      <c r="I56" s="382" t="s">
        <v>147</v>
      </c>
      <c r="J56" s="383" t="s">
        <v>96</v>
      </c>
      <c r="K56" s="383">
        <v>2021</v>
      </c>
      <c r="L56" s="383" t="s">
        <v>65</v>
      </c>
      <c r="M56" s="383">
        <v>4600</v>
      </c>
      <c r="N56" s="383" t="s">
        <v>66</v>
      </c>
      <c r="O56" s="384">
        <v>18</v>
      </c>
      <c r="P56" s="387" t="s">
        <v>192</v>
      </c>
      <c r="Q56" s="388">
        <v>2020</v>
      </c>
      <c r="R56" s="388" t="s">
        <v>65</v>
      </c>
      <c r="S56" s="388">
        <v>4850</v>
      </c>
      <c r="T56" s="388" t="s">
        <v>66</v>
      </c>
      <c r="U56" s="389">
        <v>2</v>
      </c>
      <c r="V56" s="289" t="s">
        <v>99</v>
      </c>
      <c r="W56" s="289">
        <v>2019</v>
      </c>
      <c r="X56" s="289" t="s">
        <v>65</v>
      </c>
      <c r="Y56" s="289">
        <v>8400</v>
      </c>
      <c r="Z56" s="289" t="s">
        <v>66</v>
      </c>
      <c r="AA56" s="289">
        <v>14</v>
      </c>
      <c r="AB56" s="391" t="s">
        <v>99</v>
      </c>
      <c r="AC56" s="392">
        <v>2018</v>
      </c>
      <c r="AD56" s="392" t="s">
        <v>65</v>
      </c>
      <c r="AE56" s="392">
        <v>8400</v>
      </c>
      <c r="AF56" s="392" t="s">
        <v>66</v>
      </c>
      <c r="AG56" s="393">
        <v>1</v>
      </c>
      <c r="AH56" s="290" t="s">
        <v>192</v>
      </c>
      <c r="AI56" s="290">
        <v>2017</v>
      </c>
      <c r="AJ56" s="290" t="s">
        <v>65</v>
      </c>
      <c r="AK56" s="290">
        <v>4850</v>
      </c>
      <c r="AL56" s="290" t="s">
        <v>66</v>
      </c>
      <c r="AM56" s="290">
        <v>1</v>
      </c>
      <c r="AN56" s="394" t="s">
        <v>97</v>
      </c>
      <c r="AO56" s="395">
        <v>2016</v>
      </c>
      <c r="AP56" s="395" t="s">
        <v>65</v>
      </c>
      <c r="AQ56" s="395">
        <v>5974</v>
      </c>
      <c r="AR56" s="395" t="s">
        <v>66</v>
      </c>
      <c r="AS56" s="396">
        <v>16</v>
      </c>
      <c r="AT56" s="397" t="s">
        <v>98</v>
      </c>
      <c r="AU56" s="398">
        <v>2015</v>
      </c>
      <c r="AV56" s="398" t="s">
        <v>65</v>
      </c>
      <c r="AW56" s="398">
        <v>6850</v>
      </c>
      <c r="AX56" s="398" t="s">
        <v>66</v>
      </c>
      <c r="AY56" s="399">
        <v>1</v>
      </c>
      <c r="AZ56" s="400" t="s">
        <v>103</v>
      </c>
      <c r="BA56" s="401">
        <v>2014</v>
      </c>
      <c r="BB56" s="401" t="s">
        <v>65</v>
      </c>
      <c r="BC56" s="401">
        <v>10700</v>
      </c>
      <c r="BD56" s="401" t="s">
        <v>66</v>
      </c>
      <c r="BE56" s="402">
        <v>90</v>
      </c>
    </row>
    <row r="57" spans="1:57" x14ac:dyDescent="0.3">
      <c r="A57" s="350" t="s">
        <v>147</v>
      </c>
      <c r="B57" s="350" t="s">
        <v>190</v>
      </c>
      <c r="C57" s="350">
        <v>2021</v>
      </c>
      <c r="D57" s="350" t="s">
        <v>65</v>
      </c>
      <c r="E57" s="350">
        <v>155000</v>
      </c>
      <c r="F57" s="353" t="s">
        <v>83</v>
      </c>
      <c r="G57" s="353">
        <v>1</v>
      </c>
      <c r="I57" s="382" t="s">
        <v>147</v>
      </c>
      <c r="J57" s="383" t="s">
        <v>191</v>
      </c>
      <c r="K57" s="383">
        <v>2021</v>
      </c>
      <c r="L57" s="383" t="s">
        <v>65</v>
      </c>
      <c r="M57" s="383">
        <v>5990</v>
      </c>
      <c r="N57" s="383" t="s">
        <v>66</v>
      </c>
      <c r="O57" s="384">
        <v>1</v>
      </c>
      <c r="P57" s="387" t="s">
        <v>97</v>
      </c>
      <c r="Q57" s="388">
        <v>2020</v>
      </c>
      <c r="R57" s="388" t="s">
        <v>65</v>
      </c>
      <c r="S57" s="388">
        <v>5974</v>
      </c>
      <c r="T57" s="388" t="s">
        <v>66</v>
      </c>
      <c r="U57" s="389">
        <v>12</v>
      </c>
      <c r="V57" s="289" t="s">
        <v>100</v>
      </c>
      <c r="W57" s="289">
        <v>2019</v>
      </c>
      <c r="X57" s="289" t="s">
        <v>65</v>
      </c>
      <c r="Y57" s="289">
        <v>6750</v>
      </c>
      <c r="Z57" s="289" t="s">
        <v>66</v>
      </c>
      <c r="AA57" s="289">
        <v>4</v>
      </c>
      <c r="AB57" s="391" t="s">
        <v>100</v>
      </c>
      <c r="AC57" s="392">
        <v>2018</v>
      </c>
      <c r="AD57" s="392" t="s">
        <v>65</v>
      </c>
      <c r="AE57" s="392">
        <v>6750</v>
      </c>
      <c r="AF57" s="392" t="s">
        <v>66</v>
      </c>
      <c r="AG57" s="393">
        <v>16</v>
      </c>
      <c r="AH57" s="290" t="s">
        <v>97</v>
      </c>
      <c r="AI57" s="290">
        <v>2017</v>
      </c>
      <c r="AJ57" s="290" t="s">
        <v>65</v>
      </c>
      <c r="AK57" s="290">
        <v>5974</v>
      </c>
      <c r="AL57" s="290" t="s">
        <v>66</v>
      </c>
      <c r="AM57" s="290">
        <v>19</v>
      </c>
      <c r="AN57" s="394" t="s">
        <v>98</v>
      </c>
      <c r="AO57" s="395">
        <v>2016</v>
      </c>
      <c r="AP57" s="395" t="s">
        <v>65</v>
      </c>
      <c r="AQ57" s="395">
        <v>6850</v>
      </c>
      <c r="AR57" s="395" t="s">
        <v>66</v>
      </c>
      <c r="AS57" s="396">
        <v>3</v>
      </c>
      <c r="AT57" s="397" t="s">
        <v>100</v>
      </c>
      <c r="AU57" s="398">
        <v>2015</v>
      </c>
      <c r="AV57" s="398" t="s">
        <v>65</v>
      </c>
      <c r="AW57" s="398">
        <v>6750</v>
      </c>
      <c r="AX57" s="398" t="s">
        <v>66</v>
      </c>
      <c r="AY57" s="399">
        <v>16</v>
      </c>
      <c r="AZ57" s="400" t="s">
        <v>104</v>
      </c>
      <c r="BA57" s="401">
        <v>2014</v>
      </c>
      <c r="BB57" s="401" t="s">
        <v>65</v>
      </c>
      <c r="BC57" s="401">
        <v>14800</v>
      </c>
      <c r="BD57" s="401" t="s">
        <v>66</v>
      </c>
      <c r="BE57" s="402">
        <v>39</v>
      </c>
    </row>
    <row r="58" spans="1:57" x14ac:dyDescent="0.3">
      <c r="A58" s="350" t="s">
        <v>147</v>
      </c>
      <c r="B58" s="350" t="s">
        <v>190</v>
      </c>
      <c r="C58" s="350">
        <v>2020</v>
      </c>
      <c r="D58" s="350" t="s">
        <v>65</v>
      </c>
      <c r="E58" s="350">
        <v>155000</v>
      </c>
      <c r="F58" s="353" t="s">
        <v>83</v>
      </c>
      <c r="G58" s="353">
        <v>4</v>
      </c>
      <c r="I58" s="382" t="s">
        <v>147</v>
      </c>
      <c r="J58" s="383" t="s">
        <v>192</v>
      </c>
      <c r="K58" s="383">
        <v>2021</v>
      </c>
      <c r="L58" s="383" t="s">
        <v>65</v>
      </c>
      <c r="M58" s="383">
        <v>4850</v>
      </c>
      <c r="N58" s="383" t="s">
        <v>66</v>
      </c>
      <c r="O58" s="384">
        <v>1</v>
      </c>
      <c r="P58" s="387" t="s">
        <v>99</v>
      </c>
      <c r="Q58" s="388">
        <v>2020</v>
      </c>
      <c r="R58" s="388" t="s">
        <v>65</v>
      </c>
      <c r="S58" s="388">
        <v>8400</v>
      </c>
      <c r="T58" s="388" t="s">
        <v>66</v>
      </c>
      <c r="U58" s="389">
        <v>6</v>
      </c>
      <c r="V58" s="289" t="s">
        <v>101</v>
      </c>
      <c r="W58" s="289">
        <v>2019</v>
      </c>
      <c r="X58" s="289" t="s">
        <v>65</v>
      </c>
      <c r="Y58" s="289">
        <v>7450</v>
      </c>
      <c r="Z58" s="289" t="s">
        <v>66</v>
      </c>
      <c r="AA58" s="289">
        <v>15</v>
      </c>
      <c r="AB58" s="391" t="s">
        <v>101</v>
      </c>
      <c r="AC58" s="392">
        <v>2018</v>
      </c>
      <c r="AD58" s="392" t="s">
        <v>65</v>
      </c>
      <c r="AE58" s="392">
        <v>7450</v>
      </c>
      <c r="AF58" s="392" t="s">
        <v>66</v>
      </c>
      <c r="AG58" s="393">
        <v>15</v>
      </c>
      <c r="AH58" s="290" t="s">
        <v>98</v>
      </c>
      <c r="AI58" s="290">
        <v>2017</v>
      </c>
      <c r="AJ58" s="290" t="s">
        <v>65</v>
      </c>
      <c r="AK58" s="290">
        <v>6850</v>
      </c>
      <c r="AL58" s="290" t="s">
        <v>66</v>
      </c>
      <c r="AM58" s="290">
        <v>1</v>
      </c>
      <c r="AN58" s="394" t="s">
        <v>100</v>
      </c>
      <c r="AO58" s="395">
        <v>2016</v>
      </c>
      <c r="AP58" s="395" t="s">
        <v>65</v>
      </c>
      <c r="AQ58" s="395">
        <v>6750</v>
      </c>
      <c r="AR58" s="395" t="s">
        <v>66</v>
      </c>
      <c r="AS58" s="396">
        <v>17</v>
      </c>
      <c r="AT58" s="397" t="s">
        <v>101</v>
      </c>
      <c r="AU58" s="398">
        <v>2015</v>
      </c>
      <c r="AV58" s="398" t="s">
        <v>65</v>
      </c>
      <c r="AW58" s="398">
        <v>7450</v>
      </c>
      <c r="AX58" s="398" t="s">
        <v>66</v>
      </c>
      <c r="AY58" s="399">
        <v>17</v>
      </c>
      <c r="AZ58" s="400" t="s">
        <v>105</v>
      </c>
      <c r="BA58" s="401">
        <v>2014</v>
      </c>
      <c r="BB58" s="401" t="s">
        <v>65</v>
      </c>
      <c r="BC58" s="401">
        <v>16300</v>
      </c>
      <c r="BD58" s="401" t="s">
        <v>66</v>
      </c>
      <c r="BE58" s="402">
        <v>53</v>
      </c>
    </row>
    <row r="59" spans="1:57" x14ac:dyDescent="0.3">
      <c r="A59" s="350" t="s">
        <v>147</v>
      </c>
      <c r="B59" s="350" t="s">
        <v>190</v>
      </c>
      <c r="C59" s="350">
        <v>2019</v>
      </c>
      <c r="D59" s="350" t="s">
        <v>65</v>
      </c>
      <c r="E59" s="350">
        <v>155000</v>
      </c>
      <c r="F59" s="353" t="s">
        <v>83</v>
      </c>
      <c r="G59" s="353">
        <v>3</v>
      </c>
      <c r="I59" s="382" t="s">
        <v>147</v>
      </c>
      <c r="J59" s="383" t="s">
        <v>97</v>
      </c>
      <c r="K59" s="383">
        <v>2021</v>
      </c>
      <c r="L59" s="383" t="s">
        <v>65</v>
      </c>
      <c r="M59" s="383">
        <v>5974</v>
      </c>
      <c r="N59" s="383" t="s">
        <v>66</v>
      </c>
      <c r="O59" s="384">
        <v>16</v>
      </c>
      <c r="P59" s="387" t="s">
        <v>100</v>
      </c>
      <c r="Q59" s="388">
        <v>2020</v>
      </c>
      <c r="R59" s="388" t="s">
        <v>65</v>
      </c>
      <c r="S59" s="388">
        <v>6750</v>
      </c>
      <c r="T59" s="388" t="s">
        <v>66</v>
      </c>
      <c r="U59" s="389">
        <v>26</v>
      </c>
      <c r="V59" s="289" t="s">
        <v>193</v>
      </c>
      <c r="W59" s="289">
        <v>2019</v>
      </c>
      <c r="X59" s="289" t="s">
        <v>65</v>
      </c>
      <c r="Y59" s="289">
        <v>8598</v>
      </c>
      <c r="Z59" s="289" t="s">
        <v>66</v>
      </c>
      <c r="AA59" s="289">
        <v>14</v>
      </c>
      <c r="AB59" s="391" t="s">
        <v>193</v>
      </c>
      <c r="AC59" s="392">
        <v>2018</v>
      </c>
      <c r="AD59" s="392" t="s">
        <v>65</v>
      </c>
      <c r="AE59" s="392">
        <v>8598</v>
      </c>
      <c r="AF59" s="392" t="s">
        <v>66</v>
      </c>
      <c r="AG59" s="393">
        <v>19</v>
      </c>
      <c r="AH59" s="290" t="s">
        <v>99</v>
      </c>
      <c r="AI59" s="290">
        <v>2017</v>
      </c>
      <c r="AJ59" s="290" t="s">
        <v>65</v>
      </c>
      <c r="AK59" s="290">
        <v>8400</v>
      </c>
      <c r="AL59" s="290" t="s">
        <v>66</v>
      </c>
      <c r="AM59" s="290">
        <v>1</v>
      </c>
      <c r="AN59" s="394" t="s">
        <v>101</v>
      </c>
      <c r="AO59" s="395">
        <v>2016</v>
      </c>
      <c r="AP59" s="395" t="s">
        <v>65</v>
      </c>
      <c r="AQ59" s="395">
        <v>7450</v>
      </c>
      <c r="AR59" s="395" t="s">
        <v>66</v>
      </c>
      <c r="AS59" s="396">
        <v>10</v>
      </c>
      <c r="AT59" s="397" t="s">
        <v>193</v>
      </c>
      <c r="AU59" s="398">
        <v>2015</v>
      </c>
      <c r="AV59" s="398" t="s">
        <v>65</v>
      </c>
      <c r="AW59" s="398">
        <v>8598</v>
      </c>
      <c r="AX59" s="398" t="s">
        <v>66</v>
      </c>
      <c r="AY59" s="399">
        <v>37</v>
      </c>
      <c r="AZ59" s="400" t="s">
        <v>106</v>
      </c>
      <c r="BA59" s="401">
        <v>2014</v>
      </c>
      <c r="BB59" s="401" t="s">
        <v>65</v>
      </c>
      <c r="BC59" s="401">
        <v>15000</v>
      </c>
      <c r="BD59" s="401" t="s">
        <v>66</v>
      </c>
      <c r="BE59" s="402">
        <v>57</v>
      </c>
    </row>
    <row r="60" spans="1:57" x14ac:dyDescent="0.3">
      <c r="A60" s="350" t="s">
        <v>147</v>
      </c>
      <c r="B60" s="350" t="s">
        <v>190</v>
      </c>
      <c r="C60" s="350">
        <v>2018</v>
      </c>
      <c r="D60" s="350" t="s">
        <v>65</v>
      </c>
      <c r="E60" s="350">
        <v>155000</v>
      </c>
      <c r="F60" s="353" t="s">
        <v>83</v>
      </c>
      <c r="G60" s="353">
        <v>6</v>
      </c>
      <c r="I60" s="382" t="s">
        <v>147</v>
      </c>
      <c r="J60" s="383" t="s">
        <v>100</v>
      </c>
      <c r="K60" s="383">
        <v>2021</v>
      </c>
      <c r="L60" s="383" t="s">
        <v>65</v>
      </c>
      <c r="M60" s="383">
        <v>6750</v>
      </c>
      <c r="N60" s="383" t="s">
        <v>66</v>
      </c>
      <c r="O60" s="384">
        <v>10</v>
      </c>
      <c r="P60" s="387" t="s">
        <v>101</v>
      </c>
      <c r="Q60" s="388">
        <v>2020</v>
      </c>
      <c r="R60" s="388" t="s">
        <v>65</v>
      </c>
      <c r="S60" s="388">
        <v>7450</v>
      </c>
      <c r="T60" s="388" t="s">
        <v>66</v>
      </c>
      <c r="U60" s="389">
        <v>17</v>
      </c>
      <c r="V60" s="289" t="s">
        <v>102</v>
      </c>
      <c r="W60" s="289">
        <v>2019</v>
      </c>
      <c r="X60" s="289" t="s">
        <v>65</v>
      </c>
      <c r="Y60" s="289">
        <v>9850</v>
      </c>
      <c r="Z60" s="289" t="s">
        <v>66</v>
      </c>
      <c r="AA60" s="289">
        <v>31</v>
      </c>
      <c r="AB60" s="391" t="s">
        <v>102</v>
      </c>
      <c r="AC60" s="392">
        <v>2018</v>
      </c>
      <c r="AD60" s="392" t="s">
        <v>65</v>
      </c>
      <c r="AE60" s="392">
        <v>9850</v>
      </c>
      <c r="AF60" s="392" t="s">
        <v>66</v>
      </c>
      <c r="AG60" s="393">
        <v>20</v>
      </c>
      <c r="AH60" s="290" t="s">
        <v>100</v>
      </c>
      <c r="AI60" s="290">
        <v>2017</v>
      </c>
      <c r="AJ60" s="290" t="s">
        <v>65</v>
      </c>
      <c r="AK60" s="290">
        <v>6750</v>
      </c>
      <c r="AL60" s="290" t="s">
        <v>66</v>
      </c>
      <c r="AM60" s="290">
        <v>9</v>
      </c>
      <c r="AN60" s="394" t="s">
        <v>193</v>
      </c>
      <c r="AO60" s="395">
        <v>2016</v>
      </c>
      <c r="AP60" s="395" t="s">
        <v>65</v>
      </c>
      <c r="AQ60" s="395">
        <v>8598</v>
      </c>
      <c r="AR60" s="395" t="s">
        <v>66</v>
      </c>
      <c r="AS60" s="396">
        <v>27</v>
      </c>
      <c r="AT60" s="397" t="s">
        <v>102</v>
      </c>
      <c r="AU60" s="398">
        <v>2015</v>
      </c>
      <c r="AV60" s="398" t="s">
        <v>65</v>
      </c>
      <c r="AW60" s="398">
        <v>9850</v>
      </c>
      <c r="AX60" s="398" t="s">
        <v>66</v>
      </c>
      <c r="AY60" s="399">
        <v>10</v>
      </c>
      <c r="AZ60" s="400" t="s">
        <v>107</v>
      </c>
      <c r="BA60" s="401">
        <v>2014</v>
      </c>
      <c r="BB60" s="401" t="s">
        <v>65</v>
      </c>
      <c r="BC60" s="401">
        <v>22002</v>
      </c>
      <c r="BD60" s="401" t="s">
        <v>72</v>
      </c>
      <c r="BE60" s="402">
        <v>25</v>
      </c>
    </row>
    <row r="61" spans="1:57" x14ac:dyDescent="0.3">
      <c r="A61" s="350" t="s">
        <v>147</v>
      </c>
      <c r="B61" s="350" t="s">
        <v>190</v>
      </c>
      <c r="C61" s="350">
        <v>2017</v>
      </c>
      <c r="D61" s="350" t="s">
        <v>65</v>
      </c>
      <c r="E61" s="350">
        <v>155000</v>
      </c>
      <c r="F61" s="353" t="s">
        <v>83</v>
      </c>
      <c r="G61" s="353">
        <v>7</v>
      </c>
      <c r="I61" s="382" t="s">
        <v>147</v>
      </c>
      <c r="J61" s="383" t="s">
        <v>101</v>
      </c>
      <c r="K61" s="383">
        <v>2021</v>
      </c>
      <c r="L61" s="383" t="s">
        <v>65</v>
      </c>
      <c r="M61" s="383">
        <v>7450</v>
      </c>
      <c r="N61" s="383" t="s">
        <v>66</v>
      </c>
      <c r="O61" s="384">
        <v>22</v>
      </c>
      <c r="P61" s="387" t="s">
        <v>193</v>
      </c>
      <c r="Q61" s="388">
        <v>2020</v>
      </c>
      <c r="R61" s="388" t="s">
        <v>65</v>
      </c>
      <c r="S61" s="388">
        <v>8598</v>
      </c>
      <c r="T61" s="388" t="s">
        <v>66</v>
      </c>
      <c r="U61" s="389">
        <v>19</v>
      </c>
      <c r="V61" s="289" t="s">
        <v>195</v>
      </c>
      <c r="W61" s="289">
        <v>2019</v>
      </c>
      <c r="X61" s="289" t="s">
        <v>65</v>
      </c>
      <c r="Y61" s="289">
        <v>13227</v>
      </c>
      <c r="Z61" s="289" t="s">
        <v>66</v>
      </c>
      <c r="AA61" s="289">
        <v>7</v>
      </c>
      <c r="AB61" s="391" t="s">
        <v>194</v>
      </c>
      <c r="AC61" s="392">
        <v>2018</v>
      </c>
      <c r="AD61" s="392" t="s">
        <v>65</v>
      </c>
      <c r="AE61" s="392">
        <v>9502</v>
      </c>
      <c r="AF61" s="392" t="s">
        <v>66</v>
      </c>
      <c r="AG61" s="393">
        <v>1</v>
      </c>
      <c r="AH61" s="290" t="s">
        <v>101</v>
      </c>
      <c r="AI61" s="290">
        <v>2017</v>
      </c>
      <c r="AJ61" s="290" t="s">
        <v>65</v>
      </c>
      <c r="AK61" s="290">
        <v>7450</v>
      </c>
      <c r="AL61" s="290" t="s">
        <v>66</v>
      </c>
      <c r="AM61" s="290">
        <v>15</v>
      </c>
      <c r="AN61" s="394" t="s">
        <v>102</v>
      </c>
      <c r="AO61" s="395">
        <v>2016</v>
      </c>
      <c r="AP61" s="395" t="s">
        <v>65</v>
      </c>
      <c r="AQ61" s="395">
        <v>9850</v>
      </c>
      <c r="AR61" s="395" t="s">
        <v>66</v>
      </c>
      <c r="AS61" s="396">
        <v>19</v>
      </c>
      <c r="AT61" s="397" t="s">
        <v>194</v>
      </c>
      <c r="AU61" s="398">
        <v>2015</v>
      </c>
      <c r="AV61" s="398" t="s">
        <v>65</v>
      </c>
      <c r="AW61" s="398">
        <v>9502</v>
      </c>
      <c r="AX61" s="398" t="s">
        <v>66</v>
      </c>
      <c r="AY61" s="399">
        <v>3</v>
      </c>
      <c r="AZ61" s="400" t="s">
        <v>198</v>
      </c>
      <c r="BA61" s="401">
        <v>2014</v>
      </c>
      <c r="BB61" s="401" t="s">
        <v>65</v>
      </c>
      <c r="BC61" s="401">
        <v>30000</v>
      </c>
      <c r="BD61" s="401" t="s">
        <v>72</v>
      </c>
      <c r="BE61" s="402">
        <v>15</v>
      </c>
    </row>
    <row r="62" spans="1:57" x14ac:dyDescent="0.3">
      <c r="A62" s="350" t="s">
        <v>147</v>
      </c>
      <c r="B62" s="350" t="s">
        <v>190</v>
      </c>
      <c r="C62" s="350">
        <v>2016</v>
      </c>
      <c r="D62" s="350" t="s">
        <v>65</v>
      </c>
      <c r="E62" s="350">
        <v>155000</v>
      </c>
      <c r="F62" s="353" t="s">
        <v>83</v>
      </c>
      <c r="G62" s="353">
        <v>8</v>
      </c>
      <c r="I62" s="382" t="s">
        <v>147</v>
      </c>
      <c r="J62" s="383" t="s">
        <v>193</v>
      </c>
      <c r="K62" s="383">
        <v>2021</v>
      </c>
      <c r="L62" s="383" t="s">
        <v>65</v>
      </c>
      <c r="M62" s="383">
        <v>8598</v>
      </c>
      <c r="N62" s="383" t="s">
        <v>66</v>
      </c>
      <c r="O62" s="384">
        <v>12</v>
      </c>
      <c r="P62" s="387" t="s">
        <v>102</v>
      </c>
      <c r="Q62" s="388">
        <v>2020</v>
      </c>
      <c r="R62" s="388" t="s">
        <v>65</v>
      </c>
      <c r="S62" s="388">
        <v>9850</v>
      </c>
      <c r="T62" s="388" t="s">
        <v>66</v>
      </c>
      <c r="U62" s="389">
        <v>33</v>
      </c>
      <c r="V62" s="289" t="s">
        <v>196</v>
      </c>
      <c r="W62" s="289">
        <v>2019</v>
      </c>
      <c r="X62" s="289" t="s">
        <v>65</v>
      </c>
      <c r="Y62" s="289">
        <v>7716</v>
      </c>
      <c r="Z62" s="289" t="s">
        <v>66</v>
      </c>
      <c r="AA62" s="289">
        <v>37</v>
      </c>
      <c r="AB62" s="391" t="s">
        <v>195</v>
      </c>
      <c r="AC62" s="392">
        <v>2018</v>
      </c>
      <c r="AD62" s="392" t="s">
        <v>65</v>
      </c>
      <c r="AE62" s="392">
        <v>13227</v>
      </c>
      <c r="AF62" s="392" t="s">
        <v>66</v>
      </c>
      <c r="AG62" s="393">
        <v>8</v>
      </c>
      <c r="AH62" s="290" t="s">
        <v>193</v>
      </c>
      <c r="AI62" s="290">
        <v>2017</v>
      </c>
      <c r="AJ62" s="290" t="s">
        <v>65</v>
      </c>
      <c r="AK62" s="290">
        <v>8598</v>
      </c>
      <c r="AL62" s="290" t="s">
        <v>66</v>
      </c>
      <c r="AM62" s="290">
        <v>11</v>
      </c>
      <c r="AN62" s="394" t="s">
        <v>194</v>
      </c>
      <c r="AO62" s="395">
        <v>2016</v>
      </c>
      <c r="AP62" s="395" t="s">
        <v>65</v>
      </c>
      <c r="AQ62" s="395">
        <v>9502</v>
      </c>
      <c r="AR62" s="395" t="s">
        <v>66</v>
      </c>
      <c r="AS62" s="396">
        <v>12</v>
      </c>
      <c r="AT62" s="397" t="s">
        <v>195</v>
      </c>
      <c r="AU62" s="398">
        <v>2015</v>
      </c>
      <c r="AV62" s="398" t="s">
        <v>65</v>
      </c>
      <c r="AW62" s="398">
        <v>13227</v>
      </c>
      <c r="AX62" s="398" t="s">
        <v>66</v>
      </c>
      <c r="AY62" s="399">
        <v>12</v>
      </c>
      <c r="AZ62" s="400" t="s">
        <v>200</v>
      </c>
      <c r="BA62" s="401">
        <v>2014</v>
      </c>
      <c r="BB62" s="401" t="s">
        <v>65</v>
      </c>
      <c r="BC62" s="401">
        <v>35699</v>
      </c>
      <c r="BD62" s="401" t="s">
        <v>66</v>
      </c>
      <c r="BE62" s="402">
        <v>15</v>
      </c>
    </row>
    <row r="63" spans="1:57" x14ac:dyDescent="0.3">
      <c r="A63" s="350" t="s">
        <v>147</v>
      </c>
      <c r="B63" s="350" t="s">
        <v>190</v>
      </c>
      <c r="C63" s="350">
        <v>2015</v>
      </c>
      <c r="D63" s="350" t="s">
        <v>65</v>
      </c>
      <c r="E63" s="350">
        <v>155000</v>
      </c>
      <c r="F63" s="353" t="s">
        <v>83</v>
      </c>
      <c r="G63" s="353">
        <v>1</v>
      </c>
      <c r="I63" s="382" t="s">
        <v>147</v>
      </c>
      <c r="J63" s="383" t="s">
        <v>102</v>
      </c>
      <c r="K63" s="383">
        <v>2021</v>
      </c>
      <c r="L63" s="383" t="s">
        <v>65</v>
      </c>
      <c r="M63" s="383">
        <v>9850</v>
      </c>
      <c r="N63" s="383" t="s">
        <v>66</v>
      </c>
      <c r="O63" s="384">
        <v>33</v>
      </c>
      <c r="P63" s="387" t="s">
        <v>194</v>
      </c>
      <c r="Q63" s="388">
        <v>2020</v>
      </c>
      <c r="R63" s="388" t="s">
        <v>65</v>
      </c>
      <c r="S63" s="388">
        <v>9502</v>
      </c>
      <c r="T63" s="388" t="s">
        <v>66</v>
      </c>
      <c r="U63" s="389">
        <v>1</v>
      </c>
      <c r="V63" s="289" t="s">
        <v>103</v>
      </c>
      <c r="W63" s="289">
        <v>2019</v>
      </c>
      <c r="X63" s="289" t="s">
        <v>65</v>
      </c>
      <c r="Y63" s="289">
        <v>10700</v>
      </c>
      <c r="Z63" s="289" t="s">
        <v>66</v>
      </c>
      <c r="AA63" s="289">
        <v>94</v>
      </c>
      <c r="AB63" s="391" t="s">
        <v>196</v>
      </c>
      <c r="AC63" s="392">
        <v>2018</v>
      </c>
      <c r="AD63" s="392" t="s">
        <v>65</v>
      </c>
      <c r="AE63" s="392">
        <v>7716</v>
      </c>
      <c r="AF63" s="392" t="s">
        <v>66</v>
      </c>
      <c r="AG63" s="393">
        <v>40</v>
      </c>
      <c r="AH63" s="290" t="s">
        <v>102</v>
      </c>
      <c r="AI63" s="290">
        <v>2017</v>
      </c>
      <c r="AJ63" s="290" t="s">
        <v>65</v>
      </c>
      <c r="AK63" s="290">
        <v>9850</v>
      </c>
      <c r="AL63" s="290" t="s">
        <v>66</v>
      </c>
      <c r="AM63" s="290">
        <v>35</v>
      </c>
      <c r="AN63" s="394" t="s">
        <v>195</v>
      </c>
      <c r="AO63" s="395">
        <v>2016</v>
      </c>
      <c r="AP63" s="395" t="s">
        <v>65</v>
      </c>
      <c r="AQ63" s="395">
        <v>13227</v>
      </c>
      <c r="AR63" s="395" t="s">
        <v>66</v>
      </c>
      <c r="AS63" s="396">
        <v>16</v>
      </c>
      <c r="AT63" s="397" t="s">
        <v>196</v>
      </c>
      <c r="AU63" s="398">
        <v>2015</v>
      </c>
      <c r="AV63" s="398" t="s">
        <v>65</v>
      </c>
      <c r="AW63" s="398">
        <v>7716</v>
      </c>
      <c r="AX63" s="398" t="s">
        <v>66</v>
      </c>
      <c r="AY63" s="399">
        <v>55</v>
      </c>
      <c r="AZ63" s="400" t="s">
        <v>108</v>
      </c>
      <c r="BA63" s="401">
        <v>2014</v>
      </c>
      <c r="BB63" s="401" t="s">
        <v>65</v>
      </c>
      <c r="BC63" s="401">
        <v>37478</v>
      </c>
      <c r="BD63" s="401" t="s">
        <v>72</v>
      </c>
      <c r="BE63" s="402">
        <v>5</v>
      </c>
    </row>
    <row r="64" spans="1:57" x14ac:dyDescent="0.3">
      <c r="A64" s="350" t="s">
        <v>147</v>
      </c>
      <c r="B64" s="350" t="s">
        <v>190</v>
      </c>
      <c r="C64" s="350">
        <v>2014</v>
      </c>
      <c r="D64" s="350" t="s">
        <v>65</v>
      </c>
      <c r="E64" s="350">
        <v>155000</v>
      </c>
      <c r="F64" s="353" t="s">
        <v>83</v>
      </c>
      <c r="G64" s="353">
        <v>1</v>
      </c>
      <c r="I64" s="382" t="s">
        <v>147</v>
      </c>
      <c r="J64" s="383" t="s">
        <v>194</v>
      </c>
      <c r="K64" s="383">
        <v>2021</v>
      </c>
      <c r="L64" s="383" t="s">
        <v>65</v>
      </c>
      <c r="M64" s="383">
        <v>9502</v>
      </c>
      <c r="N64" s="383" t="s">
        <v>66</v>
      </c>
      <c r="O64" s="384">
        <v>3</v>
      </c>
      <c r="P64" s="387" t="s">
        <v>195</v>
      </c>
      <c r="Q64" s="388">
        <v>2020</v>
      </c>
      <c r="R64" s="388" t="s">
        <v>65</v>
      </c>
      <c r="S64" s="388">
        <v>13227</v>
      </c>
      <c r="T64" s="388" t="s">
        <v>66</v>
      </c>
      <c r="U64" s="389">
        <v>8</v>
      </c>
      <c r="V64" s="289" t="s">
        <v>104</v>
      </c>
      <c r="W64" s="289">
        <v>2019</v>
      </c>
      <c r="X64" s="289" t="s">
        <v>65</v>
      </c>
      <c r="Y64" s="289">
        <v>14800</v>
      </c>
      <c r="Z64" s="289" t="s">
        <v>66</v>
      </c>
      <c r="AA64" s="289">
        <v>58</v>
      </c>
      <c r="AB64" s="391" t="s">
        <v>103</v>
      </c>
      <c r="AC64" s="392">
        <v>2018</v>
      </c>
      <c r="AD64" s="392" t="s">
        <v>65</v>
      </c>
      <c r="AE64" s="392">
        <v>10700</v>
      </c>
      <c r="AF64" s="392" t="s">
        <v>66</v>
      </c>
      <c r="AG64" s="393">
        <v>117</v>
      </c>
      <c r="AH64" s="290" t="s">
        <v>194</v>
      </c>
      <c r="AI64" s="290">
        <v>2017</v>
      </c>
      <c r="AJ64" s="290" t="s">
        <v>65</v>
      </c>
      <c r="AK64" s="290">
        <v>9502</v>
      </c>
      <c r="AL64" s="290" t="s">
        <v>66</v>
      </c>
      <c r="AM64" s="290">
        <v>3</v>
      </c>
      <c r="AN64" s="394" t="s">
        <v>196</v>
      </c>
      <c r="AO64" s="395">
        <v>2016</v>
      </c>
      <c r="AP64" s="395" t="s">
        <v>65</v>
      </c>
      <c r="AQ64" s="395">
        <v>7716</v>
      </c>
      <c r="AR64" s="395" t="s">
        <v>66</v>
      </c>
      <c r="AS64" s="396">
        <v>48</v>
      </c>
      <c r="AT64" s="397" t="s">
        <v>103</v>
      </c>
      <c r="AU64" s="398">
        <v>2015</v>
      </c>
      <c r="AV64" s="398" t="s">
        <v>65</v>
      </c>
      <c r="AW64" s="398">
        <v>10700</v>
      </c>
      <c r="AX64" s="398" t="s">
        <v>66</v>
      </c>
      <c r="AY64" s="399">
        <v>165</v>
      </c>
      <c r="AZ64" s="400" t="s">
        <v>203</v>
      </c>
      <c r="BA64" s="401">
        <v>2014</v>
      </c>
      <c r="BB64" s="401" t="s">
        <v>65</v>
      </c>
      <c r="BC64" s="401">
        <v>48200</v>
      </c>
      <c r="BD64" s="401" t="s">
        <v>72</v>
      </c>
      <c r="BE64" s="402">
        <v>7</v>
      </c>
    </row>
    <row r="65" spans="1:57" x14ac:dyDescent="0.3">
      <c r="A65" s="350" t="s">
        <v>147</v>
      </c>
      <c r="B65" s="350" t="s">
        <v>167</v>
      </c>
      <c r="C65" s="350">
        <v>2021</v>
      </c>
      <c r="D65" s="350" t="s">
        <v>65</v>
      </c>
      <c r="E65" s="350">
        <v>154500</v>
      </c>
      <c r="F65" s="353" t="s">
        <v>72</v>
      </c>
      <c r="G65" s="353">
        <v>13</v>
      </c>
      <c r="I65" s="382" t="s">
        <v>147</v>
      </c>
      <c r="J65" s="383" t="s">
        <v>195</v>
      </c>
      <c r="K65" s="383">
        <v>2021</v>
      </c>
      <c r="L65" s="383" t="s">
        <v>65</v>
      </c>
      <c r="M65" s="383">
        <v>13227</v>
      </c>
      <c r="N65" s="383" t="s">
        <v>66</v>
      </c>
      <c r="O65" s="384">
        <v>22</v>
      </c>
      <c r="P65" s="387" t="s">
        <v>196</v>
      </c>
      <c r="Q65" s="388">
        <v>2020</v>
      </c>
      <c r="R65" s="388" t="s">
        <v>65</v>
      </c>
      <c r="S65" s="388">
        <v>7716</v>
      </c>
      <c r="T65" s="388" t="s">
        <v>66</v>
      </c>
      <c r="U65" s="389">
        <v>30</v>
      </c>
      <c r="V65" s="289" t="s">
        <v>105</v>
      </c>
      <c r="W65" s="289">
        <v>2019</v>
      </c>
      <c r="X65" s="289" t="s">
        <v>65</v>
      </c>
      <c r="Y65" s="289">
        <v>16300</v>
      </c>
      <c r="Z65" s="289" t="s">
        <v>66</v>
      </c>
      <c r="AA65" s="289">
        <v>78</v>
      </c>
      <c r="AB65" s="391" t="s">
        <v>104</v>
      </c>
      <c r="AC65" s="392">
        <v>2018</v>
      </c>
      <c r="AD65" s="392" t="s">
        <v>65</v>
      </c>
      <c r="AE65" s="392">
        <v>14800</v>
      </c>
      <c r="AF65" s="392" t="s">
        <v>66</v>
      </c>
      <c r="AG65" s="393">
        <v>70</v>
      </c>
      <c r="AH65" s="290" t="s">
        <v>195</v>
      </c>
      <c r="AI65" s="290">
        <v>2017</v>
      </c>
      <c r="AJ65" s="290" t="s">
        <v>65</v>
      </c>
      <c r="AK65" s="290">
        <v>13227</v>
      </c>
      <c r="AL65" s="290" t="s">
        <v>66</v>
      </c>
      <c r="AM65" s="290">
        <v>10</v>
      </c>
      <c r="AN65" s="394" t="s">
        <v>103</v>
      </c>
      <c r="AO65" s="395">
        <v>2016</v>
      </c>
      <c r="AP65" s="395" t="s">
        <v>65</v>
      </c>
      <c r="AQ65" s="395">
        <v>10700</v>
      </c>
      <c r="AR65" s="395" t="s">
        <v>66</v>
      </c>
      <c r="AS65" s="396">
        <v>159</v>
      </c>
      <c r="AT65" s="397" t="s">
        <v>104</v>
      </c>
      <c r="AU65" s="398">
        <v>2015</v>
      </c>
      <c r="AV65" s="398" t="s">
        <v>65</v>
      </c>
      <c r="AW65" s="398">
        <v>14800</v>
      </c>
      <c r="AX65" s="398" t="s">
        <v>66</v>
      </c>
      <c r="AY65" s="399">
        <v>77</v>
      </c>
      <c r="AZ65" s="400" t="s">
        <v>109</v>
      </c>
      <c r="BA65" s="401">
        <v>2014</v>
      </c>
      <c r="BB65" s="401" t="s">
        <v>65</v>
      </c>
      <c r="BC65" s="401">
        <v>3600</v>
      </c>
      <c r="BD65" s="401" t="s">
        <v>66</v>
      </c>
      <c r="BE65" s="402">
        <v>6</v>
      </c>
    </row>
    <row r="66" spans="1:57" x14ac:dyDescent="0.3">
      <c r="A66" s="350" t="s">
        <v>147</v>
      </c>
      <c r="B66" s="350" t="s">
        <v>167</v>
      </c>
      <c r="C66" s="350">
        <v>2019</v>
      </c>
      <c r="D66" s="350" t="s">
        <v>65</v>
      </c>
      <c r="E66" s="350">
        <v>154500</v>
      </c>
      <c r="F66" s="353" t="s">
        <v>72</v>
      </c>
      <c r="G66" s="353">
        <v>8</v>
      </c>
      <c r="I66" s="382" t="s">
        <v>147</v>
      </c>
      <c r="J66" s="383" t="s">
        <v>196</v>
      </c>
      <c r="K66" s="383">
        <v>2021</v>
      </c>
      <c r="L66" s="383" t="s">
        <v>65</v>
      </c>
      <c r="M66" s="383">
        <v>7716</v>
      </c>
      <c r="N66" s="383" t="s">
        <v>66</v>
      </c>
      <c r="O66" s="384">
        <v>50</v>
      </c>
      <c r="P66" s="387" t="s">
        <v>103</v>
      </c>
      <c r="Q66" s="388">
        <v>2020</v>
      </c>
      <c r="R66" s="388" t="s">
        <v>65</v>
      </c>
      <c r="S66" s="388">
        <v>10700</v>
      </c>
      <c r="T66" s="388" t="s">
        <v>66</v>
      </c>
      <c r="U66" s="389">
        <v>99</v>
      </c>
      <c r="V66" s="289" t="s">
        <v>106</v>
      </c>
      <c r="W66" s="289">
        <v>2019</v>
      </c>
      <c r="X66" s="289" t="s">
        <v>65</v>
      </c>
      <c r="Y66" s="289">
        <v>15000</v>
      </c>
      <c r="Z66" s="289" t="s">
        <v>66</v>
      </c>
      <c r="AA66" s="289">
        <v>155</v>
      </c>
      <c r="AB66" s="391" t="s">
        <v>197</v>
      </c>
      <c r="AC66" s="392">
        <v>2018</v>
      </c>
      <c r="AD66" s="392" t="s">
        <v>65</v>
      </c>
      <c r="AE66" s="392">
        <v>42300</v>
      </c>
      <c r="AF66" s="392" t="s">
        <v>66</v>
      </c>
      <c r="AG66" s="393">
        <v>2</v>
      </c>
      <c r="AH66" s="290" t="s">
        <v>196</v>
      </c>
      <c r="AI66" s="290">
        <v>2017</v>
      </c>
      <c r="AJ66" s="290" t="s">
        <v>65</v>
      </c>
      <c r="AK66" s="290">
        <v>7716</v>
      </c>
      <c r="AL66" s="290" t="s">
        <v>66</v>
      </c>
      <c r="AM66" s="290">
        <v>51</v>
      </c>
      <c r="AN66" s="394" t="s">
        <v>104</v>
      </c>
      <c r="AO66" s="395">
        <v>2016</v>
      </c>
      <c r="AP66" s="395" t="s">
        <v>65</v>
      </c>
      <c r="AQ66" s="395">
        <v>14800</v>
      </c>
      <c r="AR66" s="395" t="s">
        <v>66</v>
      </c>
      <c r="AS66" s="396">
        <v>87</v>
      </c>
      <c r="AT66" s="397" t="s">
        <v>105</v>
      </c>
      <c r="AU66" s="398">
        <v>2015</v>
      </c>
      <c r="AV66" s="398" t="s">
        <v>65</v>
      </c>
      <c r="AW66" s="398">
        <v>16300</v>
      </c>
      <c r="AX66" s="398" t="s">
        <v>66</v>
      </c>
      <c r="AY66" s="399">
        <v>85</v>
      </c>
      <c r="AZ66" s="400" t="s">
        <v>204</v>
      </c>
      <c r="BA66" s="401">
        <v>2014</v>
      </c>
      <c r="BB66" s="401" t="s">
        <v>65</v>
      </c>
      <c r="BC66" s="401">
        <v>53000</v>
      </c>
      <c r="BD66" s="401" t="s">
        <v>72</v>
      </c>
      <c r="BE66" s="402">
        <v>3</v>
      </c>
    </row>
    <row r="67" spans="1:57" x14ac:dyDescent="0.3">
      <c r="A67" s="350" t="s">
        <v>147</v>
      </c>
      <c r="B67" s="350" t="s">
        <v>167</v>
      </c>
      <c r="C67" s="350">
        <v>2018</v>
      </c>
      <c r="D67" s="350" t="s">
        <v>65</v>
      </c>
      <c r="E67" s="350">
        <v>154500</v>
      </c>
      <c r="F67" s="353" t="s">
        <v>72</v>
      </c>
      <c r="G67" s="353">
        <v>5</v>
      </c>
      <c r="I67" s="382" t="s">
        <v>147</v>
      </c>
      <c r="J67" s="383" t="s">
        <v>103</v>
      </c>
      <c r="K67" s="383">
        <v>2021</v>
      </c>
      <c r="L67" s="383" t="s">
        <v>65</v>
      </c>
      <c r="M67" s="383">
        <v>10700</v>
      </c>
      <c r="N67" s="383" t="s">
        <v>66</v>
      </c>
      <c r="O67" s="384">
        <v>82</v>
      </c>
      <c r="P67" s="387" t="s">
        <v>104</v>
      </c>
      <c r="Q67" s="388">
        <v>2020</v>
      </c>
      <c r="R67" s="388" t="s">
        <v>65</v>
      </c>
      <c r="S67" s="388">
        <v>14800</v>
      </c>
      <c r="T67" s="388" t="s">
        <v>66</v>
      </c>
      <c r="U67" s="389">
        <v>47</v>
      </c>
      <c r="V67" s="289" t="s">
        <v>107</v>
      </c>
      <c r="W67" s="289">
        <v>2019</v>
      </c>
      <c r="X67" s="289" t="s">
        <v>65</v>
      </c>
      <c r="Y67" s="289">
        <v>22002</v>
      </c>
      <c r="Z67" s="289" t="s">
        <v>72</v>
      </c>
      <c r="AA67" s="289">
        <v>39</v>
      </c>
      <c r="AB67" s="391" t="s">
        <v>105</v>
      </c>
      <c r="AC67" s="392">
        <v>2018</v>
      </c>
      <c r="AD67" s="392" t="s">
        <v>65</v>
      </c>
      <c r="AE67" s="392">
        <v>16300</v>
      </c>
      <c r="AF67" s="392" t="s">
        <v>66</v>
      </c>
      <c r="AG67" s="393">
        <v>70</v>
      </c>
      <c r="AH67" s="290" t="s">
        <v>103</v>
      </c>
      <c r="AI67" s="290">
        <v>2017</v>
      </c>
      <c r="AJ67" s="290" t="s">
        <v>65</v>
      </c>
      <c r="AK67" s="290">
        <v>10700</v>
      </c>
      <c r="AL67" s="290" t="s">
        <v>66</v>
      </c>
      <c r="AM67" s="290">
        <v>108</v>
      </c>
      <c r="AN67" s="394" t="s">
        <v>105</v>
      </c>
      <c r="AO67" s="395">
        <v>2016</v>
      </c>
      <c r="AP67" s="395" t="s">
        <v>65</v>
      </c>
      <c r="AQ67" s="395">
        <v>16300</v>
      </c>
      <c r="AR67" s="395" t="s">
        <v>66</v>
      </c>
      <c r="AS67" s="396">
        <v>58</v>
      </c>
      <c r="AT67" s="397" t="s">
        <v>106</v>
      </c>
      <c r="AU67" s="398">
        <v>2015</v>
      </c>
      <c r="AV67" s="398" t="s">
        <v>65</v>
      </c>
      <c r="AW67" s="398">
        <v>15000</v>
      </c>
      <c r="AX67" s="398" t="s">
        <v>66</v>
      </c>
      <c r="AY67" s="399">
        <v>125</v>
      </c>
      <c r="AZ67" s="400" t="s">
        <v>205</v>
      </c>
      <c r="BA67" s="401">
        <v>2014</v>
      </c>
      <c r="BB67" s="401" t="s">
        <v>65</v>
      </c>
      <c r="BC67" s="401">
        <v>84500</v>
      </c>
      <c r="BD67" s="401" t="s">
        <v>72</v>
      </c>
      <c r="BE67" s="402">
        <v>8</v>
      </c>
    </row>
    <row r="68" spans="1:57" x14ac:dyDescent="0.3">
      <c r="A68" s="350" t="s">
        <v>147</v>
      </c>
      <c r="B68" s="350" t="s">
        <v>167</v>
      </c>
      <c r="C68" s="350">
        <v>2017</v>
      </c>
      <c r="D68" s="350" t="s">
        <v>65</v>
      </c>
      <c r="E68" s="350">
        <v>154500</v>
      </c>
      <c r="F68" s="353" t="s">
        <v>72</v>
      </c>
      <c r="G68" s="353">
        <v>1</v>
      </c>
      <c r="I68" s="382" t="s">
        <v>147</v>
      </c>
      <c r="J68" s="383" t="s">
        <v>104</v>
      </c>
      <c r="K68" s="383">
        <v>2021</v>
      </c>
      <c r="L68" s="383" t="s">
        <v>65</v>
      </c>
      <c r="M68" s="383">
        <v>14800</v>
      </c>
      <c r="N68" s="383" t="s">
        <v>66</v>
      </c>
      <c r="O68" s="384">
        <v>49</v>
      </c>
      <c r="P68" s="387" t="s">
        <v>197</v>
      </c>
      <c r="Q68" s="388">
        <v>2020</v>
      </c>
      <c r="R68" s="388" t="s">
        <v>65</v>
      </c>
      <c r="S68" s="388">
        <v>42300</v>
      </c>
      <c r="T68" s="388" t="s">
        <v>66</v>
      </c>
      <c r="U68" s="389">
        <v>11</v>
      </c>
      <c r="V68" s="289" t="s">
        <v>198</v>
      </c>
      <c r="W68" s="289">
        <v>2019</v>
      </c>
      <c r="X68" s="289" t="s">
        <v>65</v>
      </c>
      <c r="Y68" s="289">
        <v>30000</v>
      </c>
      <c r="Z68" s="289" t="s">
        <v>72</v>
      </c>
      <c r="AA68" s="289">
        <v>8</v>
      </c>
      <c r="AB68" s="391" t="s">
        <v>106</v>
      </c>
      <c r="AC68" s="392">
        <v>2018</v>
      </c>
      <c r="AD68" s="392" t="s">
        <v>65</v>
      </c>
      <c r="AE68" s="392">
        <v>15000</v>
      </c>
      <c r="AF68" s="392" t="s">
        <v>66</v>
      </c>
      <c r="AG68" s="393">
        <v>124</v>
      </c>
      <c r="AH68" s="290" t="s">
        <v>104</v>
      </c>
      <c r="AI68" s="290">
        <v>2017</v>
      </c>
      <c r="AJ68" s="290" t="s">
        <v>65</v>
      </c>
      <c r="AK68" s="290">
        <v>14800</v>
      </c>
      <c r="AL68" s="290" t="s">
        <v>66</v>
      </c>
      <c r="AM68" s="290">
        <v>83</v>
      </c>
      <c r="AN68" s="394" t="s">
        <v>106</v>
      </c>
      <c r="AO68" s="395">
        <v>2016</v>
      </c>
      <c r="AP68" s="395" t="s">
        <v>65</v>
      </c>
      <c r="AQ68" s="395">
        <v>15000</v>
      </c>
      <c r="AR68" s="395" t="s">
        <v>66</v>
      </c>
      <c r="AS68" s="396">
        <v>118</v>
      </c>
      <c r="AT68" s="397" t="s">
        <v>107</v>
      </c>
      <c r="AU68" s="398">
        <v>2015</v>
      </c>
      <c r="AV68" s="398" t="s">
        <v>65</v>
      </c>
      <c r="AW68" s="398">
        <v>22002</v>
      </c>
      <c r="AX68" s="398" t="s">
        <v>72</v>
      </c>
      <c r="AY68" s="399">
        <v>39</v>
      </c>
      <c r="AZ68" s="400" t="s">
        <v>206</v>
      </c>
      <c r="BA68" s="401">
        <v>2014</v>
      </c>
      <c r="BB68" s="401" t="s">
        <v>65</v>
      </c>
      <c r="BC68" s="401">
        <v>30842</v>
      </c>
      <c r="BD68" s="401" t="s">
        <v>72</v>
      </c>
      <c r="BE68" s="402">
        <v>5</v>
      </c>
    </row>
    <row r="69" spans="1:57" x14ac:dyDescent="0.3">
      <c r="A69" s="350" t="s">
        <v>147</v>
      </c>
      <c r="B69" s="350" t="s">
        <v>167</v>
      </c>
      <c r="C69" s="350">
        <v>2016</v>
      </c>
      <c r="D69" s="350" t="s">
        <v>65</v>
      </c>
      <c r="E69" s="350">
        <v>154500</v>
      </c>
      <c r="F69" s="353" t="s">
        <v>72</v>
      </c>
      <c r="G69" s="353">
        <v>4</v>
      </c>
      <c r="I69" s="382" t="s">
        <v>147</v>
      </c>
      <c r="J69" s="383" t="s">
        <v>197</v>
      </c>
      <c r="K69" s="383">
        <v>2021</v>
      </c>
      <c r="L69" s="383" t="s">
        <v>65</v>
      </c>
      <c r="M69" s="383">
        <v>42300</v>
      </c>
      <c r="N69" s="383" t="s">
        <v>66</v>
      </c>
      <c r="O69" s="384">
        <v>11</v>
      </c>
      <c r="P69" s="387" t="s">
        <v>105</v>
      </c>
      <c r="Q69" s="388">
        <v>2020</v>
      </c>
      <c r="R69" s="388" t="s">
        <v>65</v>
      </c>
      <c r="S69" s="388">
        <v>16300</v>
      </c>
      <c r="T69" s="388" t="s">
        <v>66</v>
      </c>
      <c r="U69" s="389">
        <v>86</v>
      </c>
      <c r="V69" s="289" t="s">
        <v>199</v>
      </c>
      <c r="W69" s="289">
        <v>2019</v>
      </c>
      <c r="X69" s="289" t="s">
        <v>65</v>
      </c>
      <c r="Y69" s="289">
        <v>30800</v>
      </c>
      <c r="Z69" s="289" t="s">
        <v>72</v>
      </c>
      <c r="AA69" s="289">
        <v>6</v>
      </c>
      <c r="AB69" s="391" t="s">
        <v>107</v>
      </c>
      <c r="AC69" s="392">
        <v>2018</v>
      </c>
      <c r="AD69" s="392" t="s">
        <v>65</v>
      </c>
      <c r="AE69" s="392">
        <v>22002</v>
      </c>
      <c r="AF69" s="392" t="s">
        <v>72</v>
      </c>
      <c r="AG69" s="393">
        <v>29</v>
      </c>
      <c r="AH69" s="290" t="s">
        <v>105</v>
      </c>
      <c r="AI69" s="290">
        <v>2017</v>
      </c>
      <c r="AJ69" s="290" t="s">
        <v>65</v>
      </c>
      <c r="AK69" s="290">
        <v>16300</v>
      </c>
      <c r="AL69" s="290" t="s">
        <v>66</v>
      </c>
      <c r="AM69" s="290">
        <v>74</v>
      </c>
      <c r="AN69" s="394" t="s">
        <v>107</v>
      </c>
      <c r="AO69" s="395">
        <v>2016</v>
      </c>
      <c r="AP69" s="395" t="s">
        <v>65</v>
      </c>
      <c r="AQ69" s="395">
        <v>22002</v>
      </c>
      <c r="AR69" s="395" t="s">
        <v>72</v>
      </c>
      <c r="AS69" s="396">
        <v>38</v>
      </c>
      <c r="AT69" s="397" t="s">
        <v>198</v>
      </c>
      <c r="AU69" s="398">
        <v>2015</v>
      </c>
      <c r="AV69" s="398" t="s">
        <v>65</v>
      </c>
      <c r="AW69" s="398">
        <v>30000</v>
      </c>
      <c r="AX69" s="398" t="s">
        <v>72</v>
      </c>
      <c r="AY69" s="399">
        <v>18</v>
      </c>
      <c r="AZ69" s="400" t="s">
        <v>111</v>
      </c>
      <c r="BA69" s="401">
        <v>2014</v>
      </c>
      <c r="BB69" s="401" t="s">
        <v>65</v>
      </c>
      <c r="BC69" s="401">
        <v>1764</v>
      </c>
      <c r="BD69" s="401" t="s">
        <v>66</v>
      </c>
      <c r="BE69" s="402">
        <v>15</v>
      </c>
    </row>
    <row r="70" spans="1:57" x14ac:dyDescent="0.3">
      <c r="A70" s="350" t="s">
        <v>147</v>
      </c>
      <c r="B70" s="350" t="s">
        <v>167</v>
      </c>
      <c r="C70" s="350">
        <v>2015</v>
      </c>
      <c r="D70" s="350" t="s">
        <v>65</v>
      </c>
      <c r="E70" s="350">
        <v>154500</v>
      </c>
      <c r="F70" s="353" t="s">
        <v>72</v>
      </c>
      <c r="G70" s="353">
        <v>7</v>
      </c>
      <c r="I70" s="382" t="s">
        <v>147</v>
      </c>
      <c r="J70" s="383" t="s">
        <v>105</v>
      </c>
      <c r="K70" s="383">
        <v>2021</v>
      </c>
      <c r="L70" s="383" t="s">
        <v>65</v>
      </c>
      <c r="M70" s="383">
        <v>16300</v>
      </c>
      <c r="N70" s="383" t="s">
        <v>66</v>
      </c>
      <c r="O70" s="384">
        <v>100</v>
      </c>
      <c r="P70" s="387" t="s">
        <v>106</v>
      </c>
      <c r="Q70" s="388">
        <v>2020</v>
      </c>
      <c r="R70" s="388" t="s">
        <v>65</v>
      </c>
      <c r="S70" s="388">
        <v>15000</v>
      </c>
      <c r="T70" s="388" t="s">
        <v>66</v>
      </c>
      <c r="U70" s="389">
        <v>104</v>
      </c>
      <c r="V70" s="289" t="s">
        <v>200</v>
      </c>
      <c r="W70" s="289">
        <v>2019</v>
      </c>
      <c r="X70" s="289" t="s">
        <v>65</v>
      </c>
      <c r="Y70" s="289">
        <v>35699</v>
      </c>
      <c r="Z70" s="289" t="s">
        <v>66</v>
      </c>
      <c r="AA70" s="289">
        <v>9</v>
      </c>
      <c r="AB70" s="391" t="s">
        <v>198</v>
      </c>
      <c r="AC70" s="392">
        <v>2018</v>
      </c>
      <c r="AD70" s="392" t="s">
        <v>65</v>
      </c>
      <c r="AE70" s="392">
        <v>30000</v>
      </c>
      <c r="AF70" s="392" t="s">
        <v>72</v>
      </c>
      <c r="AG70" s="393">
        <v>24</v>
      </c>
      <c r="AH70" s="290" t="s">
        <v>106</v>
      </c>
      <c r="AI70" s="290">
        <v>2017</v>
      </c>
      <c r="AJ70" s="290" t="s">
        <v>65</v>
      </c>
      <c r="AK70" s="290">
        <v>15000</v>
      </c>
      <c r="AL70" s="290" t="s">
        <v>66</v>
      </c>
      <c r="AM70" s="290">
        <v>130</v>
      </c>
      <c r="AN70" s="394" t="s">
        <v>198</v>
      </c>
      <c r="AO70" s="395">
        <v>2016</v>
      </c>
      <c r="AP70" s="395" t="s">
        <v>65</v>
      </c>
      <c r="AQ70" s="395">
        <v>30000</v>
      </c>
      <c r="AR70" s="395" t="s">
        <v>72</v>
      </c>
      <c r="AS70" s="396">
        <v>27</v>
      </c>
      <c r="AT70" s="397" t="s">
        <v>200</v>
      </c>
      <c r="AU70" s="398">
        <v>2015</v>
      </c>
      <c r="AV70" s="398" t="s">
        <v>65</v>
      </c>
      <c r="AW70" s="398">
        <v>35699</v>
      </c>
      <c r="AX70" s="398" t="s">
        <v>66</v>
      </c>
      <c r="AY70" s="399">
        <v>34</v>
      </c>
      <c r="AZ70" s="400" t="s">
        <v>112</v>
      </c>
      <c r="BA70" s="401">
        <v>2014</v>
      </c>
      <c r="BB70" s="401" t="s">
        <v>65</v>
      </c>
      <c r="BC70" s="401">
        <v>2888</v>
      </c>
      <c r="BD70" s="401" t="s">
        <v>66</v>
      </c>
      <c r="BE70" s="402">
        <v>5</v>
      </c>
    </row>
    <row r="71" spans="1:57" x14ac:dyDescent="0.3">
      <c r="A71" s="350" t="s">
        <v>147</v>
      </c>
      <c r="B71" s="350" t="s">
        <v>167</v>
      </c>
      <c r="C71" s="350">
        <v>2014</v>
      </c>
      <c r="D71" s="350" t="s">
        <v>65</v>
      </c>
      <c r="E71" s="350">
        <v>154500</v>
      </c>
      <c r="F71" s="353" t="s">
        <v>72</v>
      </c>
      <c r="G71" s="353">
        <v>12</v>
      </c>
      <c r="I71" s="382" t="s">
        <v>147</v>
      </c>
      <c r="J71" s="383" t="s">
        <v>106</v>
      </c>
      <c r="K71" s="383">
        <v>2021</v>
      </c>
      <c r="L71" s="383" t="s">
        <v>65</v>
      </c>
      <c r="M71" s="383">
        <v>15000</v>
      </c>
      <c r="N71" s="383" t="s">
        <v>66</v>
      </c>
      <c r="O71" s="384">
        <v>113</v>
      </c>
      <c r="P71" s="387" t="s">
        <v>107</v>
      </c>
      <c r="Q71" s="388">
        <v>2020</v>
      </c>
      <c r="R71" s="388" t="s">
        <v>65</v>
      </c>
      <c r="S71" s="388">
        <v>22002</v>
      </c>
      <c r="T71" s="388" t="s">
        <v>72</v>
      </c>
      <c r="U71" s="389">
        <v>22</v>
      </c>
      <c r="V71" s="289" t="s">
        <v>108</v>
      </c>
      <c r="W71" s="289">
        <v>2019</v>
      </c>
      <c r="X71" s="289" t="s">
        <v>65</v>
      </c>
      <c r="Y71" s="289">
        <v>37478</v>
      </c>
      <c r="Z71" s="289" t="s">
        <v>72</v>
      </c>
      <c r="AA71" s="289">
        <v>7</v>
      </c>
      <c r="AB71" s="391" t="s">
        <v>199</v>
      </c>
      <c r="AC71" s="392">
        <v>2018</v>
      </c>
      <c r="AD71" s="392" t="s">
        <v>65</v>
      </c>
      <c r="AE71" s="392">
        <v>30800</v>
      </c>
      <c r="AF71" s="392" t="s">
        <v>72</v>
      </c>
      <c r="AG71" s="393">
        <v>13</v>
      </c>
      <c r="AH71" s="290" t="s">
        <v>107</v>
      </c>
      <c r="AI71" s="290">
        <v>2017</v>
      </c>
      <c r="AJ71" s="290" t="s">
        <v>65</v>
      </c>
      <c r="AK71" s="290">
        <v>22002</v>
      </c>
      <c r="AL71" s="290" t="s">
        <v>72</v>
      </c>
      <c r="AM71" s="290">
        <v>30</v>
      </c>
      <c r="AN71" s="394" t="s">
        <v>200</v>
      </c>
      <c r="AO71" s="395">
        <v>2016</v>
      </c>
      <c r="AP71" s="395" t="s">
        <v>65</v>
      </c>
      <c r="AQ71" s="395">
        <v>35699</v>
      </c>
      <c r="AR71" s="395" t="s">
        <v>66</v>
      </c>
      <c r="AS71" s="396">
        <v>22</v>
      </c>
      <c r="AT71" s="397" t="s">
        <v>201</v>
      </c>
      <c r="AU71" s="398">
        <v>2015</v>
      </c>
      <c r="AV71" s="398" t="s">
        <v>65</v>
      </c>
      <c r="AW71" s="398">
        <v>1300</v>
      </c>
      <c r="AX71" s="398" t="s">
        <v>66</v>
      </c>
      <c r="AY71" s="399">
        <v>2</v>
      </c>
      <c r="AZ71" s="400" t="s">
        <v>207</v>
      </c>
      <c r="BA71" s="401">
        <v>2014</v>
      </c>
      <c r="BB71" s="401" t="s">
        <v>65</v>
      </c>
      <c r="BC71" s="401">
        <v>430000</v>
      </c>
      <c r="BD71" s="401" t="s">
        <v>83</v>
      </c>
      <c r="BE71" s="402">
        <v>5</v>
      </c>
    </row>
    <row r="72" spans="1:57" x14ac:dyDescent="0.3">
      <c r="A72" s="350" t="s">
        <v>147</v>
      </c>
      <c r="B72" s="350" t="s">
        <v>165</v>
      </c>
      <c r="C72" s="350">
        <v>2021</v>
      </c>
      <c r="D72" s="350" t="s">
        <v>65</v>
      </c>
      <c r="E72" s="350">
        <v>150000</v>
      </c>
      <c r="F72" s="353" t="s">
        <v>72</v>
      </c>
      <c r="G72" s="353">
        <v>11</v>
      </c>
      <c r="I72" s="382" t="s">
        <v>147</v>
      </c>
      <c r="J72" s="383" t="s">
        <v>107</v>
      </c>
      <c r="K72" s="383">
        <v>2021</v>
      </c>
      <c r="L72" s="383" t="s">
        <v>65</v>
      </c>
      <c r="M72" s="383">
        <v>22002</v>
      </c>
      <c r="N72" s="383" t="s">
        <v>72</v>
      </c>
      <c r="O72" s="384">
        <v>28</v>
      </c>
      <c r="P72" s="387" t="s">
        <v>198</v>
      </c>
      <c r="Q72" s="388">
        <v>2020</v>
      </c>
      <c r="R72" s="388" t="s">
        <v>65</v>
      </c>
      <c r="S72" s="388">
        <v>30000</v>
      </c>
      <c r="T72" s="388" t="s">
        <v>72</v>
      </c>
      <c r="U72" s="389">
        <v>7</v>
      </c>
      <c r="V72" s="289" t="s">
        <v>202</v>
      </c>
      <c r="W72" s="289">
        <v>2019</v>
      </c>
      <c r="X72" s="289" t="s">
        <v>65</v>
      </c>
      <c r="Y72" s="289">
        <v>40600</v>
      </c>
      <c r="Z72" s="289" t="s">
        <v>72</v>
      </c>
      <c r="AA72" s="289">
        <v>19</v>
      </c>
      <c r="AB72" s="391" t="s">
        <v>200</v>
      </c>
      <c r="AC72" s="392">
        <v>2018</v>
      </c>
      <c r="AD72" s="392" t="s">
        <v>65</v>
      </c>
      <c r="AE72" s="392">
        <v>35699</v>
      </c>
      <c r="AF72" s="392" t="s">
        <v>66</v>
      </c>
      <c r="AG72" s="393">
        <v>14</v>
      </c>
      <c r="AH72" s="290" t="s">
        <v>198</v>
      </c>
      <c r="AI72" s="290">
        <v>2017</v>
      </c>
      <c r="AJ72" s="290" t="s">
        <v>65</v>
      </c>
      <c r="AK72" s="290">
        <v>30000</v>
      </c>
      <c r="AL72" s="290" t="s">
        <v>72</v>
      </c>
      <c r="AM72" s="290">
        <v>22</v>
      </c>
      <c r="AN72" s="394" t="s">
        <v>108</v>
      </c>
      <c r="AO72" s="395">
        <v>2016</v>
      </c>
      <c r="AP72" s="395" t="s">
        <v>65</v>
      </c>
      <c r="AQ72" s="395">
        <v>37478</v>
      </c>
      <c r="AR72" s="395" t="s">
        <v>72</v>
      </c>
      <c r="AS72" s="396">
        <v>12</v>
      </c>
      <c r="AT72" s="397" t="s">
        <v>108</v>
      </c>
      <c r="AU72" s="398">
        <v>2015</v>
      </c>
      <c r="AV72" s="398" t="s">
        <v>65</v>
      </c>
      <c r="AW72" s="398">
        <v>37478</v>
      </c>
      <c r="AX72" s="398" t="s">
        <v>72</v>
      </c>
      <c r="AY72" s="399">
        <v>11</v>
      </c>
      <c r="AZ72" s="400" t="s">
        <v>208</v>
      </c>
      <c r="BA72" s="401">
        <v>2014</v>
      </c>
      <c r="BB72" s="401" t="s">
        <v>65</v>
      </c>
      <c r="BC72" s="401">
        <v>90700</v>
      </c>
      <c r="BD72" s="401" t="s">
        <v>72</v>
      </c>
      <c r="BE72" s="402">
        <v>1</v>
      </c>
    </row>
    <row r="73" spans="1:57" x14ac:dyDescent="0.3">
      <c r="A73" s="350" t="s">
        <v>147</v>
      </c>
      <c r="B73" s="350" t="s">
        <v>165</v>
      </c>
      <c r="C73" s="350">
        <v>2020</v>
      </c>
      <c r="D73" s="350" t="s">
        <v>65</v>
      </c>
      <c r="E73" s="350">
        <v>150000</v>
      </c>
      <c r="F73" s="353" t="s">
        <v>72</v>
      </c>
      <c r="G73" s="353">
        <v>4</v>
      </c>
      <c r="I73" s="382" t="s">
        <v>147</v>
      </c>
      <c r="J73" s="383" t="s">
        <v>198</v>
      </c>
      <c r="K73" s="383">
        <v>2021</v>
      </c>
      <c r="L73" s="383" t="s">
        <v>65</v>
      </c>
      <c r="M73" s="383">
        <v>30000</v>
      </c>
      <c r="N73" s="383" t="s">
        <v>72</v>
      </c>
      <c r="O73" s="384">
        <v>9</v>
      </c>
      <c r="P73" s="387" t="s">
        <v>199</v>
      </c>
      <c r="Q73" s="388">
        <v>2020</v>
      </c>
      <c r="R73" s="388" t="s">
        <v>65</v>
      </c>
      <c r="S73" s="388">
        <v>30800</v>
      </c>
      <c r="T73" s="388" t="s">
        <v>72</v>
      </c>
      <c r="U73" s="389">
        <v>14</v>
      </c>
      <c r="V73" s="289" t="s">
        <v>203</v>
      </c>
      <c r="W73" s="289">
        <v>2019</v>
      </c>
      <c r="X73" s="289" t="s">
        <v>65</v>
      </c>
      <c r="Y73" s="289">
        <v>48200</v>
      </c>
      <c r="Z73" s="289" t="s">
        <v>72</v>
      </c>
      <c r="AA73" s="289">
        <v>11</v>
      </c>
      <c r="AB73" s="391" t="s">
        <v>201</v>
      </c>
      <c r="AC73" s="392">
        <v>2018</v>
      </c>
      <c r="AD73" s="392" t="s">
        <v>65</v>
      </c>
      <c r="AE73" s="392">
        <v>1300</v>
      </c>
      <c r="AF73" s="392" t="s">
        <v>66</v>
      </c>
      <c r="AG73" s="393">
        <v>1</v>
      </c>
      <c r="AH73" s="290" t="s">
        <v>199</v>
      </c>
      <c r="AI73" s="290">
        <v>2017</v>
      </c>
      <c r="AJ73" s="290" t="s">
        <v>65</v>
      </c>
      <c r="AK73" s="290">
        <v>30800</v>
      </c>
      <c r="AL73" s="290" t="s">
        <v>72</v>
      </c>
      <c r="AM73" s="290">
        <v>9</v>
      </c>
      <c r="AN73" s="394" t="s">
        <v>202</v>
      </c>
      <c r="AO73" s="395">
        <v>2016</v>
      </c>
      <c r="AP73" s="395" t="s">
        <v>65</v>
      </c>
      <c r="AQ73" s="395">
        <v>40600</v>
      </c>
      <c r="AR73" s="395" t="s">
        <v>72</v>
      </c>
      <c r="AS73" s="396">
        <v>4</v>
      </c>
      <c r="AT73" s="397" t="s">
        <v>203</v>
      </c>
      <c r="AU73" s="398">
        <v>2015</v>
      </c>
      <c r="AV73" s="398" t="s">
        <v>65</v>
      </c>
      <c r="AW73" s="398">
        <v>48200</v>
      </c>
      <c r="AX73" s="398" t="s">
        <v>72</v>
      </c>
      <c r="AY73" s="399">
        <v>12</v>
      </c>
      <c r="AZ73" s="400" t="s">
        <v>209</v>
      </c>
      <c r="BA73" s="401">
        <v>2014</v>
      </c>
      <c r="BB73" s="401" t="s">
        <v>65</v>
      </c>
      <c r="BC73" s="401">
        <v>110098</v>
      </c>
      <c r="BD73" s="401" t="s">
        <v>72</v>
      </c>
      <c r="BE73" s="402">
        <v>5</v>
      </c>
    </row>
    <row r="74" spans="1:57" x14ac:dyDescent="0.3">
      <c r="A74" s="350" t="s">
        <v>147</v>
      </c>
      <c r="B74" s="350" t="s">
        <v>165</v>
      </c>
      <c r="C74" s="350">
        <v>2019</v>
      </c>
      <c r="D74" s="350" t="s">
        <v>65</v>
      </c>
      <c r="E74" s="350">
        <v>150000</v>
      </c>
      <c r="F74" s="353" t="s">
        <v>72</v>
      </c>
      <c r="G74" s="353">
        <v>12</v>
      </c>
      <c r="I74" s="382" t="s">
        <v>147</v>
      </c>
      <c r="J74" s="383" t="s">
        <v>199</v>
      </c>
      <c r="K74" s="383">
        <v>2021</v>
      </c>
      <c r="L74" s="383" t="s">
        <v>65</v>
      </c>
      <c r="M74" s="383">
        <v>30800</v>
      </c>
      <c r="N74" s="383" t="s">
        <v>72</v>
      </c>
      <c r="O74" s="384">
        <v>22</v>
      </c>
      <c r="P74" s="387" t="s">
        <v>200</v>
      </c>
      <c r="Q74" s="388">
        <v>2020</v>
      </c>
      <c r="R74" s="388" t="s">
        <v>65</v>
      </c>
      <c r="S74" s="388">
        <v>35699</v>
      </c>
      <c r="T74" s="388" t="s">
        <v>66</v>
      </c>
      <c r="U74" s="389">
        <v>3</v>
      </c>
      <c r="V74" s="289" t="s">
        <v>109</v>
      </c>
      <c r="W74" s="289">
        <v>2019</v>
      </c>
      <c r="X74" s="289" t="s">
        <v>65</v>
      </c>
      <c r="Y74" s="289">
        <v>3600</v>
      </c>
      <c r="Z74" s="289" t="s">
        <v>66</v>
      </c>
      <c r="AA74" s="289">
        <v>15</v>
      </c>
      <c r="AB74" s="391" t="s">
        <v>108</v>
      </c>
      <c r="AC74" s="392">
        <v>2018</v>
      </c>
      <c r="AD74" s="392" t="s">
        <v>65</v>
      </c>
      <c r="AE74" s="392">
        <v>37478</v>
      </c>
      <c r="AF74" s="392" t="s">
        <v>72</v>
      </c>
      <c r="AG74" s="393">
        <v>5</v>
      </c>
      <c r="AH74" s="290" t="s">
        <v>200</v>
      </c>
      <c r="AI74" s="290">
        <v>2017</v>
      </c>
      <c r="AJ74" s="290" t="s">
        <v>65</v>
      </c>
      <c r="AK74" s="290">
        <v>35699</v>
      </c>
      <c r="AL74" s="290" t="s">
        <v>66</v>
      </c>
      <c r="AM74" s="290">
        <v>26</v>
      </c>
      <c r="AN74" s="394" t="s">
        <v>203</v>
      </c>
      <c r="AO74" s="395">
        <v>2016</v>
      </c>
      <c r="AP74" s="395" t="s">
        <v>65</v>
      </c>
      <c r="AQ74" s="395">
        <v>48200</v>
      </c>
      <c r="AR74" s="395" t="s">
        <v>72</v>
      </c>
      <c r="AS74" s="396">
        <v>16</v>
      </c>
      <c r="AT74" s="397" t="s">
        <v>109</v>
      </c>
      <c r="AU74" s="398">
        <v>2015</v>
      </c>
      <c r="AV74" s="398" t="s">
        <v>65</v>
      </c>
      <c r="AW74" s="398">
        <v>3600</v>
      </c>
      <c r="AX74" s="398" t="s">
        <v>66</v>
      </c>
      <c r="AY74" s="399">
        <v>4</v>
      </c>
      <c r="AZ74" s="400" t="s">
        <v>211</v>
      </c>
      <c r="BA74" s="401">
        <v>2014</v>
      </c>
      <c r="BB74" s="401" t="s">
        <v>65</v>
      </c>
      <c r="BC74" s="401">
        <v>63052</v>
      </c>
      <c r="BD74" s="401" t="s">
        <v>72</v>
      </c>
      <c r="BE74" s="402">
        <v>2</v>
      </c>
    </row>
    <row r="75" spans="1:57" x14ac:dyDescent="0.3">
      <c r="A75" s="350" t="s">
        <v>147</v>
      </c>
      <c r="B75" s="350" t="s">
        <v>165</v>
      </c>
      <c r="C75" s="350">
        <v>2018</v>
      </c>
      <c r="D75" s="350" t="s">
        <v>65</v>
      </c>
      <c r="E75" s="350">
        <v>150000</v>
      </c>
      <c r="F75" s="353" t="s">
        <v>72</v>
      </c>
      <c r="G75" s="353">
        <v>18</v>
      </c>
      <c r="I75" s="382" t="s">
        <v>147</v>
      </c>
      <c r="J75" s="383" t="s">
        <v>200</v>
      </c>
      <c r="K75" s="383">
        <v>2021</v>
      </c>
      <c r="L75" s="383" t="s">
        <v>65</v>
      </c>
      <c r="M75" s="383">
        <v>35699</v>
      </c>
      <c r="N75" s="383" t="s">
        <v>66</v>
      </c>
      <c r="O75" s="384">
        <v>9</v>
      </c>
      <c r="P75" s="387" t="s">
        <v>201</v>
      </c>
      <c r="Q75" s="388">
        <v>2020</v>
      </c>
      <c r="R75" s="388" t="s">
        <v>65</v>
      </c>
      <c r="S75" s="388">
        <v>1300</v>
      </c>
      <c r="T75" s="388" t="s">
        <v>66</v>
      </c>
      <c r="U75" s="389">
        <v>1</v>
      </c>
      <c r="V75" s="289" t="s">
        <v>204</v>
      </c>
      <c r="W75" s="289">
        <v>2019</v>
      </c>
      <c r="X75" s="289" t="s">
        <v>65</v>
      </c>
      <c r="Y75" s="289">
        <v>53000</v>
      </c>
      <c r="Z75" s="289" t="s">
        <v>72</v>
      </c>
      <c r="AA75" s="289">
        <v>793</v>
      </c>
      <c r="AB75" s="391" t="s">
        <v>202</v>
      </c>
      <c r="AC75" s="392">
        <v>2018</v>
      </c>
      <c r="AD75" s="392" t="s">
        <v>65</v>
      </c>
      <c r="AE75" s="392">
        <v>40600</v>
      </c>
      <c r="AF75" s="392" t="s">
        <v>72</v>
      </c>
      <c r="AG75" s="393">
        <v>10</v>
      </c>
      <c r="AH75" s="290" t="s">
        <v>201</v>
      </c>
      <c r="AI75" s="290">
        <v>2017</v>
      </c>
      <c r="AJ75" s="290" t="s">
        <v>65</v>
      </c>
      <c r="AK75" s="290">
        <v>1300</v>
      </c>
      <c r="AL75" s="290" t="s">
        <v>66</v>
      </c>
      <c r="AM75" s="290">
        <v>2</v>
      </c>
      <c r="AN75" s="394" t="s">
        <v>109</v>
      </c>
      <c r="AO75" s="395">
        <v>2016</v>
      </c>
      <c r="AP75" s="395" t="s">
        <v>65</v>
      </c>
      <c r="AQ75" s="395">
        <v>3600</v>
      </c>
      <c r="AR75" s="395" t="s">
        <v>66</v>
      </c>
      <c r="AS75" s="396">
        <v>9</v>
      </c>
      <c r="AT75" s="397" t="s">
        <v>204</v>
      </c>
      <c r="AU75" s="398">
        <v>2015</v>
      </c>
      <c r="AV75" s="398" t="s">
        <v>65</v>
      </c>
      <c r="AW75" s="398">
        <v>53000</v>
      </c>
      <c r="AX75" s="398" t="s">
        <v>72</v>
      </c>
      <c r="AY75" s="399">
        <v>191</v>
      </c>
      <c r="AZ75" s="400" t="s">
        <v>114</v>
      </c>
      <c r="BA75" s="401">
        <v>2014</v>
      </c>
      <c r="BB75" s="401" t="s">
        <v>65</v>
      </c>
      <c r="BC75" s="401">
        <v>12500</v>
      </c>
      <c r="BD75" s="401" t="s">
        <v>66</v>
      </c>
      <c r="BE75" s="402">
        <v>9</v>
      </c>
    </row>
    <row r="76" spans="1:57" x14ac:dyDescent="0.3">
      <c r="A76" s="350" t="s">
        <v>147</v>
      </c>
      <c r="B76" s="350" t="s">
        <v>165</v>
      </c>
      <c r="C76" s="350">
        <v>2017</v>
      </c>
      <c r="D76" s="350" t="s">
        <v>65</v>
      </c>
      <c r="E76" s="350">
        <v>150000</v>
      </c>
      <c r="F76" s="353" t="s">
        <v>72</v>
      </c>
      <c r="G76" s="353">
        <v>16</v>
      </c>
      <c r="I76" s="382" t="s">
        <v>147</v>
      </c>
      <c r="J76" s="383" t="s">
        <v>201</v>
      </c>
      <c r="K76" s="383">
        <v>2021</v>
      </c>
      <c r="L76" s="383" t="s">
        <v>65</v>
      </c>
      <c r="M76" s="383">
        <v>1300</v>
      </c>
      <c r="N76" s="383" t="s">
        <v>66</v>
      </c>
      <c r="O76" s="384">
        <v>1</v>
      </c>
      <c r="P76" s="387" t="s">
        <v>108</v>
      </c>
      <c r="Q76" s="388">
        <v>2020</v>
      </c>
      <c r="R76" s="388" t="s">
        <v>65</v>
      </c>
      <c r="S76" s="388">
        <v>37478</v>
      </c>
      <c r="T76" s="388" t="s">
        <v>72</v>
      </c>
      <c r="U76" s="389">
        <v>10</v>
      </c>
      <c r="V76" s="289" t="s">
        <v>205</v>
      </c>
      <c r="W76" s="289">
        <v>2019</v>
      </c>
      <c r="X76" s="289" t="s">
        <v>65</v>
      </c>
      <c r="Y76" s="289">
        <v>84500</v>
      </c>
      <c r="Z76" s="289" t="s">
        <v>72</v>
      </c>
      <c r="AA76" s="289">
        <v>12</v>
      </c>
      <c r="AB76" s="391" t="s">
        <v>203</v>
      </c>
      <c r="AC76" s="392">
        <v>2018</v>
      </c>
      <c r="AD76" s="392" t="s">
        <v>65</v>
      </c>
      <c r="AE76" s="392">
        <v>48200</v>
      </c>
      <c r="AF76" s="392" t="s">
        <v>72</v>
      </c>
      <c r="AG76" s="393">
        <v>13</v>
      </c>
      <c r="AH76" s="290" t="s">
        <v>108</v>
      </c>
      <c r="AI76" s="290">
        <v>2017</v>
      </c>
      <c r="AJ76" s="290" t="s">
        <v>65</v>
      </c>
      <c r="AK76" s="290">
        <v>37478</v>
      </c>
      <c r="AL76" s="290" t="s">
        <v>72</v>
      </c>
      <c r="AM76" s="290">
        <v>3</v>
      </c>
      <c r="AN76" s="394" t="s">
        <v>204</v>
      </c>
      <c r="AO76" s="395">
        <v>2016</v>
      </c>
      <c r="AP76" s="395" t="s">
        <v>65</v>
      </c>
      <c r="AQ76" s="395">
        <v>53000</v>
      </c>
      <c r="AR76" s="395" t="s">
        <v>72</v>
      </c>
      <c r="AS76" s="396">
        <v>7</v>
      </c>
      <c r="AT76" s="397" t="s">
        <v>205</v>
      </c>
      <c r="AU76" s="398">
        <v>2015</v>
      </c>
      <c r="AV76" s="398" t="s">
        <v>65</v>
      </c>
      <c r="AW76" s="398">
        <v>84500</v>
      </c>
      <c r="AX76" s="398" t="s">
        <v>72</v>
      </c>
      <c r="AY76" s="399">
        <v>12</v>
      </c>
      <c r="AZ76" s="400" t="s">
        <v>115</v>
      </c>
      <c r="BA76" s="401">
        <v>2014</v>
      </c>
      <c r="BB76" s="401" t="s">
        <v>65</v>
      </c>
      <c r="BC76" s="401">
        <v>1764</v>
      </c>
      <c r="BD76" s="401" t="s">
        <v>66</v>
      </c>
      <c r="BE76" s="402">
        <v>4453</v>
      </c>
    </row>
    <row r="77" spans="1:57" x14ac:dyDescent="0.3">
      <c r="A77" s="350" t="s">
        <v>147</v>
      </c>
      <c r="B77" s="350" t="s">
        <v>165</v>
      </c>
      <c r="C77" s="350">
        <v>2016</v>
      </c>
      <c r="D77" s="350" t="s">
        <v>65</v>
      </c>
      <c r="E77" s="350">
        <v>150000</v>
      </c>
      <c r="F77" s="353" t="s">
        <v>72</v>
      </c>
      <c r="G77" s="353">
        <v>16</v>
      </c>
      <c r="I77" s="382" t="s">
        <v>147</v>
      </c>
      <c r="J77" s="383" t="s">
        <v>108</v>
      </c>
      <c r="K77" s="383">
        <v>2021</v>
      </c>
      <c r="L77" s="383" t="s">
        <v>65</v>
      </c>
      <c r="M77" s="383">
        <v>37478</v>
      </c>
      <c r="N77" s="383" t="s">
        <v>72</v>
      </c>
      <c r="O77" s="384">
        <v>9</v>
      </c>
      <c r="P77" s="387" t="s">
        <v>202</v>
      </c>
      <c r="Q77" s="388">
        <v>2020</v>
      </c>
      <c r="R77" s="388" t="s">
        <v>65</v>
      </c>
      <c r="S77" s="388">
        <v>40600</v>
      </c>
      <c r="T77" s="388" t="s">
        <v>72</v>
      </c>
      <c r="U77" s="389">
        <v>19</v>
      </c>
      <c r="V77" s="289" t="s">
        <v>206</v>
      </c>
      <c r="W77" s="289">
        <v>2019</v>
      </c>
      <c r="X77" s="289" t="s">
        <v>65</v>
      </c>
      <c r="Y77" s="289">
        <v>30842</v>
      </c>
      <c r="Z77" s="289" t="s">
        <v>72</v>
      </c>
      <c r="AA77" s="289">
        <v>1</v>
      </c>
      <c r="AB77" s="391" t="s">
        <v>109</v>
      </c>
      <c r="AC77" s="392">
        <v>2018</v>
      </c>
      <c r="AD77" s="392" t="s">
        <v>65</v>
      </c>
      <c r="AE77" s="392">
        <v>3600</v>
      </c>
      <c r="AF77" s="392" t="s">
        <v>66</v>
      </c>
      <c r="AG77" s="393">
        <v>3</v>
      </c>
      <c r="AH77" s="290" t="s">
        <v>202</v>
      </c>
      <c r="AI77" s="290">
        <v>2017</v>
      </c>
      <c r="AJ77" s="290" t="s">
        <v>65</v>
      </c>
      <c r="AK77" s="290">
        <v>40600</v>
      </c>
      <c r="AL77" s="290" t="s">
        <v>72</v>
      </c>
      <c r="AM77" s="290">
        <v>8</v>
      </c>
      <c r="AN77" s="394" t="s">
        <v>205</v>
      </c>
      <c r="AO77" s="395">
        <v>2016</v>
      </c>
      <c r="AP77" s="395" t="s">
        <v>65</v>
      </c>
      <c r="AQ77" s="395">
        <v>84500</v>
      </c>
      <c r="AR77" s="395" t="s">
        <v>72</v>
      </c>
      <c r="AS77" s="396">
        <v>4</v>
      </c>
      <c r="AT77" s="397" t="s">
        <v>206</v>
      </c>
      <c r="AU77" s="398">
        <v>2015</v>
      </c>
      <c r="AV77" s="398" t="s">
        <v>65</v>
      </c>
      <c r="AW77" s="398">
        <v>30842</v>
      </c>
      <c r="AX77" s="398" t="s">
        <v>72</v>
      </c>
      <c r="AY77" s="399">
        <v>9</v>
      </c>
      <c r="AZ77" s="400" t="s">
        <v>212</v>
      </c>
      <c r="BA77" s="401">
        <v>2014</v>
      </c>
      <c r="BB77" s="401" t="s">
        <v>65</v>
      </c>
      <c r="BC77" s="401">
        <v>25353</v>
      </c>
      <c r="BD77" s="401" t="s">
        <v>72</v>
      </c>
      <c r="BE77" s="402">
        <v>288</v>
      </c>
    </row>
    <row r="78" spans="1:57" x14ac:dyDescent="0.3">
      <c r="A78" s="350" t="s">
        <v>147</v>
      </c>
      <c r="B78" s="350" t="s">
        <v>165</v>
      </c>
      <c r="C78" s="350">
        <v>2015</v>
      </c>
      <c r="D78" s="350" t="s">
        <v>65</v>
      </c>
      <c r="E78" s="350">
        <v>150000</v>
      </c>
      <c r="F78" s="353" t="s">
        <v>72</v>
      </c>
      <c r="G78" s="353">
        <v>16</v>
      </c>
      <c r="I78" s="382" t="s">
        <v>147</v>
      </c>
      <c r="J78" s="383" t="s">
        <v>202</v>
      </c>
      <c r="K78" s="383">
        <v>2021</v>
      </c>
      <c r="L78" s="383" t="s">
        <v>65</v>
      </c>
      <c r="M78" s="383">
        <v>40600</v>
      </c>
      <c r="N78" s="383" t="s">
        <v>72</v>
      </c>
      <c r="O78" s="384">
        <v>11</v>
      </c>
      <c r="P78" s="387" t="s">
        <v>203</v>
      </c>
      <c r="Q78" s="388">
        <v>2020</v>
      </c>
      <c r="R78" s="388" t="s">
        <v>65</v>
      </c>
      <c r="S78" s="388">
        <v>48200</v>
      </c>
      <c r="T78" s="388" t="s">
        <v>72</v>
      </c>
      <c r="U78" s="389">
        <v>12</v>
      </c>
      <c r="V78" s="289" t="s">
        <v>111</v>
      </c>
      <c r="W78" s="289">
        <v>2019</v>
      </c>
      <c r="X78" s="289" t="s">
        <v>65</v>
      </c>
      <c r="Y78" s="289">
        <v>1764</v>
      </c>
      <c r="Z78" s="289" t="s">
        <v>66</v>
      </c>
      <c r="AA78" s="289">
        <v>21</v>
      </c>
      <c r="AB78" s="391" t="s">
        <v>204</v>
      </c>
      <c r="AC78" s="392">
        <v>2018</v>
      </c>
      <c r="AD78" s="392" t="s">
        <v>65</v>
      </c>
      <c r="AE78" s="392">
        <v>53000</v>
      </c>
      <c r="AF78" s="392" t="s">
        <v>72</v>
      </c>
      <c r="AG78" s="393">
        <v>775</v>
      </c>
      <c r="AH78" s="290" t="s">
        <v>203</v>
      </c>
      <c r="AI78" s="290">
        <v>2017</v>
      </c>
      <c r="AJ78" s="290" t="s">
        <v>65</v>
      </c>
      <c r="AK78" s="290">
        <v>48200</v>
      </c>
      <c r="AL78" s="290" t="s">
        <v>72</v>
      </c>
      <c r="AM78" s="290">
        <v>12</v>
      </c>
      <c r="AN78" s="394" t="s">
        <v>206</v>
      </c>
      <c r="AO78" s="395">
        <v>2016</v>
      </c>
      <c r="AP78" s="395" t="s">
        <v>65</v>
      </c>
      <c r="AQ78" s="395">
        <v>30842</v>
      </c>
      <c r="AR78" s="395" t="s">
        <v>72</v>
      </c>
      <c r="AS78" s="396">
        <v>4</v>
      </c>
      <c r="AT78" s="397" t="s">
        <v>111</v>
      </c>
      <c r="AU78" s="398">
        <v>2015</v>
      </c>
      <c r="AV78" s="398" t="s">
        <v>65</v>
      </c>
      <c r="AW78" s="398">
        <v>1764</v>
      </c>
      <c r="AX78" s="398" t="s">
        <v>66</v>
      </c>
      <c r="AY78" s="399">
        <v>47</v>
      </c>
      <c r="AZ78" s="400" t="s">
        <v>213</v>
      </c>
      <c r="BA78" s="401">
        <v>2014</v>
      </c>
      <c r="BB78" s="401" t="s">
        <v>65</v>
      </c>
      <c r="BC78" s="401">
        <v>44070</v>
      </c>
      <c r="BD78" s="401" t="s">
        <v>72</v>
      </c>
      <c r="BE78" s="402">
        <v>1</v>
      </c>
    </row>
    <row r="79" spans="1:57" x14ac:dyDescent="0.3">
      <c r="A79" s="350" t="s">
        <v>147</v>
      </c>
      <c r="B79" s="350" t="s">
        <v>165</v>
      </c>
      <c r="C79" s="350">
        <v>2014</v>
      </c>
      <c r="D79" s="350" t="s">
        <v>65</v>
      </c>
      <c r="E79" s="350">
        <v>150000</v>
      </c>
      <c r="F79" s="353" t="s">
        <v>72</v>
      </c>
      <c r="G79" s="353">
        <v>9</v>
      </c>
      <c r="I79" s="382" t="s">
        <v>147</v>
      </c>
      <c r="J79" s="383" t="s">
        <v>203</v>
      </c>
      <c r="K79" s="383">
        <v>2021</v>
      </c>
      <c r="L79" s="383" t="s">
        <v>65</v>
      </c>
      <c r="M79" s="383">
        <v>48200</v>
      </c>
      <c r="N79" s="383" t="s">
        <v>72</v>
      </c>
      <c r="O79" s="384">
        <v>17</v>
      </c>
      <c r="P79" s="387" t="s">
        <v>109</v>
      </c>
      <c r="Q79" s="388">
        <v>2020</v>
      </c>
      <c r="R79" s="388" t="s">
        <v>65</v>
      </c>
      <c r="S79" s="388">
        <v>3600</v>
      </c>
      <c r="T79" s="388" t="s">
        <v>66</v>
      </c>
      <c r="U79" s="389">
        <v>4</v>
      </c>
      <c r="V79" s="289" t="s">
        <v>112</v>
      </c>
      <c r="W79" s="289">
        <v>2019</v>
      </c>
      <c r="X79" s="289" t="s">
        <v>65</v>
      </c>
      <c r="Y79" s="289">
        <v>2888</v>
      </c>
      <c r="Z79" s="289" t="s">
        <v>66</v>
      </c>
      <c r="AA79" s="289">
        <v>18</v>
      </c>
      <c r="AB79" s="391" t="s">
        <v>205</v>
      </c>
      <c r="AC79" s="392">
        <v>2018</v>
      </c>
      <c r="AD79" s="392" t="s">
        <v>65</v>
      </c>
      <c r="AE79" s="392">
        <v>84500</v>
      </c>
      <c r="AF79" s="392" t="s">
        <v>72</v>
      </c>
      <c r="AG79" s="393">
        <v>9</v>
      </c>
      <c r="AH79" s="290" t="s">
        <v>109</v>
      </c>
      <c r="AI79" s="290">
        <v>2017</v>
      </c>
      <c r="AJ79" s="290" t="s">
        <v>65</v>
      </c>
      <c r="AK79" s="290">
        <v>3600</v>
      </c>
      <c r="AL79" s="290" t="s">
        <v>66</v>
      </c>
      <c r="AM79" s="290">
        <v>9</v>
      </c>
      <c r="AN79" s="394" t="s">
        <v>111</v>
      </c>
      <c r="AO79" s="395">
        <v>2016</v>
      </c>
      <c r="AP79" s="395" t="s">
        <v>65</v>
      </c>
      <c r="AQ79" s="395">
        <v>1764</v>
      </c>
      <c r="AR79" s="395" t="s">
        <v>66</v>
      </c>
      <c r="AS79" s="396">
        <v>41</v>
      </c>
      <c r="AT79" s="397" t="s">
        <v>112</v>
      </c>
      <c r="AU79" s="398">
        <v>2015</v>
      </c>
      <c r="AV79" s="398" t="s">
        <v>65</v>
      </c>
      <c r="AW79" s="398">
        <v>2888</v>
      </c>
      <c r="AX79" s="398" t="s">
        <v>66</v>
      </c>
      <c r="AY79" s="399">
        <v>17</v>
      </c>
      <c r="AZ79" s="400" t="s">
        <v>214</v>
      </c>
      <c r="BA79" s="401">
        <v>2014</v>
      </c>
      <c r="BB79" s="401" t="s">
        <v>65</v>
      </c>
      <c r="BC79" s="401">
        <v>53131</v>
      </c>
      <c r="BD79" s="401" t="s">
        <v>72</v>
      </c>
      <c r="BE79" s="402">
        <v>2</v>
      </c>
    </row>
    <row r="80" spans="1:57" x14ac:dyDescent="0.3">
      <c r="A80" s="350" t="s">
        <v>147</v>
      </c>
      <c r="B80" s="350" t="s">
        <v>246</v>
      </c>
      <c r="C80" s="350">
        <v>2021</v>
      </c>
      <c r="D80" s="350" t="s">
        <v>65</v>
      </c>
      <c r="E80" s="350">
        <v>149500</v>
      </c>
      <c r="F80" s="353" t="s">
        <v>72</v>
      </c>
      <c r="G80" s="353">
        <v>1</v>
      </c>
      <c r="I80" s="382" t="s">
        <v>147</v>
      </c>
      <c r="J80" s="383" t="s">
        <v>109</v>
      </c>
      <c r="K80" s="383">
        <v>2021</v>
      </c>
      <c r="L80" s="383" t="s">
        <v>65</v>
      </c>
      <c r="M80" s="383">
        <v>3600</v>
      </c>
      <c r="N80" s="383" t="s">
        <v>66</v>
      </c>
      <c r="O80" s="384">
        <v>3</v>
      </c>
      <c r="P80" s="387" t="s">
        <v>204</v>
      </c>
      <c r="Q80" s="388">
        <v>2020</v>
      </c>
      <c r="R80" s="388" t="s">
        <v>65</v>
      </c>
      <c r="S80" s="388">
        <v>53000</v>
      </c>
      <c r="T80" s="388" t="s">
        <v>72</v>
      </c>
      <c r="U80" s="389">
        <v>616</v>
      </c>
      <c r="V80" s="289" t="s">
        <v>113</v>
      </c>
      <c r="W80" s="289">
        <v>2019</v>
      </c>
      <c r="X80" s="289" t="s">
        <v>65</v>
      </c>
      <c r="Y80" s="289">
        <v>4407</v>
      </c>
      <c r="Z80" s="289" t="s">
        <v>66</v>
      </c>
      <c r="AA80" s="289">
        <v>1</v>
      </c>
      <c r="AB80" s="391" t="s">
        <v>206</v>
      </c>
      <c r="AC80" s="392">
        <v>2018</v>
      </c>
      <c r="AD80" s="392" t="s">
        <v>65</v>
      </c>
      <c r="AE80" s="392">
        <v>30842</v>
      </c>
      <c r="AF80" s="392" t="s">
        <v>72</v>
      </c>
      <c r="AG80" s="393">
        <v>2</v>
      </c>
      <c r="AH80" s="290" t="s">
        <v>204</v>
      </c>
      <c r="AI80" s="290">
        <v>2017</v>
      </c>
      <c r="AJ80" s="290" t="s">
        <v>65</v>
      </c>
      <c r="AK80" s="290">
        <v>53000</v>
      </c>
      <c r="AL80" s="290" t="s">
        <v>72</v>
      </c>
      <c r="AM80" s="290">
        <v>31</v>
      </c>
      <c r="AN80" s="394" t="s">
        <v>112</v>
      </c>
      <c r="AO80" s="395">
        <v>2016</v>
      </c>
      <c r="AP80" s="395" t="s">
        <v>65</v>
      </c>
      <c r="AQ80" s="395">
        <v>2888</v>
      </c>
      <c r="AR80" s="395" t="s">
        <v>66</v>
      </c>
      <c r="AS80" s="396">
        <v>19</v>
      </c>
      <c r="AT80" s="397" t="s">
        <v>113</v>
      </c>
      <c r="AU80" s="398">
        <v>2015</v>
      </c>
      <c r="AV80" s="398" t="s">
        <v>65</v>
      </c>
      <c r="AW80" s="398">
        <v>4407</v>
      </c>
      <c r="AX80" s="398" t="s">
        <v>66</v>
      </c>
      <c r="AY80" s="399">
        <v>1</v>
      </c>
      <c r="AZ80" s="400" t="s">
        <v>215</v>
      </c>
      <c r="BA80" s="401">
        <v>2014</v>
      </c>
      <c r="BB80" s="401" t="s">
        <v>65</v>
      </c>
      <c r="BC80" s="401">
        <v>85098</v>
      </c>
      <c r="BD80" s="401" t="s">
        <v>72</v>
      </c>
      <c r="BE80" s="402">
        <v>3</v>
      </c>
    </row>
    <row r="81" spans="1:57" x14ac:dyDescent="0.3">
      <c r="A81" s="350" t="s">
        <v>147</v>
      </c>
      <c r="B81" s="350" t="s">
        <v>246</v>
      </c>
      <c r="C81" s="350">
        <v>2018</v>
      </c>
      <c r="D81" s="350" t="s">
        <v>65</v>
      </c>
      <c r="E81" s="350">
        <v>149500</v>
      </c>
      <c r="F81" s="353" t="s">
        <v>72</v>
      </c>
      <c r="G81" s="353">
        <v>1</v>
      </c>
      <c r="I81" s="382" t="s">
        <v>147</v>
      </c>
      <c r="J81" s="383" t="s">
        <v>204</v>
      </c>
      <c r="K81" s="383">
        <v>2021</v>
      </c>
      <c r="L81" s="383" t="s">
        <v>65</v>
      </c>
      <c r="M81" s="383">
        <v>53000</v>
      </c>
      <c r="N81" s="383" t="s">
        <v>72</v>
      </c>
      <c r="O81" s="384">
        <v>425</v>
      </c>
      <c r="P81" s="387" t="s">
        <v>111</v>
      </c>
      <c r="Q81" s="388">
        <v>2020</v>
      </c>
      <c r="R81" s="388" t="s">
        <v>65</v>
      </c>
      <c r="S81" s="388">
        <v>1764</v>
      </c>
      <c r="T81" s="388" t="s">
        <v>66</v>
      </c>
      <c r="U81" s="389">
        <v>10</v>
      </c>
      <c r="V81" s="289" t="s">
        <v>208</v>
      </c>
      <c r="W81" s="289">
        <v>2019</v>
      </c>
      <c r="X81" s="289" t="s">
        <v>65</v>
      </c>
      <c r="Y81" s="289">
        <v>90700</v>
      </c>
      <c r="Z81" s="289" t="s">
        <v>72</v>
      </c>
      <c r="AA81" s="289">
        <v>1</v>
      </c>
      <c r="AB81" s="391" t="s">
        <v>111</v>
      </c>
      <c r="AC81" s="392">
        <v>2018</v>
      </c>
      <c r="AD81" s="392" t="s">
        <v>65</v>
      </c>
      <c r="AE81" s="392">
        <v>1764</v>
      </c>
      <c r="AF81" s="392" t="s">
        <v>66</v>
      </c>
      <c r="AG81" s="393">
        <v>41</v>
      </c>
      <c r="AH81" s="290" t="s">
        <v>205</v>
      </c>
      <c r="AI81" s="290">
        <v>2017</v>
      </c>
      <c r="AJ81" s="290" t="s">
        <v>65</v>
      </c>
      <c r="AK81" s="290">
        <v>84500</v>
      </c>
      <c r="AL81" s="290" t="s">
        <v>72</v>
      </c>
      <c r="AM81" s="290">
        <v>13</v>
      </c>
      <c r="AN81" s="394" t="s">
        <v>113</v>
      </c>
      <c r="AO81" s="395">
        <v>2016</v>
      </c>
      <c r="AP81" s="395" t="s">
        <v>65</v>
      </c>
      <c r="AQ81" s="395">
        <v>4407</v>
      </c>
      <c r="AR81" s="395" t="s">
        <v>66</v>
      </c>
      <c r="AS81" s="396">
        <v>3</v>
      </c>
      <c r="AT81" s="397" t="s">
        <v>208</v>
      </c>
      <c r="AU81" s="398">
        <v>2015</v>
      </c>
      <c r="AV81" s="398" t="s">
        <v>65</v>
      </c>
      <c r="AW81" s="398">
        <v>90700</v>
      </c>
      <c r="AX81" s="398" t="s">
        <v>72</v>
      </c>
      <c r="AY81" s="399">
        <v>1</v>
      </c>
      <c r="AZ81" s="400" t="s">
        <v>216</v>
      </c>
      <c r="BA81" s="401">
        <v>2014</v>
      </c>
      <c r="BB81" s="401" t="s">
        <v>65</v>
      </c>
      <c r="BC81" s="401">
        <v>105358</v>
      </c>
      <c r="BD81" s="401" t="s">
        <v>83</v>
      </c>
      <c r="BE81" s="402">
        <v>6</v>
      </c>
    </row>
    <row r="82" spans="1:57" x14ac:dyDescent="0.3">
      <c r="A82" s="350" t="s">
        <v>147</v>
      </c>
      <c r="B82" s="350" t="s">
        <v>246</v>
      </c>
      <c r="C82" s="350">
        <v>2017</v>
      </c>
      <c r="D82" s="350" t="s">
        <v>65</v>
      </c>
      <c r="E82" s="350">
        <v>149500</v>
      </c>
      <c r="F82" s="353" t="s">
        <v>72</v>
      </c>
      <c r="G82" s="353">
        <v>1</v>
      </c>
      <c r="I82" s="382" t="s">
        <v>147</v>
      </c>
      <c r="J82" s="383" t="s">
        <v>205</v>
      </c>
      <c r="K82" s="383">
        <v>2021</v>
      </c>
      <c r="L82" s="383" t="s">
        <v>65</v>
      </c>
      <c r="M82" s="383">
        <v>84500</v>
      </c>
      <c r="N82" s="383" t="s">
        <v>72</v>
      </c>
      <c r="O82" s="384">
        <v>1</v>
      </c>
      <c r="P82" s="387" t="s">
        <v>112</v>
      </c>
      <c r="Q82" s="388">
        <v>2020</v>
      </c>
      <c r="R82" s="388" t="s">
        <v>65</v>
      </c>
      <c r="S82" s="388">
        <v>2888</v>
      </c>
      <c r="T82" s="388" t="s">
        <v>66</v>
      </c>
      <c r="U82" s="389">
        <v>15</v>
      </c>
      <c r="V82" s="289" t="s">
        <v>114</v>
      </c>
      <c r="W82" s="289">
        <v>2019</v>
      </c>
      <c r="X82" s="289" t="s">
        <v>65</v>
      </c>
      <c r="Y82" s="289">
        <v>12500</v>
      </c>
      <c r="Z82" s="289" t="s">
        <v>66</v>
      </c>
      <c r="AA82" s="289">
        <v>3</v>
      </c>
      <c r="AB82" s="391" t="s">
        <v>112</v>
      </c>
      <c r="AC82" s="392">
        <v>2018</v>
      </c>
      <c r="AD82" s="392" t="s">
        <v>65</v>
      </c>
      <c r="AE82" s="392">
        <v>2888</v>
      </c>
      <c r="AF82" s="392" t="s">
        <v>66</v>
      </c>
      <c r="AG82" s="393">
        <v>20</v>
      </c>
      <c r="AH82" s="290" t="s">
        <v>206</v>
      </c>
      <c r="AI82" s="290">
        <v>2017</v>
      </c>
      <c r="AJ82" s="290" t="s">
        <v>65</v>
      </c>
      <c r="AK82" s="290">
        <v>30842</v>
      </c>
      <c r="AL82" s="290" t="s">
        <v>72</v>
      </c>
      <c r="AM82" s="290">
        <v>2</v>
      </c>
      <c r="AN82" s="394" t="s">
        <v>207</v>
      </c>
      <c r="AO82" s="395">
        <v>2016</v>
      </c>
      <c r="AP82" s="395" t="s">
        <v>65</v>
      </c>
      <c r="AQ82" s="395">
        <v>430000</v>
      </c>
      <c r="AR82" s="395" t="s">
        <v>83</v>
      </c>
      <c r="AS82" s="396">
        <v>1</v>
      </c>
      <c r="AT82" s="397" t="s">
        <v>209</v>
      </c>
      <c r="AU82" s="398">
        <v>2015</v>
      </c>
      <c r="AV82" s="398" t="s">
        <v>65</v>
      </c>
      <c r="AW82" s="398">
        <v>110098</v>
      </c>
      <c r="AX82" s="398" t="s">
        <v>72</v>
      </c>
      <c r="AY82" s="399">
        <v>5</v>
      </c>
      <c r="AZ82" s="400" t="s">
        <v>217</v>
      </c>
      <c r="BA82" s="401">
        <v>2014</v>
      </c>
      <c r="BB82" s="401" t="s">
        <v>65</v>
      </c>
      <c r="BC82" s="401">
        <v>53131</v>
      </c>
      <c r="BD82" s="401" t="s">
        <v>72</v>
      </c>
      <c r="BE82" s="402">
        <v>7</v>
      </c>
    </row>
    <row r="83" spans="1:57" x14ac:dyDescent="0.3">
      <c r="A83" s="350" t="s">
        <v>147</v>
      </c>
      <c r="B83" s="350" t="s">
        <v>246</v>
      </c>
      <c r="C83" s="350">
        <v>2015</v>
      </c>
      <c r="D83" s="350" t="s">
        <v>65</v>
      </c>
      <c r="E83" s="350">
        <v>149500</v>
      </c>
      <c r="F83" s="353" t="s">
        <v>72</v>
      </c>
      <c r="G83" s="353">
        <v>4</v>
      </c>
      <c r="I83" s="382" t="s">
        <v>147</v>
      </c>
      <c r="J83" s="383" t="s">
        <v>110</v>
      </c>
      <c r="K83" s="383">
        <v>2021</v>
      </c>
      <c r="L83" s="383" t="s">
        <v>65</v>
      </c>
      <c r="M83" s="383">
        <v>80500</v>
      </c>
      <c r="N83" s="383" t="s">
        <v>72</v>
      </c>
      <c r="O83" s="384">
        <v>1</v>
      </c>
      <c r="P83" s="387" t="s">
        <v>113</v>
      </c>
      <c r="Q83" s="388">
        <v>2020</v>
      </c>
      <c r="R83" s="388" t="s">
        <v>65</v>
      </c>
      <c r="S83" s="388">
        <v>4407</v>
      </c>
      <c r="T83" s="388" t="s">
        <v>66</v>
      </c>
      <c r="U83" s="389">
        <v>3</v>
      </c>
      <c r="V83" s="289" t="s">
        <v>115</v>
      </c>
      <c r="W83" s="289">
        <v>2019</v>
      </c>
      <c r="X83" s="289" t="s">
        <v>65</v>
      </c>
      <c r="Y83" s="289">
        <v>1764</v>
      </c>
      <c r="Z83" s="289" t="s">
        <v>66</v>
      </c>
      <c r="AA83" s="289">
        <v>12352</v>
      </c>
      <c r="AB83" s="391" t="s">
        <v>113</v>
      </c>
      <c r="AC83" s="392">
        <v>2018</v>
      </c>
      <c r="AD83" s="392" t="s">
        <v>65</v>
      </c>
      <c r="AE83" s="392">
        <v>4407</v>
      </c>
      <c r="AF83" s="392" t="s">
        <v>66</v>
      </c>
      <c r="AG83" s="393">
        <v>1</v>
      </c>
      <c r="AH83" s="290" t="s">
        <v>111</v>
      </c>
      <c r="AI83" s="290">
        <v>2017</v>
      </c>
      <c r="AJ83" s="290" t="s">
        <v>65</v>
      </c>
      <c r="AK83" s="290">
        <v>1764</v>
      </c>
      <c r="AL83" s="290" t="s">
        <v>66</v>
      </c>
      <c r="AM83" s="290">
        <v>90</v>
      </c>
      <c r="AN83" s="394" t="s">
        <v>208</v>
      </c>
      <c r="AO83" s="395">
        <v>2016</v>
      </c>
      <c r="AP83" s="395" t="s">
        <v>65</v>
      </c>
      <c r="AQ83" s="395">
        <v>90700</v>
      </c>
      <c r="AR83" s="395" t="s">
        <v>72</v>
      </c>
      <c r="AS83" s="396">
        <v>6</v>
      </c>
      <c r="AT83" s="397" t="s">
        <v>211</v>
      </c>
      <c r="AU83" s="398">
        <v>2015</v>
      </c>
      <c r="AV83" s="398" t="s">
        <v>65</v>
      </c>
      <c r="AW83" s="398">
        <v>63052</v>
      </c>
      <c r="AX83" s="398" t="s">
        <v>72</v>
      </c>
      <c r="AY83" s="399">
        <v>5</v>
      </c>
      <c r="AZ83" s="400" t="s">
        <v>116</v>
      </c>
      <c r="BA83" s="401">
        <v>2014</v>
      </c>
      <c r="BB83" s="401" t="s">
        <v>65</v>
      </c>
      <c r="BC83" s="401">
        <v>10471</v>
      </c>
      <c r="BD83" s="401" t="s">
        <v>66</v>
      </c>
      <c r="BE83" s="402">
        <v>32</v>
      </c>
    </row>
    <row r="84" spans="1:57" x14ac:dyDescent="0.3">
      <c r="A84" s="350" t="s">
        <v>147</v>
      </c>
      <c r="B84" s="350" t="s">
        <v>246</v>
      </c>
      <c r="C84" s="350">
        <v>2014</v>
      </c>
      <c r="D84" s="350" t="s">
        <v>65</v>
      </c>
      <c r="E84" s="350">
        <v>149500</v>
      </c>
      <c r="F84" s="353" t="s">
        <v>72</v>
      </c>
      <c r="G84" s="353">
        <v>6</v>
      </c>
      <c r="I84" s="382" t="s">
        <v>147</v>
      </c>
      <c r="J84" s="383" t="s">
        <v>111</v>
      </c>
      <c r="K84" s="383">
        <v>2021</v>
      </c>
      <c r="L84" s="383" t="s">
        <v>65</v>
      </c>
      <c r="M84" s="383">
        <v>1764</v>
      </c>
      <c r="N84" s="383" t="s">
        <v>66</v>
      </c>
      <c r="O84" s="384">
        <v>3</v>
      </c>
      <c r="P84" s="387" t="s">
        <v>209</v>
      </c>
      <c r="Q84" s="388">
        <v>2020</v>
      </c>
      <c r="R84" s="388" t="s">
        <v>65</v>
      </c>
      <c r="S84" s="388">
        <v>110098</v>
      </c>
      <c r="T84" s="388" t="s">
        <v>72</v>
      </c>
      <c r="U84" s="389">
        <v>1</v>
      </c>
      <c r="V84" s="289" t="s">
        <v>212</v>
      </c>
      <c r="W84" s="289">
        <v>2019</v>
      </c>
      <c r="X84" s="289" t="s">
        <v>65</v>
      </c>
      <c r="Y84" s="289">
        <v>25353</v>
      </c>
      <c r="Z84" s="289" t="s">
        <v>72</v>
      </c>
      <c r="AA84" s="289">
        <v>3</v>
      </c>
      <c r="AB84" s="391" t="s">
        <v>207</v>
      </c>
      <c r="AC84" s="392">
        <v>2018</v>
      </c>
      <c r="AD84" s="392" t="s">
        <v>65</v>
      </c>
      <c r="AE84" s="392">
        <v>430000</v>
      </c>
      <c r="AF84" s="392" t="s">
        <v>83</v>
      </c>
      <c r="AG84" s="393">
        <v>1</v>
      </c>
      <c r="AH84" s="290" t="s">
        <v>112</v>
      </c>
      <c r="AI84" s="290">
        <v>2017</v>
      </c>
      <c r="AJ84" s="290" t="s">
        <v>65</v>
      </c>
      <c r="AK84" s="290">
        <v>2888</v>
      </c>
      <c r="AL84" s="290" t="s">
        <v>66</v>
      </c>
      <c r="AM84" s="290">
        <v>23</v>
      </c>
      <c r="AN84" s="394" t="s">
        <v>210</v>
      </c>
      <c r="AO84" s="395">
        <v>2016</v>
      </c>
      <c r="AP84" s="395" t="s">
        <v>65</v>
      </c>
      <c r="AQ84" s="395">
        <v>34392</v>
      </c>
      <c r="AR84" s="395" t="s">
        <v>72</v>
      </c>
      <c r="AS84" s="396">
        <v>2</v>
      </c>
      <c r="AT84" s="397" t="s">
        <v>114</v>
      </c>
      <c r="AU84" s="398">
        <v>2015</v>
      </c>
      <c r="AV84" s="398" t="s">
        <v>65</v>
      </c>
      <c r="AW84" s="398">
        <v>12500</v>
      </c>
      <c r="AX84" s="398" t="s">
        <v>66</v>
      </c>
      <c r="AY84" s="399">
        <v>26</v>
      </c>
      <c r="AZ84" s="400" t="s">
        <v>218</v>
      </c>
      <c r="BA84" s="401">
        <v>2014</v>
      </c>
      <c r="BB84" s="401" t="s">
        <v>65</v>
      </c>
      <c r="BC84" s="401">
        <v>17528</v>
      </c>
      <c r="BD84" s="401" t="s">
        <v>66</v>
      </c>
      <c r="BE84" s="402">
        <v>13</v>
      </c>
    </row>
    <row r="85" spans="1:57" x14ac:dyDescent="0.3">
      <c r="A85" s="350" t="s">
        <v>147</v>
      </c>
      <c r="B85" s="350" t="s">
        <v>245</v>
      </c>
      <c r="C85" s="350">
        <v>2017</v>
      </c>
      <c r="D85" s="350" t="s">
        <v>65</v>
      </c>
      <c r="E85" s="350">
        <v>149499</v>
      </c>
      <c r="F85" s="353" t="s">
        <v>72</v>
      </c>
      <c r="G85" s="353">
        <v>1</v>
      </c>
      <c r="I85" s="382" t="s">
        <v>147</v>
      </c>
      <c r="J85" s="383" t="s">
        <v>112</v>
      </c>
      <c r="K85" s="383">
        <v>2021</v>
      </c>
      <c r="L85" s="383" t="s">
        <v>65</v>
      </c>
      <c r="M85" s="383">
        <v>2888</v>
      </c>
      <c r="N85" s="383" t="s">
        <v>66</v>
      </c>
      <c r="O85" s="384">
        <v>12</v>
      </c>
      <c r="P85" s="387" t="s">
        <v>210</v>
      </c>
      <c r="Q85" s="388">
        <v>2020</v>
      </c>
      <c r="R85" s="388" t="s">
        <v>65</v>
      </c>
      <c r="S85" s="388">
        <v>34392</v>
      </c>
      <c r="T85" s="388" t="s">
        <v>72</v>
      </c>
      <c r="U85" s="389">
        <v>2</v>
      </c>
      <c r="V85" s="289" t="s">
        <v>213</v>
      </c>
      <c r="W85" s="289">
        <v>2019</v>
      </c>
      <c r="X85" s="289" t="s">
        <v>65</v>
      </c>
      <c r="Y85" s="289">
        <v>44070</v>
      </c>
      <c r="Z85" s="289" t="s">
        <v>72</v>
      </c>
      <c r="AA85" s="289">
        <v>3</v>
      </c>
      <c r="AB85" s="391" t="s">
        <v>208</v>
      </c>
      <c r="AC85" s="392">
        <v>2018</v>
      </c>
      <c r="AD85" s="392" t="s">
        <v>65</v>
      </c>
      <c r="AE85" s="392">
        <v>90700</v>
      </c>
      <c r="AF85" s="392" t="s">
        <v>72</v>
      </c>
      <c r="AG85" s="393">
        <v>2</v>
      </c>
      <c r="AH85" s="290" t="s">
        <v>113</v>
      </c>
      <c r="AI85" s="290">
        <v>2017</v>
      </c>
      <c r="AJ85" s="290" t="s">
        <v>65</v>
      </c>
      <c r="AK85" s="290">
        <v>4407</v>
      </c>
      <c r="AL85" s="290" t="s">
        <v>66</v>
      </c>
      <c r="AM85" s="290">
        <v>9</v>
      </c>
      <c r="AN85" s="394" t="s">
        <v>114</v>
      </c>
      <c r="AO85" s="395">
        <v>2016</v>
      </c>
      <c r="AP85" s="395" t="s">
        <v>65</v>
      </c>
      <c r="AQ85" s="395">
        <v>12500</v>
      </c>
      <c r="AR85" s="395" t="s">
        <v>66</v>
      </c>
      <c r="AS85" s="396">
        <v>18</v>
      </c>
      <c r="AT85" s="397" t="s">
        <v>115</v>
      </c>
      <c r="AU85" s="398">
        <v>2015</v>
      </c>
      <c r="AV85" s="398" t="s">
        <v>65</v>
      </c>
      <c r="AW85" s="398">
        <v>1764</v>
      </c>
      <c r="AX85" s="398" t="s">
        <v>66</v>
      </c>
      <c r="AY85" s="399">
        <v>10601</v>
      </c>
      <c r="AZ85" s="400" t="s">
        <v>117</v>
      </c>
      <c r="BA85" s="401">
        <v>2014</v>
      </c>
      <c r="BB85" s="401" t="s">
        <v>65</v>
      </c>
      <c r="BC85" s="401">
        <v>39595</v>
      </c>
      <c r="BD85" s="401" t="s">
        <v>66</v>
      </c>
      <c r="BE85" s="402">
        <v>20</v>
      </c>
    </row>
    <row r="86" spans="1:57" x14ac:dyDescent="0.3">
      <c r="A86" s="350" t="s">
        <v>147</v>
      </c>
      <c r="B86" s="350" t="s">
        <v>245</v>
      </c>
      <c r="C86" s="350">
        <v>2015</v>
      </c>
      <c r="D86" s="350" t="s">
        <v>65</v>
      </c>
      <c r="E86" s="350">
        <v>149499</v>
      </c>
      <c r="F86" s="353" t="s">
        <v>72</v>
      </c>
      <c r="G86" s="353">
        <v>1</v>
      </c>
      <c r="I86" s="382" t="s">
        <v>147</v>
      </c>
      <c r="J86" s="383" t="s">
        <v>209</v>
      </c>
      <c r="K86" s="383">
        <v>2021</v>
      </c>
      <c r="L86" s="383" t="s">
        <v>65</v>
      </c>
      <c r="M86" s="383">
        <v>110098</v>
      </c>
      <c r="N86" s="383" t="s">
        <v>72</v>
      </c>
      <c r="O86" s="384">
        <v>4</v>
      </c>
      <c r="P86" s="387" t="s">
        <v>114</v>
      </c>
      <c r="Q86" s="388">
        <v>2020</v>
      </c>
      <c r="R86" s="388" t="s">
        <v>65</v>
      </c>
      <c r="S86" s="388">
        <v>12500</v>
      </c>
      <c r="T86" s="388" t="s">
        <v>66</v>
      </c>
      <c r="U86" s="389">
        <v>19</v>
      </c>
      <c r="V86" s="289" t="s">
        <v>214</v>
      </c>
      <c r="W86" s="289">
        <v>2019</v>
      </c>
      <c r="X86" s="289" t="s">
        <v>65</v>
      </c>
      <c r="Y86" s="289">
        <v>53131</v>
      </c>
      <c r="Z86" s="289" t="s">
        <v>72</v>
      </c>
      <c r="AA86" s="289">
        <v>8</v>
      </c>
      <c r="AB86" s="391" t="s">
        <v>209</v>
      </c>
      <c r="AC86" s="392">
        <v>2018</v>
      </c>
      <c r="AD86" s="392" t="s">
        <v>65</v>
      </c>
      <c r="AE86" s="392">
        <v>110098</v>
      </c>
      <c r="AF86" s="392" t="s">
        <v>72</v>
      </c>
      <c r="AG86" s="393">
        <v>1</v>
      </c>
      <c r="AH86" s="290" t="s">
        <v>209</v>
      </c>
      <c r="AI86" s="290">
        <v>2017</v>
      </c>
      <c r="AJ86" s="290" t="s">
        <v>65</v>
      </c>
      <c r="AK86" s="290">
        <v>110098</v>
      </c>
      <c r="AL86" s="290" t="s">
        <v>72</v>
      </c>
      <c r="AM86" s="290">
        <v>1</v>
      </c>
      <c r="AN86" s="394" t="s">
        <v>115</v>
      </c>
      <c r="AO86" s="395">
        <v>2016</v>
      </c>
      <c r="AP86" s="395" t="s">
        <v>65</v>
      </c>
      <c r="AQ86" s="395">
        <v>1764</v>
      </c>
      <c r="AR86" s="395" t="s">
        <v>66</v>
      </c>
      <c r="AS86" s="396">
        <v>11622</v>
      </c>
      <c r="AT86" s="397" t="s">
        <v>212</v>
      </c>
      <c r="AU86" s="398">
        <v>2015</v>
      </c>
      <c r="AV86" s="398" t="s">
        <v>65</v>
      </c>
      <c r="AW86" s="398">
        <v>25353</v>
      </c>
      <c r="AX86" s="398" t="s">
        <v>72</v>
      </c>
      <c r="AY86" s="399">
        <v>69</v>
      </c>
      <c r="AZ86" s="400" t="s">
        <v>118</v>
      </c>
      <c r="BA86" s="401">
        <v>2014</v>
      </c>
      <c r="BB86" s="401" t="s">
        <v>65</v>
      </c>
      <c r="BC86" s="401">
        <v>3306</v>
      </c>
      <c r="BD86" s="401" t="s">
        <v>66</v>
      </c>
      <c r="BE86" s="402">
        <v>2</v>
      </c>
    </row>
    <row r="87" spans="1:57" x14ac:dyDescent="0.3">
      <c r="A87" s="350" t="s">
        <v>147</v>
      </c>
      <c r="B87" s="350" t="s">
        <v>173</v>
      </c>
      <c r="C87" s="350">
        <v>2016</v>
      </c>
      <c r="D87" s="350" t="s">
        <v>65</v>
      </c>
      <c r="E87" s="350">
        <v>149000</v>
      </c>
      <c r="F87" s="353" t="s">
        <v>72</v>
      </c>
      <c r="G87" s="353">
        <v>2</v>
      </c>
      <c r="I87" s="382" t="s">
        <v>147</v>
      </c>
      <c r="J87" s="383" t="s">
        <v>210</v>
      </c>
      <c r="K87" s="383">
        <v>2021</v>
      </c>
      <c r="L87" s="383" t="s">
        <v>65</v>
      </c>
      <c r="M87" s="383">
        <v>34392</v>
      </c>
      <c r="N87" s="383" t="s">
        <v>72</v>
      </c>
      <c r="O87" s="384">
        <v>1</v>
      </c>
      <c r="P87" s="387" t="s">
        <v>115</v>
      </c>
      <c r="Q87" s="388">
        <v>2020</v>
      </c>
      <c r="R87" s="388" t="s">
        <v>65</v>
      </c>
      <c r="S87" s="388">
        <v>1764</v>
      </c>
      <c r="T87" s="388" t="s">
        <v>66</v>
      </c>
      <c r="U87" s="389">
        <v>8726</v>
      </c>
      <c r="V87" s="289" t="s">
        <v>215</v>
      </c>
      <c r="W87" s="289">
        <v>2019</v>
      </c>
      <c r="X87" s="289" t="s">
        <v>65</v>
      </c>
      <c r="Y87" s="289">
        <v>85098</v>
      </c>
      <c r="Z87" s="289" t="s">
        <v>72</v>
      </c>
      <c r="AA87" s="289">
        <v>1</v>
      </c>
      <c r="AB87" s="391" t="s">
        <v>114</v>
      </c>
      <c r="AC87" s="392">
        <v>2018</v>
      </c>
      <c r="AD87" s="392" t="s">
        <v>65</v>
      </c>
      <c r="AE87" s="392">
        <v>12500</v>
      </c>
      <c r="AF87" s="392" t="s">
        <v>66</v>
      </c>
      <c r="AG87" s="393">
        <v>12</v>
      </c>
      <c r="AH87" s="290" t="s">
        <v>114</v>
      </c>
      <c r="AI87" s="290">
        <v>2017</v>
      </c>
      <c r="AJ87" s="290" t="s">
        <v>65</v>
      </c>
      <c r="AK87" s="290">
        <v>12500</v>
      </c>
      <c r="AL87" s="290" t="s">
        <v>66</v>
      </c>
      <c r="AM87" s="290">
        <v>7</v>
      </c>
      <c r="AN87" s="394" t="s">
        <v>212</v>
      </c>
      <c r="AO87" s="395">
        <v>2016</v>
      </c>
      <c r="AP87" s="395" t="s">
        <v>65</v>
      </c>
      <c r="AQ87" s="395">
        <v>25353</v>
      </c>
      <c r="AR87" s="395" t="s">
        <v>72</v>
      </c>
      <c r="AS87" s="396">
        <v>358</v>
      </c>
      <c r="AT87" s="397" t="s">
        <v>214</v>
      </c>
      <c r="AU87" s="398">
        <v>2015</v>
      </c>
      <c r="AV87" s="398" t="s">
        <v>65</v>
      </c>
      <c r="AW87" s="398">
        <v>53131</v>
      </c>
      <c r="AX87" s="398" t="s">
        <v>72</v>
      </c>
      <c r="AY87" s="399">
        <v>6</v>
      </c>
      <c r="AZ87" s="400" t="s">
        <v>222</v>
      </c>
      <c r="BA87" s="401">
        <v>2014</v>
      </c>
      <c r="BB87" s="401" t="s">
        <v>65</v>
      </c>
      <c r="BC87" s="401">
        <v>51900</v>
      </c>
      <c r="BD87" s="401" t="s">
        <v>66</v>
      </c>
      <c r="BE87" s="402">
        <v>2</v>
      </c>
    </row>
    <row r="88" spans="1:57" x14ac:dyDescent="0.3">
      <c r="A88" s="350" t="s">
        <v>147</v>
      </c>
      <c r="B88" s="350" t="s">
        <v>164</v>
      </c>
      <c r="C88" s="350">
        <v>2021</v>
      </c>
      <c r="D88" s="350" t="s">
        <v>65</v>
      </c>
      <c r="E88" s="350">
        <v>139500</v>
      </c>
      <c r="F88" s="353" t="s">
        <v>72</v>
      </c>
      <c r="G88" s="353">
        <v>1</v>
      </c>
      <c r="I88" s="382" t="s">
        <v>147</v>
      </c>
      <c r="J88" s="383" t="s">
        <v>114</v>
      </c>
      <c r="K88" s="383">
        <v>2021</v>
      </c>
      <c r="L88" s="383" t="s">
        <v>65</v>
      </c>
      <c r="M88" s="383">
        <v>12500</v>
      </c>
      <c r="N88" s="383" t="s">
        <v>66</v>
      </c>
      <c r="O88" s="384">
        <v>6</v>
      </c>
      <c r="P88" s="387" t="s">
        <v>213</v>
      </c>
      <c r="Q88" s="388">
        <v>2020</v>
      </c>
      <c r="R88" s="388" t="s">
        <v>65</v>
      </c>
      <c r="S88" s="388">
        <v>44070</v>
      </c>
      <c r="T88" s="388" t="s">
        <v>72</v>
      </c>
      <c r="U88" s="389">
        <v>2</v>
      </c>
      <c r="V88" s="289" t="s">
        <v>116</v>
      </c>
      <c r="W88" s="289">
        <v>2019</v>
      </c>
      <c r="X88" s="289" t="s">
        <v>65</v>
      </c>
      <c r="Y88" s="289">
        <v>10471</v>
      </c>
      <c r="Z88" s="289" t="s">
        <v>66</v>
      </c>
      <c r="AA88" s="289">
        <v>56</v>
      </c>
      <c r="AB88" s="391" t="s">
        <v>115</v>
      </c>
      <c r="AC88" s="392">
        <v>2018</v>
      </c>
      <c r="AD88" s="392" t="s">
        <v>65</v>
      </c>
      <c r="AE88" s="392">
        <v>1764</v>
      </c>
      <c r="AF88" s="392" t="s">
        <v>66</v>
      </c>
      <c r="AG88" s="393">
        <v>11595</v>
      </c>
      <c r="AH88" s="290" t="s">
        <v>115</v>
      </c>
      <c r="AI88" s="290">
        <v>2017</v>
      </c>
      <c r="AJ88" s="290" t="s">
        <v>65</v>
      </c>
      <c r="AK88" s="290">
        <v>1764</v>
      </c>
      <c r="AL88" s="290" t="s">
        <v>66</v>
      </c>
      <c r="AM88" s="290">
        <v>10980</v>
      </c>
      <c r="AN88" s="394" t="s">
        <v>213</v>
      </c>
      <c r="AO88" s="395">
        <v>2016</v>
      </c>
      <c r="AP88" s="395" t="s">
        <v>65</v>
      </c>
      <c r="AQ88" s="395">
        <v>44070</v>
      </c>
      <c r="AR88" s="395" t="s">
        <v>72</v>
      </c>
      <c r="AS88" s="396">
        <v>3</v>
      </c>
      <c r="AT88" s="397" t="s">
        <v>215</v>
      </c>
      <c r="AU88" s="398">
        <v>2015</v>
      </c>
      <c r="AV88" s="398" t="s">
        <v>65</v>
      </c>
      <c r="AW88" s="398">
        <v>85098</v>
      </c>
      <c r="AX88" s="398" t="s">
        <v>72</v>
      </c>
      <c r="AY88" s="399">
        <v>3</v>
      </c>
      <c r="AZ88" s="400" t="s">
        <v>119</v>
      </c>
      <c r="BA88" s="401">
        <v>2014</v>
      </c>
      <c r="BB88" s="401" t="s">
        <v>65</v>
      </c>
      <c r="BC88" s="401">
        <v>34833</v>
      </c>
      <c r="BD88" s="401" t="s">
        <v>72</v>
      </c>
      <c r="BE88" s="402">
        <v>4</v>
      </c>
    </row>
    <row r="89" spans="1:57" x14ac:dyDescent="0.3">
      <c r="A89" s="350" t="s">
        <v>147</v>
      </c>
      <c r="B89" s="350" t="s">
        <v>164</v>
      </c>
      <c r="C89" s="350">
        <v>2017</v>
      </c>
      <c r="D89" s="350" t="s">
        <v>65</v>
      </c>
      <c r="E89" s="350">
        <v>139500</v>
      </c>
      <c r="F89" s="353" t="s">
        <v>72</v>
      </c>
      <c r="G89" s="353">
        <v>1</v>
      </c>
      <c r="I89" s="382" t="s">
        <v>147</v>
      </c>
      <c r="J89" s="383" t="s">
        <v>115</v>
      </c>
      <c r="K89" s="383">
        <v>2021</v>
      </c>
      <c r="L89" s="383" t="s">
        <v>65</v>
      </c>
      <c r="M89" s="383">
        <v>1764</v>
      </c>
      <c r="N89" s="383" t="s">
        <v>66</v>
      </c>
      <c r="O89" s="384">
        <v>9555</v>
      </c>
      <c r="P89" s="387" t="s">
        <v>116</v>
      </c>
      <c r="Q89" s="388">
        <v>2020</v>
      </c>
      <c r="R89" s="388" t="s">
        <v>65</v>
      </c>
      <c r="S89" s="388">
        <v>10471</v>
      </c>
      <c r="T89" s="388" t="s">
        <v>66</v>
      </c>
      <c r="U89" s="389">
        <v>31</v>
      </c>
      <c r="V89" s="289" t="s">
        <v>218</v>
      </c>
      <c r="W89" s="289">
        <v>2019</v>
      </c>
      <c r="X89" s="289" t="s">
        <v>65</v>
      </c>
      <c r="Y89" s="289">
        <v>17528</v>
      </c>
      <c r="Z89" s="289" t="s">
        <v>66</v>
      </c>
      <c r="AA89" s="289">
        <v>41</v>
      </c>
      <c r="AB89" s="391" t="s">
        <v>212</v>
      </c>
      <c r="AC89" s="392">
        <v>2018</v>
      </c>
      <c r="AD89" s="392" t="s">
        <v>65</v>
      </c>
      <c r="AE89" s="392">
        <v>25353</v>
      </c>
      <c r="AF89" s="392" t="s">
        <v>72</v>
      </c>
      <c r="AG89" s="393">
        <v>3</v>
      </c>
      <c r="AH89" s="290" t="s">
        <v>212</v>
      </c>
      <c r="AI89" s="290">
        <v>2017</v>
      </c>
      <c r="AJ89" s="290" t="s">
        <v>65</v>
      </c>
      <c r="AK89" s="290">
        <v>25353</v>
      </c>
      <c r="AL89" s="290" t="s">
        <v>72</v>
      </c>
      <c r="AM89" s="290">
        <v>63</v>
      </c>
      <c r="AN89" s="394" t="s">
        <v>214</v>
      </c>
      <c r="AO89" s="395">
        <v>2016</v>
      </c>
      <c r="AP89" s="395" t="s">
        <v>65</v>
      </c>
      <c r="AQ89" s="395">
        <v>53131</v>
      </c>
      <c r="AR89" s="395" t="s">
        <v>72</v>
      </c>
      <c r="AS89" s="396">
        <v>8</v>
      </c>
      <c r="AT89" s="397" t="s">
        <v>216</v>
      </c>
      <c r="AU89" s="398">
        <v>2015</v>
      </c>
      <c r="AV89" s="398" t="s">
        <v>65</v>
      </c>
      <c r="AW89" s="398">
        <v>105358</v>
      </c>
      <c r="AX89" s="398" t="s">
        <v>83</v>
      </c>
      <c r="AY89" s="399">
        <v>4</v>
      </c>
      <c r="AZ89" s="400" t="s">
        <v>225</v>
      </c>
      <c r="BA89" s="401">
        <v>2014</v>
      </c>
      <c r="BB89" s="401" t="s">
        <v>65</v>
      </c>
      <c r="BC89" s="401">
        <v>30325</v>
      </c>
      <c r="BD89" s="401" t="s">
        <v>72</v>
      </c>
      <c r="BE89" s="402">
        <v>4</v>
      </c>
    </row>
    <row r="90" spans="1:57" x14ac:dyDescent="0.3">
      <c r="A90" s="350" t="s">
        <v>147</v>
      </c>
      <c r="B90" s="350" t="s">
        <v>164</v>
      </c>
      <c r="C90" s="350">
        <v>2015</v>
      </c>
      <c r="D90" s="350" t="s">
        <v>65</v>
      </c>
      <c r="E90" s="350">
        <v>139500</v>
      </c>
      <c r="F90" s="353" t="s">
        <v>72</v>
      </c>
      <c r="G90" s="353">
        <v>2</v>
      </c>
      <c r="I90" s="382" t="s">
        <v>147</v>
      </c>
      <c r="J90" s="383" t="s">
        <v>212</v>
      </c>
      <c r="K90" s="383">
        <v>2021</v>
      </c>
      <c r="L90" s="383" t="s">
        <v>65</v>
      </c>
      <c r="M90" s="383">
        <v>25353</v>
      </c>
      <c r="N90" s="383" t="s">
        <v>72</v>
      </c>
      <c r="O90" s="384">
        <v>1</v>
      </c>
      <c r="P90" s="387" t="s">
        <v>218</v>
      </c>
      <c r="Q90" s="388">
        <v>2020</v>
      </c>
      <c r="R90" s="388" t="s">
        <v>65</v>
      </c>
      <c r="S90" s="388">
        <v>17528</v>
      </c>
      <c r="T90" s="388" t="s">
        <v>66</v>
      </c>
      <c r="U90" s="389">
        <v>38</v>
      </c>
      <c r="V90" s="289" t="s">
        <v>219</v>
      </c>
      <c r="W90" s="289">
        <v>2019</v>
      </c>
      <c r="X90" s="289" t="s">
        <v>65</v>
      </c>
      <c r="Y90" s="289">
        <v>89000</v>
      </c>
      <c r="Z90" s="289" t="s">
        <v>72</v>
      </c>
      <c r="AA90" s="289">
        <v>2</v>
      </c>
      <c r="AB90" s="391" t="s">
        <v>213</v>
      </c>
      <c r="AC90" s="392">
        <v>2018</v>
      </c>
      <c r="AD90" s="392" t="s">
        <v>65</v>
      </c>
      <c r="AE90" s="392">
        <v>44070</v>
      </c>
      <c r="AF90" s="392" t="s">
        <v>72</v>
      </c>
      <c r="AG90" s="393">
        <v>7</v>
      </c>
      <c r="AH90" s="290" t="s">
        <v>213</v>
      </c>
      <c r="AI90" s="290">
        <v>2017</v>
      </c>
      <c r="AJ90" s="290" t="s">
        <v>65</v>
      </c>
      <c r="AK90" s="290">
        <v>44070</v>
      </c>
      <c r="AL90" s="290" t="s">
        <v>72</v>
      </c>
      <c r="AM90" s="290">
        <v>2</v>
      </c>
      <c r="AN90" s="394" t="s">
        <v>215</v>
      </c>
      <c r="AO90" s="395">
        <v>2016</v>
      </c>
      <c r="AP90" s="395" t="s">
        <v>65</v>
      </c>
      <c r="AQ90" s="395">
        <v>85098</v>
      </c>
      <c r="AR90" s="395" t="s">
        <v>72</v>
      </c>
      <c r="AS90" s="396">
        <v>1</v>
      </c>
      <c r="AT90" s="397" t="s">
        <v>217</v>
      </c>
      <c r="AU90" s="398">
        <v>2015</v>
      </c>
      <c r="AV90" s="398" t="s">
        <v>65</v>
      </c>
      <c r="AW90" s="398">
        <v>53131</v>
      </c>
      <c r="AX90" s="398" t="s">
        <v>72</v>
      </c>
      <c r="AY90" s="399">
        <v>4</v>
      </c>
      <c r="AZ90" s="400" t="s">
        <v>226</v>
      </c>
      <c r="BA90" s="401">
        <v>2014</v>
      </c>
      <c r="BB90" s="401" t="s">
        <v>65</v>
      </c>
      <c r="BC90" s="401">
        <v>38801</v>
      </c>
      <c r="BD90" s="401" t="s">
        <v>66</v>
      </c>
      <c r="BE90" s="402">
        <v>1</v>
      </c>
    </row>
    <row r="91" spans="1:57" x14ac:dyDescent="0.3">
      <c r="A91" s="350" t="s">
        <v>147</v>
      </c>
      <c r="B91" s="350" t="s">
        <v>164</v>
      </c>
      <c r="C91" s="350">
        <v>2014</v>
      </c>
      <c r="D91" s="350" t="s">
        <v>65</v>
      </c>
      <c r="E91" s="350">
        <v>139500</v>
      </c>
      <c r="F91" s="353" t="s">
        <v>72</v>
      </c>
      <c r="G91" s="353">
        <v>6</v>
      </c>
      <c r="I91" s="382" t="s">
        <v>147</v>
      </c>
      <c r="J91" s="383" t="s">
        <v>213</v>
      </c>
      <c r="K91" s="383">
        <v>2021</v>
      </c>
      <c r="L91" s="383" t="s">
        <v>65</v>
      </c>
      <c r="M91" s="383">
        <v>44070</v>
      </c>
      <c r="N91" s="383" t="s">
        <v>72</v>
      </c>
      <c r="O91" s="384">
        <v>4</v>
      </c>
      <c r="P91" s="387" t="s">
        <v>117</v>
      </c>
      <c r="Q91" s="388">
        <v>2020</v>
      </c>
      <c r="R91" s="388" t="s">
        <v>65</v>
      </c>
      <c r="S91" s="388">
        <v>39595</v>
      </c>
      <c r="T91" s="388" t="s">
        <v>66</v>
      </c>
      <c r="U91" s="389">
        <v>32</v>
      </c>
      <c r="V91" s="289" t="s">
        <v>117</v>
      </c>
      <c r="W91" s="289">
        <v>2019</v>
      </c>
      <c r="X91" s="289" t="s">
        <v>65</v>
      </c>
      <c r="Y91" s="289">
        <v>39595</v>
      </c>
      <c r="Z91" s="289" t="s">
        <v>66</v>
      </c>
      <c r="AA91" s="289">
        <v>33</v>
      </c>
      <c r="AB91" s="391" t="s">
        <v>214</v>
      </c>
      <c r="AC91" s="392">
        <v>2018</v>
      </c>
      <c r="AD91" s="392" t="s">
        <v>65</v>
      </c>
      <c r="AE91" s="392">
        <v>53131</v>
      </c>
      <c r="AF91" s="392" t="s">
        <v>72</v>
      </c>
      <c r="AG91" s="393">
        <v>1</v>
      </c>
      <c r="AH91" s="290" t="s">
        <v>214</v>
      </c>
      <c r="AI91" s="290">
        <v>2017</v>
      </c>
      <c r="AJ91" s="290" t="s">
        <v>65</v>
      </c>
      <c r="AK91" s="290">
        <v>53131</v>
      </c>
      <c r="AL91" s="290" t="s">
        <v>72</v>
      </c>
      <c r="AM91" s="290">
        <v>5</v>
      </c>
      <c r="AN91" s="394" t="s">
        <v>116</v>
      </c>
      <c r="AO91" s="395">
        <v>2016</v>
      </c>
      <c r="AP91" s="395" t="s">
        <v>65</v>
      </c>
      <c r="AQ91" s="395">
        <v>10471</v>
      </c>
      <c r="AR91" s="395" t="s">
        <v>66</v>
      </c>
      <c r="AS91" s="396">
        <v>70</v>
      </c>
      <c r="AT91" s="397" t="s">
        <v>116</v>
      </c>
      <c r="AU91" s="398">
        <v>2015</v>
      </c>
      <c r="AV91" s="398" t="s">
        <v>65</v>
      </c>
      <c r="AW91" s="398">
        <v>10471</v>
      </c>
      <c r="AX91" s="398" t="s">
        <v>66</v>
      </c>
      <c r="AY91" s="399">
        <v>51</v>
      </c>
      <c r="AZ91" s="400" t="s">
        <v>228</v>
      </c>
      <c r="BA91" s="401">
        <v>2014</v>
      </c>
      <c r="BB91" s="401" t="s">
        <v>65</v>
      </c>
      <c r="BC91" s="401">
        <v>26100</v>
      </c>
      <c r="BD91" s="401" t="s">
        <v>72</v>
      </c>
      <c r="BE91" s="402">
        <v>1</v>
      </c>
    </row>
    <row r="92" spans="1:57" x14ac:dyDescent="0.3">
      <c r="A92" s="350" t="s">
        <v>147</v>
      </c>
      <c r="B92" s="350" t="s">
        <v>166</v>
      </c>
      <c r="C92" s="350">
        <v>2019</v>
      </c>
      <c r="D92" s="350" t="s">
        <v>65</v>
      </c>
      <c r="E92" s="350">
        <v>136000</v>
      </c>
      <c r="F92" s="353" t="s">
        <v>72</v>
      </c>
      <c r="G92" s="353">
        <v>1</v>
      </c>
      <c r="I92" s="382" t="s">
        <v>147</v>
      </c>
      <c r="J92" s="383" t="s">
        <v>214</v>
      </c>
      <c r="K92" s="383">
        <v>2021</v>
      </c>
      <c r="L92" s="383" t="s">
        <v>65</v>
      </c>
      <c r="M92" s="383">
        <v>53131</v>
      </c>
      <c r="N92" s="383" t="s">
        <v>72</v>
      </c>
      <c r="O92" s="384">
        <v>2</v>
      </c>
      <c r="P92" s="387" t="s">
        <v>118</v>
      </c>
      <c r="Q92" s="388">
        <v>2020</v>
      </c>
      <c r="R92" s="388" t="s">
        <v>65</v>
      </c>
      <c r="S92" s="388">
        <v>3306</v>
      </c>
      <c r="T92" s="388" t="s">
        <v>66</v>
      </c>
      <c r="U92" s="389">
        <v>3</v>
      </c>
      <c r="V92" s="289" t="s">
        <v>221</v>
      </c>
      <c r="W92" s="289">
        <v>2019</v>
      </c>
      <c r="X92" s="289" t="s">
        <v>65</v>
      </c>
      <c r="Y92" s="289">
        <v>7500</v>
      </c>
      <c r="Z92" s="289" t="s">
        <v>66</v>
      </c>
      <c r="AA92" s="289">
        <v>3</v>
      </c>
      <c r="AB92" s="391" t="s">
        <v>116</v>
      </c>
      <c r="AC92" s="392">
        <v>2018</v>
      </c>
      <c r="AD92" s="392" t="s">
        <v>65</v>
      </c>
      <c r="AE92" s="392">
        <v>10471</v>
      </c>
      <c r="AF92" s="392" t="s">
        <v>66</v>
      </c>
      <c r="AG92" s="393">
        <v>65</v>
      </c>
      <c r="AH92" s="290" t="s">
        <v>215</v>
      </c>
      <c r="AI92" s="290">
        <v>2017</v>
      </c>
      <c r="AJ92" s="290" t="s">
        <v>65</v>
      </c>
      <c r="AK92" s="290">
        <v>85098</v>
      </c>
      <c r="AL92" s="290" t="s">
        <v>72</v>
      </c>
      <c r="AM92" s="290">
        <v>2</v>
      </c>
      <c r="AN92" s="394" t="s">
        <v>218</v>
      </c>
      <c r="AO92" s="395">
        <v>2016</v>
      </c>
      <c r="AP92" s="395" t="s">
        <v>65</v>
      </c>
      <c r="AQ92" s="395">
        <v>17528</v>
      </c>
      <c r="AR92" s="395" t="s">
        <v>66</v>
      </c>
      <c r="AS92" s="396">
        <v>30</v>
      </c>
      <c r="AT92" s="397" t="s">
        <v>218</v>
      </c>
      <c r="AU92" s="398">
        <v>2015</v>
      </c>
      <c r="AV92" s="398" t="s">
        <v>65</v>
      </c>
      <c r="AW92" s="398">
        <v>17528</v>
      </c>
      <c r="AX92" s="398" t="s">
        <v>66</v>
      </c>
      <c r="AY92" s="399">
        <v>26</v>
      </c>
      <c r="AZ92" s="400" t="s">
        <v>230</v>
      </c>
      <c r="BA92" s="401">
        <v>2014</v>
      </c>
      <c r="BB92" s="401" t="s">
        <v>65</v>
      </c>
      <c r="BC92" s="401">
        <v>33289</v>
      </c>
      <c r="BD92" s="401" t="s">
        <v>72</v>
      </c>
      <c r="BE92" s="402">
        <v>4</v>
      </c>
    </row>
    <row r="93" spans="1:57" x14ac:dyDescent="0.3">
      <c r="A93" s="350" t="s">
        <v>147</v>
      </c>
      <c r="B93" s="350" t="s">
        <v>250</v>
      </c>
      <c r="C93" s="350">
        <v>2015</v>
      </c>
      <c r="D93" s="350" t="s">
        <v>65</v>
      </c>
      <c r="E93" s="350">
        <v>135000</v>
      </c>
      <c r="F93" s="353" t="s">
        <v>72</v>
      </c>
      <c r="G93" s="353">
        <v>1</v>
      </c>
      <c r="I93" s="382" t="s">
        <v>147</v>
      </c>
      <c r="J93" s="383" t="s">
        <v>215</v>
      </c>
      <c r="K93" s="383">
        <v>2021</v>
      </c>
      <c r="L93" s="383" t="s">
        <v>65</v>
      </c>
      <c r="M93" s="383">
        <v>85098</v>
      </c>
      <c r="N93" s="383" t="s">
        <v>72</v>
      </c>
      <c r="O93" s="384">
        <v>1</v>
      </c>
      <c r="P93" s="387" t="s">
        <v>223</v>
      </c>
      <c r="Q93" s="388">
        <v>2020</v>
      </c>
      <c r="R93" s="388" t="s">
        <v>65</v>
      </c>
      <c r="S93" s="388">
        <v>55997</v>
      </c>
      <c r="T93" s="388" t="s">
        <v>66</v>
      </c>
      <c r="U93" s="389">
        <v>16</v>
      </c>
      <c r="V93" s="289" t="s">
        <v>118</v>
      </c>
      <c r="W93" s="289">
        <v>2019</v>
      </c>
      <c r="X93" s="289" t="s">
        <v>65</v>
      </c>
      <c r="Y93" s="289">
        <v>3306</v>
      </c>
      <c r="Z93" s="289" t="s">
        <v>66</v>
      </c>
      <c r="AA93" s="289">
        <v>5</v>
      </c>
      <c r="AB93" s="391" t="s">
        <v>218</v>
      </c>
      <c r="AC93" s="392">
        <v>2018</v>
      </c>
      <c r="AD93" s="392" t="s">
        <v>65</v>
      </c>
      <c r="AE93" s="392">
        <v>17528</v>
      </c>
      <c r="AF93" s="392" t="s">
        <v>66</v>
      </c>
      <c r="AG93" s="393">
        <v>39</v>
      </c>
      <c r="AH93" s="290" t="s">
        <v>116</v>
      </c>
      <c r="AI93" s="290">
        <v>2017</v>
      </c>
      <c r="AJ93" s="290" t="s">
        <v>65</v>
      </c>
      <c r="AK93" s="290">
        <v>10471</v>
      </c>
      <c r="AL93" s="290" t="s">
        <v>66</v>
      </c>
      <c r="AM93" s="290">
        <v>56</v>
      </c>
      <c r="AN93" s="394" t="s">
        <v>219</v>
      </c>
      <c r="AO93" s="395">
        <v>2016</v>
      </c>
      <c r="AP93" s="395" t="s">
        <v>65</v>
      </c>
      <c r="AQ93" s="395">
        <v>89000</v>
      </c>
      <c r="AR93" s="395" t="s">
        <v>72</v>
      </c>
      <c r="AS93" s="396">
        <v>1</v>
      </c>
      <c r="AT93" s="397" t="s">
        <v>117</v>
      </c>
      <c r="AU93" s="398">
        <v>2015</v>
      </c>
      <c r="AV93" s="398" t="s">
        <v>65</v>
      </c>
      <c r="AW93" s="398">
        <v>39595</v>
      </c>
      <c r="AX93" s="398" t="s">
        <v>66</v>
      </c>
      <c r="AY93" s="399">
        <v>35</v>
      </c>
      <c r="AZ93" s="400" t="s">
        <v>232</v>
      </c>
      <c r="BA93" s="401">
        <v>2014</v>
      </c>
      <c r="BB93" s="401" t="s">
        <v>65</v>
      </c>
      <c r="BC93" s="401">
        <v>73200</v>
      </c>
      <c r="BD93" s="401" t="s">
        <v>72</v>
      </c>
      <c r="BE93" s="402">
        <v>4</v>
      </c>
    </row>
    <row r="94" spans="1:57" x14ac:dyDescent="0.3">
      <c r="A94" s="350" t="s">
        <v>147</v>
      </c>
      <c r="B94" s="350" t="s">
        <v>172</v>
      </c>
      <c r="C94" s="350">
        <v>2021</v>
      </c>
      <c r="D94" s="350" t="s">
        <v>65</v>
      </c>
      <c r="E94" s="350">
        <v>134000</v>
      </c>
      <c r="F94" s="353" t="s">
        <v>72</v>
      </c>
      <c r="G94" s="353">
        <v>1</v>
      </c>
      <c r="I94" s="382" t="s">
        <v>147</v>
      </c>
      <c r="J94" s="383" t="s">
        <v>217</v>
      </c>
      <c r="K94" s="383">
        <v>2021</v>
      </c>
      <c r="L94" s="383" t="s">
        <v>65</v>
      </c>
      <c r="M94" s="383">
        <v>53131</v>
      </c>
      <c r="N94" s="383" t="s">
        <v>72</v>
      </c>
      <c r="O94" s="384">
        <v>4</v>
      </c>
      <c r="P94" s="387" t="s">
        <v>119</v>
      </c>
      <c r="Q94" s="388">
        <v>2020</v>
      </c>
      <c r="R94" s="388" t="s">
        <v>65</v>
      </c>
      <c r="S94" s="388">
        <v>34833</v>
      </c>
      <c r="T94" s="388" t="s">
        <v>72</v>
      </c>
      <c r="U94" s="389">
        <v>11</v>
      </c>
      <c r="V94" s="289" t="s">
        <v>223</v>
      </c>
      <c r="W94" s="289">
        <v>2019</v>
      </c>
      <c r="X94" s="289" t="s">
        <v>65</v>
      </c>
      <c r="Y94" s="289">
        <v>55997</v>
      </c>
      <c r="Z94" s="289" t="s">
        <v>66</v>
      </c>
      <c r="AA94" s="289">
        <v>48</v>
      </c>
      <c r="AB94" s="391" t="s">
        <v>219</v>
      </c>
      <c r="AC94" s="392">
        <v>2018</v>
      </c>
      <c r="AD94" s="392" t="s">
        <v>65</v>
      </c>
      <c r="AE94" s="392">
        <v>89000</v>
      </c>
      <c r="AF94" s="392" t="s">
        <v>72</v>
      </c>
      <c r="AG94" s="393">
        <v>1</v>
      </c>
      <c r="AH94" s="290" t="s">
        <v>218</v>
      </c>
      <c r="AI94" s="290">
        <v>2017</v>
      </c>
      <c r="AJ94" s="290" t="s">
        <v>65</v>
      </c>
      <c r="AK94" s="290">
        <v>17528</v>
      </c>
      <c r="AL94" s="290" t="s">
        <v>66</v>
      </c>
      <c r="AM94" s="290">
        <v>36</v>
      </c>
      <c r="AN94" s="394" t="s">
        <v>117</v>
      </c>
      <c r="AO94" s="395">
        <v>2016</v>
      </c>
      <c r="AP94" s="395" t="s">
        <v>65</v>
      </c>
      <c r="AQ94" s="395">
        <v>39595</v>
      </c>
      <c r="AR94" s="395" t="s">
        <v>66</v>
      </c>
      <c r="AS94" s="396">
        <v>51</v>
      </c>
      <c r="AT94" s="397" t="s">
        <v>221</v>
      </c>
      <c r="AU94" s="398">
        <v>2015</v>
      </c>
      <c r="AV94" s="398" t="s">
        <v>65</v>
      </c>
      <c r="AW94" s="398">
        <v>7500</v>
      </c>
      <c r="AX94" s="398" t="s">
        <v>66</v>
      </c>
      <c r="AY94" s="399">
        <v>1</v>
      </c>
      <c r="AZ94" s="400" t="s">
        <v>233</v>
      </c>
      <c r="BA94" s="401">
        <v>2014</v>
      </c>
      <c r="BB94" s="401" t="s">
        <v>65</v>
      </c>
      <c r="BC94" s="401">
        <v>88846</v>
      </c>
      <c r="BD94" s="401" t="s">
        <v>72</v>
      </c>
      <c r="BE94" s="402">
        <v>5</v>
      </c>
    </row>
    <row r="95" spans="1:57" x14ac:dyDescent="0.3">
      <c r="A95" s="350" t="s">
        <v>147</v>
      </c>
      <c r="B95" s="350" t="s">
        <v>209</v>
      </c>
      <c r="C95" s="350">
        <v>2021</v>
      </c>
      <c r="D95" s="350" t="s">
        <v>65</v>
      </c>
      <c r="E95" s="350">
        <v>110098</v>
      </c>
      <c r="F95" s="353" t="s">
        <v>72</v>
      </c>
      <c r="G95" s="353">
        <v>4</v>
      </c>
      <c r="I95" s="382" t="s">
        <v>147</v>
      </c>
      <c r="J95" s="383" t="s">
        <v>116</v>
      </c>
      <c r="K95" s="383">
        <v>2021</v>
      </c>
      <c r="L95" s="383" t="s">
        <v>65</v>
      </c>
      <c r="M95" s="383">
        <v>10471</v>
      </c>
      <c r="N95" s="383" t="s">
        <v>66</v>
      </c>
      <c r="O95" s="384">
        <v>47</v>
      </c>
      <c r="P95" s="387" t="s">
        <v>224</v>
      </c>
      <c r="Q95" s="388">
        <v>2020</v>
      </c>
      <c r="R95" s="388" t="s">
        <v>65</v>
      </c>
      <c r="S95" s="388">
        <v>45503</v>
      </c>
      <c r="T95" s="388" t="s">
        <v>72</v>
      </c>
      <c r="U95" s="389">
        <v>4</v>
      </c>
      <c r="V95" s="289" t="s">
        <v>119</v>
      </c>
      <c r="W95" s="289">
        <v>2019</v>
      </c>
      <c r="X95" s="289" t="s">
        <v>65</v>
      </c>
      <c r="Y95" s="289">
        <v>34833</v>
      </c>
      <c r="Z95" s="289" t="s">
        <v>72</v>
      </c>
      <c r="AA95" s="289">
        <v>5</v>
      </c>
      <c r="AB95" s="391" t="s">
        <v>117</v>
      </c>
      <c r="AC95" s="392">
        <v>2018</v>
      </c>
      <c r="AD95" s="392" t="s">
        <v>65</v>
      </c>
      <c r="AE95" s="392">
        <v>39595</v>
      </c>
      <c r="AF95" s="392" t="s">
        <v>66</v>
      </c>
      <c r="AG95" s="393">
        <v>44</v>
      </c>
      <c r="AH95" s="290" t="s">
        <v>220</v>
      </c>
      <c r="AI95" s="290">
        <v>2017</v>
      </c>
      <c r="AJ95" s="290" t="s">
        <v>65</v>
      </c>
      <c r="AK95" s="290">
        <v>89000</v>
      </c>
      <c r="AL95" s="290" t="s">
        <v>72</v>
      </c>
      <c r="AM95" s="290">
        <v>1</v>
      </c>
      <c r="AN95" s="394" t="s">
        <v>221</v>
      </c>
      <c r="AO95" s="395">
        <v>2016</v>
      </c>
      <c r="AP95" s="395" t="s">
        <v>65</v>
      </c>
      <c r="AQ95" s="395">
        <v>7500</v>
      </c>
      <c r="AR95" s="395" t="s">
        <v>66</v>
      </c>
      <c r="AS95" s="396">
        <v>1</v>
      </c>
      <c r="AT95" s="397" t="s">
        <v>118</v>
      </c>
      <c r="AU95" s="398">
        <v>2015</v>
      </c>
      <c r="AV95" s="398" t="s">
        <v>65</v>
      </c>
      <c r="AW95" s="398">
        <v>3306</v>
      </c>
      <c r="AX95" s="398" t="s">
        <v>66</v>
      </c>
      <c r="AY95" s="399">
        <v>1</v>
      </c>
      <c r="AZ95" s="400" t="s">
        <v>234</v>
      </c>
      <c r="BA95" s="401">
        <v>2014</v>
      </c>
      <c r="BB95" s="401" t="s">
        <v>65</v>
      </c>
      <c r="BC95" s="401">
        <v>99600</v>
      </c>
      <c r="BD95" s="401" t="s">
        <v>72</v>
      </c>
      <c r="BE95" s="402">
        <v>1</v>
      </c>
    </row>
    <row r="96" spans="1:57" x14ac:dyDescent="0.3">
      <c r="A96" s="350" t="s">
        <v>147</v>
      </c>
      <c r="B96" s="350" t="s">
        <v>209</v>
      </c>
      <c r="C96" s="350">
        <v>2020</v>
      </c>
      <c r="D96" s="350" t="s">
        <v>65</v>
      </c>
      <c r="E96" s="350">
        <v>110098</v>
      </c>
      <c r="F96" s="353" t="s">
        <v>72</v>
      </c>
      <c r="G96" s="353">
        <v>1</v>
      </c>
      <c r="I96" s="382" t="s">
        <v>147</v>
      </c>
      <c r="J96" s="383" t="s">
        <v>218</v>
      </c>
      <c r="K96" s="383">
        <v>2021</v>
      </c>
      <c r="L96" s="383" t="s">
        <v>65</v>
      </c>
      <c r="M96" s="383">
        <v>17528</v>
      </c>
      <c r="N96" s="383" t="s">
        <v>66</v>
      </c>
      <c r="O96" s="384">
        <v>49</v>
      </c>
      <c r="P96" s="387" t="s">
        <v>225</v>
      </c>
      <c r="Q96" s="388">
        <v>2020</v>
      </c>
      <c r="R96" s="388" t="s">
        <v>65</v>
      </c>
      <c r="S96" s="388">
        <v>30325</v>
      </c>
      <c r="T96" s="388" t="s">
        <v>72</v>
      </c>
      <c r="U96" s="389">
        <v>17</v>
      </c>
      <c r="V96" s="289" t="s">
        <v>224</v>
      </c>
      <c r="W96" s="289">
        <v>2019</v>
      </c>
      <c r="X96" s="289" t="s">
        <v>65</v>
      </c>
      <c r="Y96" s="289">
        <v>45503</v>
      </c>
      <c r="Z96" s="289" t="s">
        <v>72</v>
      </c>
      <c r="AA96" s="289">
        <v>6</v>
      </c>
      <c r="AB96" s="391" t="s">
        <v>221</v>
      </c>
      <c r="AC96" s="392">
        <v>2018</v>
      </c>
      <c r="AD96" s="392" t="s">
        <v>65</v>
      </c>
      <c r="AE96" s="392">
        <v>7500</v>
      </c>
      <c r="AF96" s="392" t="s">
        <v>66</v>
      </c>
      <c r="AG96" s="393">
        <v>2</v>
      </c>
      <c r="AH96" s="290" t="s">
        <v>117</v>
      </c>
      <c r="AI96" s="290">
        <v>2017</v>
      </c>
      <c r="AJ96" s="290" t="s">
        <v>65</v>
      </c>
      <c r="AK96" s="290">
        <v>39595</v>
      </c>
      <c r="AL96" s="290" t="s">
        <v>66</v>
      </c>
      <c r="AM96" s="290">
        <v>43</v>
      </c>
      <c r="AN96" s="394" t="s">
        <v>118</v>
      </c>
      <c r="AO96" s="395">
        <v>2016</v>
      </c>
      <c r="AP96" s="395" t="s">
        <v>65</v>
      </c>
      <c r="AQ96" s="395">
        <v>3306</v>
      </c>
      <c r="AR96" s="395" t="s">
        <v>66</v>
      </c>
      <c r="AS96" s="396">
        <v>2</v>
      </c>
      <c r="AT96" s="397" t="s">
        <v>222</v>
      </c>
      <c r="AU96" s="398">
        <v>2015</v>
      </c>
      <c r="AV96" s="398" t="s">
        <v>65</v>
      </c>
      <c r="AW96" s="398">
        <v>51900</v>
      </c>
      <c r="AX96" s="398" t="s">
        <v>66</v>
      </c>
      <c r="AY96" s="399">
        <v>8</v>
      </c>
      <c r="AZ96" s="400" t="s">
        <v>120</v>
      </c>
      <c r="BA96" s="401">
        <v>2014</v>
      </c>
      <c r="BB96" s="401" t="s">
        <v>65</v>
      </c>
      <c r="BC96" s="401">
        <v>28000</v>
      </c>
      <c r="BD96" s="401" t="s">
        <v>72</v>
      </c>
      <c r="BE96" s="402">
        <v>22</v>
      </c>
    </row>
    <row r="97" spans="1:57" x14ac:dyDescent="0.3">
      <c r="A97" s="350" t="s">
        <v>147</v>
      </c>
      <c r="B97" s="350" t="s">
        <v>209</v>
      </c>
      <c r="C97" s="350">
        <v>2018</v>
      </c>
      <c r="D97" s="350" t="s">
        <v>65</v>
      </c>
      <c r="E97" s="350">
        <v>110098</v>
      </c>
      <c r="F97" s="353" t="s">
        <v>72</v>
      </c>
      <c r="G97" s="353">
        <v>1</v>
      </c>
      <c r="I97" s="382" t="s">
        <v>147</v>
      </c>
      <c r="J97" s="383" t="s">
        <v>219</v>
      </c>
      <c r="K97" s="383">
        <v>2021</v>
      </c>
      <c r="L97" s="383" t="s">
        <v>65</v>
      </c>
      <c r="M97" s="383">
        <v>89000</v>
      </c>
      <c r="N97" s="383" t="s">
        <v>72</v>
      </c>
      <c r="O97" s="384">
        <v>3</v>
      </c>
      <c r="P97" s="387" t="s">
        <v>226</v>
      </c>
      <c r="Q97" s="388">
        <v>2020</v>
      </c>
      <c r="R97" s="388" t="s">
        <v>65</v>
      </c>
      <c r="S97" s="388">
        <v>38801</v>
      </c>
      <c r="T97" s="388" t="s">
        <v>66</v>
      </c>
      <c r="U97" s="389">
        <v>3</v>
      </c>
      <c r="V97" s="289" t="s">
        <v>225</v>
      </c>
      <c r="W97" s="289">
        <v>2019</v>
      </c>
      <c r="X97" s="289" t="s">
        <v>65</v>
      </c>
      <c r="Y97" s="289">
        <v>30325</v>
      </c>
      <c r="Z97" s="289" t="s">
        <v>72</v>
      </c>
      <c r="AA97" s="289">
        <v>9</v>
      </c>
      <c r="AB97" s="391" t="s">
        <v>118</v>
      </c>
      <c r="AC97" s="392">
        <v>2018</v>
      </c>
      <c r="AD97" s="392" t="s">
        <v>65</v>
      </c>
      <c r="AE97" s="392">
        <v>3306</v>
      </c>
      <c r="AF97" s="392" t="s">
        <v>66</v>
      </c>
      <c r="AG97" s="393">
        <v>2</v>
      </c>
      <c r="AH97" s="290" t="s">
        <v>221</v>
      </c>
      <c r="AI97" s="290">
        <v>2017</v>
      </c>
      <c r="AJ97" s="290" t="s">
        <v>65</v>
      </c>
      <c r="AK97" s="290">
        <v>7500</v>
      </c>
      <c r="AL97" s="290" t="s">
        <v>66</v>
      </c>
      <c r="AM97" s="290">
        <v>3</v>
      </c>
      <c r="AN97" s="394" t="s">
        <v>222</v>
      </c>
      <c r="AO97" s="395">
        <v>2016</v>
      </c>
      <c r="AP97" s="395" t="s">
        <v>65</v>
      </c>
      <c r="AQ97" s="395">
        <v>51900</v>
      </c>
      <c r="AR97" s="395" t="s">
        <v>66</v>
      </c>
      <c r="AS97" s="396">
        <v>3</v>
      </c>
      <c r="AT97" s="397" t="s">
        <v>119</v>
      </c>
      <c r="AU97" s="398">
        <v>2015</v>
      </c>
      <c r="AV97" s="398" t="s">
        <v>65</v>
      </c>
      <c r="AW97" s="398">
        <v>34833</v>
      </c>
      <c r="AX97" s="398" t="s">
        <v>72</v>
      </c>
      <c r="AY97" s="399">
        <v>11</v>
      </c>
      <c r="AZ97" s="400" t="s">
        <v>241</v>
      </c>
      <c r="BA97" s="401">
        <v>2014</v>
      </c>
      <c r="BB97" s="401" t="s">
        <v>65</v>
      </c>
      <c r="BC97" s="401">
        <v>17698</v>
      </c>
      <c r="BD97" s="401" t="s">
        <v>72</v>
      </c>
      <c r="BE97" s="402">
        <v>14</v>
      </c>
    </row>
    <row r="98" spans="1:57" x14ac:dyDescent="0.3">
      <c r="A98" s="350" t="s">
        <v>147</v>
      </c>
      <c r="B98" s="350" t="s">
        <v>209</v>
      </c>
      <c r="C98" s="350">
        <v>2017</v>
      </c>
      <c r="D98" s="350" t="s">
        <v>65</v>
      </c>
      <c r="E98" s="350">
        <v>110098</v>
      </c>
      <c r="F98" s="353" t="s">
        <v>72</v>
      </c>
      <c r="G98" s="353">
        <v>1</v>
      </c>
      <c r="I98" s="382" t="s">
        <v>147</v>
      </c>
      <c r="J98" s="383" t="s">
        <v>117</v>
      </c>
      <c r="K98" s="383">
        <v>2021</v>
      </c>
      <c r="L98" s="383" t="s">
        <v>65</v>
      </c>
      <c r="M98" s="383">
        <v>39595</v>
      </c>
      <c r="N98" s="383" t="s">
        <v>66</v>
      </c>
      <c r="O98" s="384">
        <v>27</v>
      </c>
      <c r="P98" s="387" t="s">
        <v>228</v>
      </c>
      <c r="Q98" s="388">
        <v>2020</v>
      </c>
      <c r="R98" s="388" t="s">
        <v>65</v>
      </c>
      <c r="S98" s="388">
        <v>26100</v>
      </c>
      <c r="T98" s="388" t="s">
        <v>72</v>
      </c>
      <c r="U98" s="389">
        <v>5</v>
      </c>
      <c r="V98" s="289" t="s">
        <v>226</v>
      </c>
      <c r="W98" s="289">
        <v>2019</v>
      </c>
      <c r="X98" s="289" t="s">
        <v>65</v>
      </c>
      <c r="Y98" s="289">
        <v>38801</v>
      </c>
      <c r="Z98" s="289" t="s">
        <v>66</v>
      </c>
      <c r="AA98" s="289">
        <v>3</v>
      </c>
      <c r="AB98" s="391" t="s">
        <v>223</v>
      </c>
      <c r="AC98" s="392">
        <v>2018</v>
      </c>
      <c r="AD98" s="392" t="s">
        <v>65</v>
      </c>
      <c r="AE98" s="392">
        <v>55997</v>
      </c>
      <c r="AF98" s="392" t="s">
        <v>66</v>
      </c>
      <c r="AG98" s="393">
        <v>6</v>
      </c>
      <c r="AH98" s="290" t="s">
        <v>118</v>
      </c>
      <c r="AI98" s="290">
        <v>2017</v>
      </c>
      <c r="AJ98" s="290" t="s">
        <v>65</v>
      </c>
      <c r="AK98" s="290">
        <v>3306</v>
      </c>
      <c r="AL98" s="290" t="s">
        <v>66</v>
      </c>
      <c r="AM98" s="290">
        <v>13</v>
      </c>
      <c r="AN98" s="394" t="s">
        <v>223</v>
      </c>
      <c r="AO98" s="395">
        <v>2016</v>
      </c>
      <c r="AP98" s="395" t="s">
        <v>65</v>
      </c>
      <c r="AQ98" s="395">
        <v>55997</v>
      </c>
      <c r="AR98" s="395" t="s">
        <v>66</v>
      </c>
      <c r="AS98" s="396">
        <v>2</v>
      </c>
      <c r="AT98" s="397" t="s">
        <v>224</v>
      </c>
      <c r="AU98" s="398">
        <v>2015</v>
      </c>
      <c r="AV98" s="398" t="s">
        <v>65</v>
      </c>
      <c r="AW98" s="398">
        <v>45503</v>
      </c>
      <c r="AX98" s="398" t="s">
        <v>72</v>
      </c>
      <c r="AY98" s="399">
        <v>3</v>
      </c>
      <c r="AZ98" s="400" t="s">
        <v>242</v>
      </c>
      <c r="BA98" s="401">
        <v>2014</v>
      </c>
      <c r="BB98" s="401" t="s">
        <v>65</v>
      </c>
      <c r="BC98" s="401">
        <v>18000</v>
      </c>
      <c r="BD98" s="401" t="s">
        <v>72</v>
      </c>
      <c r="BE98" s="402">
        <v>65</v>
      </c>
    </row>
    <row r="99" spans="1:57" x14ac:dyDescent="0.3">
      <c r="A99" s="350" t="s">
        <v>147</v>
      </c>
      <c r="B99" s="350" t="s">
        <v>209</v>
      </c>
      <c r="C99" s="350">
        <v>2015</v>
      </c>
      <c r="D99" s="350" t="s">
        <v>65</v>
      </c>
      <c r="E99" s="350">
        <v>110098</v>
      </c>
      <c r="F99" s="353" t="s">
        <v>72</v>
      </c>
      <c r="G99" s="353">
        <v>5</v>
      </c>
      <c r="I99" s="382" t="s">
        <v>147</v>
      </c>
      <c r="J99" s="383" t="s">
        <v>221</v>
      </c>
      <c r="K99" s="383">
        <v>2021</v>
      </c>
      <c r="L99" s="383" t="s">
        <v>65</v>
      </c>
      <c r="M99" s="383">
        <v>7500</v>
      </c>
      <c r="N99" s="383" t="s">
        <v>66</v>
      </c>
      <c r="O99" s="384">
        <v>2</v>
      </c>
      <c r="P99" s="387" t="s">
        <v>229</v>
      </c>
      <c r="Q99" s="388">
        <v>2020</v>
      </c>
      <c r="R99" s="388" t="s">
        <v>65</v>
      </c>
      <c r="S99" s="388">
        <v>12566</v>
      </c>
      <c r="T99" s="388" t="s">
        <v>72</v>
      </c>
      <c r="U99" s="389">
        <v>2</v>
      </c>
      <c r="V99" s="289" t="s">
        <v>227</v>
      </c>
      <c r="W99" s="289">
        <v>2019</v>
      </c>
      <c r="X99" s="289" t="s">
        <v>65</v>
      </c>
      <c r="Y99" s="289">
        <v>70000</v>
      </c>
      <c r="Z99" s="289" t="s">
        <v>72</v>
      </c>
      <c r="AA99" s="289">
        <v>1</v>
      </c>
      <c r="AB99" s="391" t="s">
        <v>119</v>
      </c>
      <c r="AC99" s="392">
        <v>2018</v>
      </c>
      <c r="AD99" s="392" t="s">
        <v>65</v>
      </c>
      <c r="AE99" s="392">
        <v>34833</v>
      </c>
      <c r="AF99" s="392" t="s">
        <v>72</v>
      </c>
      <c r="AG99" s="393">
        <v>18</v>
      </c>
      <c r="AH99" s="290" t="s">
        <v>223</v>
      </c>
      <c r="AI99" s="290">
        <v>2017</v>
      </c>
      <c r="AJ99" s="290" t="s">
        <v>65</v>
      </c>
      <c r="AK99" s="290">
        <v>55997</v>
      </c>
      <c r="AL99" s="290" t="s">
        <v>66</v>
      </c>
      <c r="AM99" s="290">
        <v>12</v>
      </c>
      <c r="AN99" s="394" t="s">
        <v>119</v>
      </c>
      <c r="AO99" s="395">
        <v>2016</v>
      </c>
      <c r="AP99" s="395" t="s">
        <v>65</v>
      </c>
      <c r="AQ99" s="395">
        <v>34833</v>
      </c>
      <c r="AR99" s="395" t="s">
        <v>72</v>
      </c>
      <c r="AS99" s="396">
        <v>16</v>
      </c>
      <c r="AT99" s="397" t="s">
        <v>225</v>
      </c>
      <c r="AU99" s="398">
        <v>2015</v>
      </c>
      <c r="AV99" s="398" t="s">
        <v>65</v>
      </c>
      <c r="AW99" s="398">
        <v>30325</v>
      </c>
      <c r="AX99" s="398" t="s">
        <v>72</v>
      </c>
      <c r="AY99" s="399">
        <v>5</v>
      </c>
      <c r="AZ99" s="400" t="s">
        <v>121</v>
      </c>
      <c r="BA99" s="401">
        <v>2014</v>
      </c>
      <c r="BB99" s="401" t="s">
        <v>65</v>
      </c>
      <c r="BC99" s="401">
        <v>21500</v>
      </c>
      <c r="BD99" s="401" t="s">
        <v>72</v>
      </c>
      <c r="BE99" s="402">
        <v>51</v>
      </c>
    </row>
    <row r="100" spans="1:57" x14ac:dyDescent="0.3">
      <c r="A100" s="350" t="s">
        <v>147</v>
      </c>
      <c r="B100" s="350" t="s">
        <v>209</v>
      </c>
      <c r="C100" s="350">
        <v>2014</v>
      </c>
      <c r="D100" s="350" t="s">
        <v>65</v>
      </c>
      <c r="E100" s="350">
        <v>110098</v>
      </c>
      <c r="F100" s="353" t="s">
        <v>72</v>
      </c>
      <c r="G100" s="353">
        <v>5</v>
      </c>
      <c r="I100" s="382" t="s">
        <v>147</v>
      </c>
      <c r="J100" s="383" t="s">
        <v>118</v>
      </c>
      <c r="K100" s="383">
        <v>2021</v>
      </c>
      <c r="L100" s="383" t="s">
        <v>65</v>
      </c>
      <c r="M100" s="383">
        <v>3306</v>
      </c>
      <c r="N100" s="383" t="s">
        <v>66</v>
      </c>
      <c r="O100" s="384">
        <v>1</v>
      </c>
      <c r="P100" s="387" t="s">
        <v>230</v>
      </c>
      <c r="Q100" s="388">
        <v>2020</v>
      </c>
      <c r="R100" s="388" t="s">
        <v>65</v>
      </c>
      <c r="S100" s="388">
        <v>33289</v>
      </c>
      <c r="T100" s="388" t="s">
        <v>72</v>
      </c>
      <c r="U100" s="389">
        <v>5</v>
      </c>
      <c r="V100" s="289" t="s">
        <v>228</v>
      </c>
      <c r="W100" s="289">
        <v>2019</v>
      </c>
      <c r="X100" s="289" t="s">
        <v>65</v>
      </c>
      <c r="Y100" s="289">
        <v>26100</v>
      </c>
      <c r="Z100" s="289" t="s">
        <v>72</v>
      </c>
      <c r="AA100" s="289">
        <v>2</v>
      </c>
      <c r="AB100" s="391" t="s">
        <v>224</v>
      </c>
      <c r="AC100" s="392">
        <v>2018</v>
      </c>
      <c r="AD100" s="392" t="s">
        <v>65</v>
      </c>
      <c r="AE100" s="392">
        <v>45503</v>
      </c>
      <c r="AF100" s="392" t="s">
        <v>72</v>
      </c>
      <c r="AG100" s="393">
        <v>15</v>
      </c>
      <c r="AH100" s="290" t="s">
        <v>119</v>
      </c>
      <c r="AI100" s="290">
        <v>2017</v>
      </c>
      <c r="AJ100" s="290" t="s">
        <v>65</v>
      </c>
      <c r="AK100" s="290">
        <v>34833</v>
      </c>
      <c r="AL100" s="290" t="s">
        <v>72</v>
      </c>
      <c r="AM100" s="290">
        <v>12</v>
      </c>
      <c r="AN100" s="394" t="s">
        <v>224</v>
      </c>
      <c r="AO100" s="395">
        <v>2016</v>
      </c>
      <c r="AP100" s="395" t="s">
        <v>65</v>
      </c>
      <c r="AQ100" s="395">
        <v>45503</v>
      </c>
      <c r="AR100" s="395" t="s">
        <v>72</v>
      </c>
      <c r="AS100" s="396">
        <v>7</v>
      </c>
      <c r="AT100" s="397" t="s">
        <v>226</v>
      </c>
      <c r="AU100" s="398">
        <v>2015</v>
      </c>
      <c r="AV100" s="398" t="s">
        <v>65</v>
      </c>
      <c r="AW100" s="398">
        <v>38801</v>
      </c>
      <c r="AX100" s="398" t="s">
        <v>66</v>
      </c>
      <c r="AY100" s="399">
        <v>1</v>
      </c>
      <c r="AZ100" s="400" t="s">
        <v>243</v>
      </c>
      <c r="BA100" s="401">
        <v>2014</v>
      </c>
      <c r="BB100" s="401" t="s">
        <v>65</v>
      </c>
      <c r="BC100" s="401">
        <v>23500</v>
      </c>
      <c r="BD100" s="401" t="s">
        <v>72</v>
      </c>
      <c r="BE100" s="402">
        <v>22</v>
      </c>
    </row>
    <row r="101" spans="1:57" x14ac:dyDescent="0.3">
      <c r="A101" s="350" t="s">
        <v>147</v>
      </c>
      <c r="B101" s="350" t="s">
        <v>216</v>
      </c>
      <c r="C101" s="350">
        <v>2015</v>
      </c>
      <c r="D101" s="350" t="s">
        <v>65</v>
      </c>
      <c r="E101" s="350">
        <v>105358</v>
      </c>
      <c r="F101" s="353" t="s">
        <v>83</v>
      </c>
      <c r="G101" s="353">
        <v>4</v>
      </c>
      <c r="I101" s="382" t="s">
        <v>147</v>
      </c>
      <c r="J101" s="383" t="s">
        <v>222</v>
      </c>
      <c r="K101" s="383">
        <v>2021</v>
      </c>
      <c r="L101" s="383" t="s">
        <v>65</v>
      </c>
      <c r="M101" s="383">
        <v>51900</v>
      </c>
      <c r="N101" s="383" t="s">
        <v>66</v>
      </c>
      <c r="O101" s="384">
        <v>2</v>
      </c>
      <c r="P101" s="387" t="s">
        <v>231</v>
      </c>
      <c r="Q101" s="388">
        <v>2020</v>
      </c>
      <c r="R101" s="388" t="s">
        <v>65</v>
      </c>
      <c r="S101" s="388">
        <v>95901</v>
      </c>
      <c r="T101" s="388" t="s">
        <v>72</v>
      </c>
      <c r="U101" s="389">
        <v>3</v>
      </c>
      <c r="V101" s="289" t="s">
        <v>229</v>
      </c>
      <c r="W101" s="289">
        <v>2019</v>
      </c>
      <c r="X101" s="289" t="s">
        <v>65</v>
      </c>
      <c r="Y101" s="289">
        <v>12566</v>
      </c>
      <c r="Z101" s="289" t="s">
        <v>72</v>
      </c>
      <c r="AA101" s="289">
        <v>5</v>
      </c>
      <c r="AB101" s="391" t="s">
        <v>225</v>
      </c>
      <c r="AC101" s="392">
        <v>2018</v>
      </c>
      <c r="AD101" s="392" t="s">
        <v>65</v>
      </c>
      <c r="AE101" s="392">
        <v>30325</v>
      </c>
      <c r="AF101" s="392" t="s">
        <v>72</v>
      </c>
      <c r="AG101" s="393">
        <v>10</v>
      </c>
      <c r="AH101" s="290" t="s">
        <v>224</v>
      </c>
      <c r="AI101" s="290">
        <v>2017</v>
      </c>
      <c r="AJ101" s="290" t="s">
        <v>65</v>
      </c>
      <c r="AK101" s="290">
        <v>45503</v>
      </c>
      <c r="AL101" s="290" t="s">
        <v>72</v>
      </c>
      <c r="AM101" s="290">
        <v>3</v>
      </c>
      <c r="AN101" s="394" t="s">
        <v>225</v>
      </c>
      <c r="AO101" s="395">
        <v>2016</v>
      </c>
      <c r="AP101" s="395" t="s">
        <v>65</v>
      </c>
      <c r="AQ101" s="395">
        <v>30325</v>
      </c>
      <c r="AR101" s="395" t="s">
        <v>72</v>
      </c>
      <c r="AS101" s="396">
        <v>19</v>
      </c>
      <c r="AT101" s="397" t="s">
        <v>227</v>
      </c>
      <c r="AU101" s="398">
        <v>2015</v>
      </c>
      <c r="AV101" s="398" t="s">
        <v>65</v>
      </c>
      <c r="AW101" s="398">
        <v>70000</v>
      </c>
      <c r="AX101" s="398" t="s">
        <v>72</v>
      </c>
      <c r="AY101" s="399">
        <v>1</v>
      </c>
      <c r="AZ101" s="400" t="s">
        <v>122</v>
      </c>
      <c r="BA101" s="401">
        <v>2014</v>
      </c>
      <c r="BB101" s="401" t="s">
        <v>65</v>
      </c>
      <c r="BC101" s="401">
        <v>3086</v>
      </c>
      <c r="BD101" s="401" t="s">
        <v>66</v>
      </c>
      <c r="BE101" s="402">
        <v>4</v>
      </c>
    </row>
    <row r="102" spans="1:57" x14ac:dyDescent="0.3">
      <c r="A102" s="350" t="s">
        <v>147</v>
      </c>
      <c r="B102" s="350" t="s">
        <v>216</v>
      </c>
      <c r="C102" s="350">
        <v>2014</v>
      </c>
      <c r="D102" s="350" t="s">
        <v>65</v>
      </c>
      <c r="E102" s="350">
        <v>105358</v>
      </c>
      <c r="F102" s="353" t="s">
        <v>83</v>
      </c>
      <c r="G102" s="353">
        <v>6</v>
      </c>
      <c r="I102" s="382" t="s">
        <v>147</v>
      </c>
      <c r="J102" s="383" t="s">
        <v>223</v>
      </c>
      <c r="K102" s="383">
        <v>2021</v>
      </c>
      <c r="L102" s="383" t="s">
        <v>65</v>
      </c>
      <c r="M102" s="383">
        <v>55997</v>
      </c>
      <c r="N102" s="383" t="s">
        <v>66</v>
      </c>
      <c r="O102" s="384">
        <v>44</v>
      </c>
      <c r="P102" s="387" t="s">
        <v>232</v>
      </c>
      <c r="Q102" s="388">
        <v>2020</v>
      </c>
      <c r="R102" s="388" t="s">
        <v>65</v>
      </c>
      <c r="S102" s="388">
        <v>73200</v>
      </c>
      <c r="T102" s="388" t="s">
        <v>72</v>
      </c>
      <c r="U102" s="389">
        <v>6</v>
      </c>
      <c r="V102" s="289" t="s">
        <v>230</v>
      </c>
      <c r="W102" s="289">
        <v>2019</v>
      </c>
      <c r="X102" s="289" t="s">
        <v>65</v>
      </c>
      <c r="Y102" s="289">
        <v>33289</v>
      </c>
      <c r="Z102" s="289" t="s">
        <v>72</v>
      </c>
      <c r="AA102" s="289">
        <v>5</v>
      </c>
      <c r="AB102" s="391" t="s">
        <v>226</v>
      </c>
      <c r="AC102" s="392">
        <v>2018</v>
      </c>
      <c r="AD102" s="392" t="s">
        <v>65</v>
      </c>
      <c r="AE102" s="392">
        <v>38801</v>
      </c>
      <c r="AF102" s="392" t="s">
        <v>66</v>
      </c>
      <c r="AG102" s="393">
        <v>1</v>
      </c>
      <c r="AH102" s="290" t="s">
        <v>225</v>
      </c>
      <c r="AI102" s="290">
        <v>2017</v>
      </c>
      <c r="AJ102" s="290" t="s">
        <v>65</v>
      </c>
      <c r="AK102" s="290">
        <v>30325</v>
      </c>
      <c r="AL102" s="290" t="s">
        <v>72</v>
      </c>
      <c r="AM102" s="290">
        <v>18</v>
      </c>
      <c r="AN102" s="394" t="s">
        <v>226</v>
      </c>
      <c r="AO102" s="395">
        <v>2016</v>
      </c>
      <c r="AP102" s="395" t="s">
        <v>65</v>
      </c>
      <c r="AQ102" s="395">
        <v>38801</v>
      </c>
      <c r="AR102" s="395" t="s">
        <v>66</v>
      </c>
      <c r="AS102" s="396">
        <v>5</v>
      </c>
      <c r="AT102" s="397" t="s">
        <v>228</v>
      </c>
      <c r="AU102" s="398">
        <v>2015</v>
      </c>
      <c r="AV102" s="398" t="s">
        <v>65</v>
      </c>
      <c r="AW102" s="398">
        <v>26100</v>
      </c>
      <c r="AX102" s="398" t="s">
        <v>72</v>
      </c>
      <c r="AY102" s="399">
        <v>4</v>
      </c>
      <c r="AZ102" s="400" t="s">
        <v>123</v>
      </c>
      <c r="BA102" s="401">
        <v>2014</v>
      </c>
      <c r="BB102" s="401" t="s">
        <v>65</v>
      </c>
      <c r="BC102" s="401">
        <v>2579</v>
      </c>
      <c r="BD102" s="401" t="s">
        <v>66</v>
      </c>
      <c r="BE102" s="402">
        <v>16</v>
      </c>
    </row>
    <row r="103" spans="1:57" x14ac:dyDescent="0.3">
      <c r="A103" s="350" t="s">
        <v>147</v>
      </c>
      <c r="B103" s="350" t="s">
        <v>234</v>
      </c>
      <c r="C103" s="350">
        <v>2019</v>
      </c>
      <c r="D103" s="350" t="s">
        <v>65</v>
      </c>
      <c r="E103" s="350">
        <v>99600</v>
      </c>
      <c r="F103" s="353" t="s">
        <v>72</v>
      </c>
      <c r="G103" s="353">
        <v>2</v>
      </c>
      <c r="I103" s="382" t="s">
        <v>147</v>
      </c>
      <c r="J103" s="383" t="s">
        <v>119</v>
      </c>
      <c r="K103" s="383">
        <v>2021</v>
      </c>
      <c r="L103" s="383" t="s">
        <v>65</v>
      </c>
      <c r="M103" s="383">
        <v>34833</v>
      </c>
      <c r="N103" s="383" t="s">
        <v>72</v>
      </c>
      <c r="O103" s="384">
        <v>8</v>
      </c>
      <c r="P103" s="387" t="s">
        <v>233</v>
      </c>
      <c r="Q103" s="388">
        <v>2020</v>
      </c>
      <c r="R103" s="388" t="s">
        <v>65</v>
      </c>
      <c r="S103" s="388">
        <v>88846</v>
      </c>
      <c r="T103" s="388" t="s">
        <v>72</v>
      </c>
      <c r="U103" s="389">
        <v>6</v>
      </c>
      <c r="V103" s="289" t="s">
        <v>231</v>
      </c>
      <c r="W103" s="289">
        <v>2019</v>
      </c>
      <c r="X103" s="289" t="s">
        <v>65</v>
      </c>
      <c r="Y103" s="289">
        <v>95901</v>
      </c>
      <c r="Z103" s="289" t="s">
        <v>72</v>
      </c>
      <c r="AA103" s="289">
        <v>3</v>
      </c>
      <c r="AB103" s="391" t="s">
        <v>227</v>
      </c>
      <c r="AC103" s="392">
        <v>2018</v>
      </c>
      <c r="AD103" s="392" t="s">
        <v>65</v>
      </c>
      <c r="AE103" s="392">
        <v>70000</v>
      </c>
      <c r="AF103" s="392" t="s">
        <v>72</v>
      </c>
      <c r="AG103" s="393">
        <v>1</v>
      </c>
      <c r="AH103" s="290" t="s">
        <v>226</v>
      </c>
      <c r="AI103" s="290">
        <v>2017</v>
      </c>
      <c r="AJ103" s="290" t="s">
        <v>65</v>
      </c>
      <c r="AK103" s="290">
        <v>38801</v>
      </c>
      <c r="AL103" s="290" t="s">
        <v>66</v>
      </c>
      <c r="AM103" s="290">
        <v>1</v>
      </c>
      <c r="AN103" s="394" t="s">
        <v>227</v>
      </c>
      <c r="AO103" s="395">
        <v>2016</v>
      </c>
      <c r="AP103" s="395" t="s">
        <v>65</v>
      </c>
      <c r="AQ103" s="395">
        <v>70000</v>
      </c>
      <c r="AR103" s="395" t="s">
        <v>72</v>
      </c>
      <c r="AS103" s="396">
        <v>1</v>
      </c>
      <c r="AT103" s="397" t="s">
        <v>229</v>
      </c>
      <c r="AU103" s="398">
        <v>2015</v>
      </c>
      <c r="AV103" s="398" t="s">
        <v>65</v>
      </c>
      <c r="AW103" s="398">
        <v>12566</v>
      </c>
      <c r="AX103" s="398" t="s">
        <v>72</v>
      </c>
      <c r="AY103" s="399">
        <v>4</v>
      </c>
      <c r="AZ103" s="400" t="s">
        <v>124</v>
      </c>
      <c r="BA103" s="401">
        <v>2014</v>
      </c>
      <c r="BB103" s="401" t="s">
        <v>65</v>
      </c>
      <c r="BC103" s="401">
        <v>12500</v>
      </c>
      <c r="BD103" s="401" t="s">
        <v>66</v>
      </c>
      <c r="BE103" s="402">
        <v>8</v>
      </c>
    </row>
    <row r="104" spans="1:57" x14ac:dyDescent="0.3">
      <c r="A104" s="350" t="s">
        <v>147</v>
      </c>
      <c r="B104" s="350" t="s">
        <v>234</v>
      </c>
      <c r="C104" s="350">
        <v>2018</v>
      </c>
      <c r="D104" s="350" t="s">
        <v>65</v>
      </c>
      <c r="E104" s="350">
        <v>99600</v>
      </c>
      <c r="F104" s="353" t="s">
        <v>72</v>
      </c>
      <c r="G104" s="353">
        <v>2</v>
      </c>
      <c r="I104" s="382" t="s">
        <v>147</v>
      </c>
      <c r="J104" s="383" t="s">
        <v>224</v>
      </c>
      <c r="K104" s="383">
        <v>2021</v>
      </c>
      <c r="L104" s="383" t="s">
        <v>65</v>
      </c>
      <c r="M104" s="383">
        <v>45503</v>
      </c>
      <c r="N104" s="383" t="s">
        <v>72</v>
      </c>
      <c r="O104" s="384">
        <v>2</v>
      </c>
      <c r="P104" s="387" t="s">
        <v>120</v>
      </c>
      <c r="Q104" s="388">
        <v>2020</v>
      </c>
      <c r="R104" s="388" t="s">
        <v>65</v>
      </c>
      <c r="S104" s="388">
        <v>28000</v>
      </c>
      <c r="T104" s="388" t="s">
        <v>72</v>
      </c>
      <c r="U104" s="389">
        <v>19</v>
      </c>
      <c r="V104" s="289" t="s">
        <v>232</v>
      </c>
      <c r="W104" s="289">
        <v>2019</v>
      </c>
      <c r="X104" s="289" t="s">
        <v>65</v>
      </c>
      <c r="Y104" s="289">
        <v>73200</v>
      </c>
      <c r="Z104" s="289" t="s">
        <v>72</v>
      </c>
      <c r="AA104" s="289">
        <v>2</v>
      </c>
      <c r="AB104" s="391" t="s">
        <v>228</v>
      </c>
      <c r="AC104" s="392">
        <v>2018</v>
      </c>
      <c r="AD104" s="392" t="s">
        <v>65</v>
      </c>
      <c r="AE104" s="392">
        <v>26100</v>
      </c>
      <c r="AF104" s="392" t="s">
        <v>72</v>
      </c>
      <c r="AG104" s="393">
        <v>1</v>
      </c>
      <c r="AH104" s="290" t="s">
        <v>228</v>
      </c>
      <c r="AI104" s="290">
        <v>2017</v>
      </c>
      <c r="AJ104" s="290" t="s">
        <v>65</v>
      </c>
      <c r="AK104" s="290">
        <v>26100</v>
      </c>
      <c r="AL104" s="290" t="s">
        <v>72</v>
      </c>
      <c r="AM104" s="290">
        <v>6</v>
      </c>
      <c r="AN104" s="394" t="s">
        <v>229</v>
      </c>
      <c r="AO104" s="395">
        <v>2016</v>
      </c>
      <c r="AP104" s="395" t="s">
        <v>65</v>
      </c>
      <c r="AQ104" s="395">
        <v>12566</v>
      </c>
      <c r="AR104" s="395" t="s">
        <v>72</v>
      </c>
      <c r="AS104" s="396">
        <v>1</v>
      </c>
      <c r="AT104" s="397" t="s">
        <v>230</v>
      </c>
      <c r="AU104" s="398">
        <v>2015</v>
      </c>
      <c r="AV104" s="398" t="s">
        <v>65</v>
      </c>
      <c r="AW104" s="398">
        <v>33289</v>
      </c>
      <c r="AX104" s="398" t="s">
        <v>72</v>
      </c>
      <c r="AY104" s="399">
        <v>4</v>
      </c>
      <c r="AZ104" s="400" t="s">
        <v>246</v>
      </c>
      <c r="BA104" s="401">
        <v>2014</v>
      </c>
      <c r="BB104" s="401" t="s">
        <v>65</v>
      </c>
      <c r="BC104" s="401">
        <v>149500</v>
      </c>
      <c r="BD104" s="401" t="s">
        <v>72</v>
      </c>
      <c r="BE104" s="402">
        <v>6</v>
      </c>
    </row>
    <row r="105" spans="1:57" x14ac:dyDescent="0.3">
      <c r="A105" s="350" t="s">
        <v>147</v>
      </c>
      <c r="B105" s="350" t="s">
        <v>234</v>
      </c>
      <c r="C105" s="350">
        <v>2017</v>
      </c>
      <c r="D105" s="350" t="s">
        <v>65</v>
      </c>
      <c r="E105" s="350">
        <v>99600</v>
      </c>
      <c r="F105" s="353" t="s">
        <v>72</v>
      </c>
      <c r="G105" s="353">
        <v>1</v>
      </c>
      <c r="I105" s="382" t="s">
        <v>147</v>
      </c>
      <c r="J105" s="383" t="s">
        <v>225</v>
      </c>
      <c r="K105" s="383">
        <v>2021</v>
      </c>
      <c r="L105" s="383" t="s">
        <v>65</v>
      </c>
      <c r="M105" s="383">
        <v>30325</v>
      </c>
      <c r="N105" s="383" t="s">
        <v>72</v>
      </c>
      <c r="O105" s="384">
        <v>10</v>
      </c>
      <c r="P105" s="387" t="s">
        <v>236</v>
      </c>
      <c r="Q105" s="388">
        <v>2020</v>
      </c>
      <c r="R105" s="388" t="s">
        <v>65</v>
      </c>
      <c r="S105" s="388">
        <v>9963</v>
      </c>
      <c r="T105" s="388" t="s">
        <v>66</v>
      </c>
      <c r="U105" s="389">
        <v>23</v>
      </c>
      <c r="V105" s="289" t="s">
        <v>233</v>
      </c>
      <c r="W105" s="289">
        <v>2019</v>
      </c>
      <c r="X105" s="289" t="s">
        <v>65</v>
      </c>
      <c r="Y105" s="289">
        <v>88846</v>
      </c>
      <c r="Z105" s="289" t="s">
        <v>72</v>
      </c>
      <c r="AA105" s="289">
        <v>4</v>
      </c>
      <c r="AB105" s="391" t="s">
        <v>229</v>
      </c>
      <c r="AC105" s="392">
        <v>2018</v>
      </c>
      <c r="AD105" s="392" t="s">
        <v>65</v>
      </c>
      <c r="AE105" s="392">
        <v>12566</v>
      </c>
      <c r="AF105" s="392" t="s">
        <v>72</v>
      </c>
      <c r="AG105" s="393">
        <v>7</v>
      </c>
      <c r="AH105" s="290" t="s">
        <v>229</v>
      </c>
      <c r="AI105" s="290">
        <v>2017</v>
      </c>
      <c r="AJ105" s="290" t="s">
        <v>65</v>
      </c>
      <c r="AK105" s="290">
        <v>12566</v>
      </c>
      <c r="AL105" s="290" t="s">
        <v>72</v>
      </c>
      <c r="AM105" s="290">
        <v>1</v>
      </c>
      <c r="AN105" s="394" t="s">
        <v>230</v>
      </c>
      <c r="AO105" s="395">
        <v>2016</v>
      </c>
      <c r="AP105" s="395" t="s">
        <v>65</v>
      </c>
      <c r="AQ105" s="395">
        <v>33289</v>
      </c>
      <c r="AR105" s="395" t="s">
        <v>72</v>
      </c>
      <c r="AS105" s="396">
        <v>5</v>
      </c>
      <c r="AT105" s="397" t="s">
        <v>231</v>
      </c>
      <c r="AU105" s="398">
        <v>2015</v>
      </c>
      <c r="AV105" s="398" t="s">
        <v>65</v>
      </c>
      <c r="AW105" s="398">
        <v>95901</v>
      </c>
      <c r="AX105" s="398" t="s">
        <v>72</v>
      </c>
      <c r="AY105" s="399">
        <v>2</v>
      </c>
      <c r="AZ105" s="400" t="s">
        <v>248</v>
      </c>
      <c r="BA105" s="401">
        <v>2014</v>
      </c>
      <c r="BB105" s="401" t="s">
        <v>65</v>
      </c>
      <c r="BC105" s="401">
        <v>11799</v>
      </c>
      <c r="BD105" s="401" t="s">
        <v>66</v>
      </c>
      <c r="BE105" s="402">
        <v>7</v>
      </c>
    </row>
    <row r="106" spans="1:57" x14ac:dyDescent="0.3">
      <c r="A106" s="350" t="s">
        <v>147</v>
      </c>
      <c r="B106" s="350" t="s">
        <v>234</v>
      </c>
      <c r="C106" s="350">
        <v>2016</v>
      </c>
      <c r="D106" s="350" t="s">
        <v>65</v>
      </c>
      <c r="E106" s="350">
        <v>99600</v>
      </c>
      <c r="F106" s="353" t="s">
        <v>72</v>
      </c>
      <c r="G106" s="353">
        <v>3</v>
      </c>
      <c r="I106" s="382" t="s">
        <v>147</v>
      </c>
      <c r="J106" s="383" t="s">
        <v>226</v>
      </c>
      <c r="K106" s="383">
        <v>2021</v>
      </c>
      <c r="L106" s="383" t="s">
        <v>65</v>
      </c>
      <c r="M106" s="383">
        <v>38801</v>
      </c>
      <c r="N106" s="383" t="s">
        <v>66</v>
      </c>
      <c r="O106" s="384">
        <v>5</v>
      </c>
      <c r="P106" s="387" t="s">
        <v>241</v>
      </c>
      <c r="Q106" s="388">
        <v>2020</v>
      </c>
      <c r="R106" s="388" t="s">
        <v>65</v>
      </c>
      <c r="S106" s="388">
        <v>17698</v>
      </c>
      <c r="T106" s="388" t="s">
        <v>72</v>
      </c>
      <c r="U106" s="389">
        <v>6</v>
      </c>
      <c r="V106" s="289" t="s">
        <v>234</v>
      </c>
      <c r="W106" s="289">
        <v>2019</v>
      </c>
      <c r="X106" s="289" t="s">
        <v>65</v>
      </c>
      <c r="Y106" s="289">
        <v>99600</v>
      </c>
      <c r="Z106" s="289" t="s">
        <v>72</v>
      </c>
      <c r="AA106" s="289">
        <v>2</v>
      </c>
      <c r="AB106" s="391" t="s">
        <v>230</v>
      </c>
      <c r="AC106" s="392">
        <v>2018</v>
      </c>
      <c r="AD106" s="392" t="s">
        <v>65</v>
      </c>
      <c r="AE106" s="392">
        <v>33289</v>
      </c>
      <c r="AF106" s="392" t="s">
        <v>72</v>
      </c>
      <c r="AG106" s="393">
        <v>4</v>
      </c>
      <c r="AH106" s="290" t="s">
        <v>230</v>
      </c>
      <c r="AI106" s="290">
        <v>2017</v>
      </c>
      <c r="AJ106" s="290" t="s">
        <v>65</v>
      </c>
      <c r="AK106" s="290">
        <v>33289</v>
      </c>
      <c r="AL106" s="290" t="s">
        <v>72</v>
      </c>
      <c r="AM106" s="290">
        <v>2</v>
      </c>
      <c r="AN106" s="394" t="s">
        <v>231</v>
      </c>
      <c r="AO106" s="395">
        <v>2016</v>
      </c>
      <c r="AP106" s="395" t="s">
        <v>65</v>
      </c>
      <c r="AQ106" s="395">
        <v>95901</v>
      </c>
      <c r="AR106" s="395" t="s">
        <v>72</v>
      </c>
      <c r="AS106" s="396">
        <v>2</v>
      </c>
      <c r="AT106" s="397" t="s">
        <v>232</v>
      </c>
      <c r="AU106" s="398">
        <v>2015</v>
      </c>
      <c r="AV106" s="398" t="s">
        <v>65</v>
      </c>
      <c r="AW106" s="398">
        <v>73200</v>
      </c>
      <c r="AX106" s="398" t="s">
        <v>72</v>
      </c>
      <c r="AY106" s="399">
        <v>7</v>
      </c>
      <c r="AZ106" s="400" t="s">
        <v>249</v>
      </c>
      <c r="BA106" s="401">
        <v>2014</v>
      </c>
      <c r="BB106" s="401" t="s">
        <v>65</v>
      </c>
      <c r="BC106" s="401">
        <v>11574</v>
      </c>
      <c r="BD106" s="401" t="s">
        <v>66</v>
      </c>
      <c r="BE106" s="402">
        <v>17</v>
      </c>
    </row>
    <row r="107" spans="1:57" x14ac:dyDescent="0.3">
      <c r="A107" s="350" t="s">
        <v>147</v>
      </c>
      <c r="B107" s="350" t="s">
        <v>234</v>
      </c>
      <c r="C107" s="350">
        <v>2014</v>
      </c>
      <c r="D107" s="350" t="s">
        <v>65</v>
      </c>
      <c r="E107" s="350">
        <v>99600</v>
      </c>
      <c r="F107" s="353" t="s">
        <v>72</v>
      </c>
      <c r="G107" s="353">
        <v>1</v>
      </c>
      <c r="I107" s="382" t="s">
        <v>147</v>
      </c>
      <c r="J107" s="383" t="s">
        <v>227</v>
      </c>
      <c r="K107" s="383">
        <v>2021</v>
      </c>
      <c r="L107" s="383" t="s">
        <v>65</v>
      </c>
      <c r="M107" s="383">
        <v>70000</v>
      </c>
      <c r="N107" s="383" t="s">
        <v>72</v>
      </c>
      <c r="O107" s="384">
        <v>2</v>
      </c>
      <c r="P107" s="387" t="s">
        <v>242</v>
      </c>
      <c r="Q107" s="388">
        <v>2020</v>
      </c>
      <c r="R107" s="388" t="s">
        <v>65</v>
      </c>
      <c r="S107" s="388">
        <v>18000</v>
      </c>
      <c r="T107" s="388" t="s">
        <v>72</v>
      </c>
      <c r="U107" s="389">
        <v>14</v>
      </c>
      <c r="V107" s="289" t="s">
        <v>120</v>
      </c>
      <c r="W107" s="289">
        <v>2019</v>
      </c>
      <c r="X107" s="289" t="s">
        <v>65</v>
      </c>
      <c r="Y107" s="289">
        <v>28000</v>
      </c>
      <c r="Z107" s="289" t="s">
        <v>72</v>
      </c>
      <c r="AA107" s="289">
        <v>39</v>
      </c>
      <c r="AB107" s="391" t="s">
        <v>232</v>
      </c>
      <c r="AC107" s="392">
        <v>2018</v>
      </c>
      <c r="AD107" s="392" t="s">
        <v>65</v>
      </c>
      <c r="AE107" s="392">
        <v>73200</v>
      </c>
      <c r="AF107" s="392" t="s">
        <v>72</v>
      </c>
      <c r="AG107" s="393">
        <v>6</v>
      </c>
      <c r="AH107" s="290" t="s">
        <v>231</v>
      </c>
      <c r="AI107" s="290">
        <v>2017</v>
      </c>
      <c r="AJ107" s="290" t="s">
        <v>65</v>
      </c>
      <c r="AK107" s="290">
        <v>95901</v>
      </c>
      <c r="AL107" s="290" t="s">
        <v>72</v>
      </c>
      <c r="AM107" s="290">
        <v>4</v>
      </c>
      <c r="AN107" s="394" t="s">
        <v>232</v>
      </c>
      <c r="AO107" s="395">
        <v>2016</v>
      </c>
      <c r="AP107" s="395" t="s">
        <v>65</v>
      </c>
      <c r="AQ107" s="395">
        <v>73200</v>
      </c>
      <c r="AR107" s="395" t="s">
        <v>72</v>
      </c>
      <c r="AS107" s="396">
        <v>7</v>
      </c>
      <c r="AT107" s="397" t="s">
        <v>233</v>
      </c>
      <c r="AU107" s="398">
        <v>2015</v>
      </c>
      <c r="AV107" s="398" t="s">
        <v>65</v>
      </c>
      <c r="AW107" s="398">
        <v>88846</v>
      </c>
      <c r="AX107" s="398" t="s">
        <v>72</v>
      </c>
      <c r="AY107" s="399">
        <v>7</v>
      </c>
      <c r="AZ107" s="400" t="s">
        <v>125</v>
      </c>
      <c r="BA107" s="401">
        <v>2014</v>
      </c>
      <c r="BB107" s="401" t="s">
        <v>65</v>
      </c>
      <c r="BC107" s="401">
        <v>12100</v>
      </c>
      <c r="BD107" s="401" t="s">
        <v>66</v>
      </c>
      <c r="BE107" s="402">
        <v>13</v>
      </c>
    </row>
    <row r="108" spans="1:57" x14ac:dyDescent="0.3">
      <c r="A108" s="350" t="s">
        <v>147</v>
      </c>
      <c r="B108" s="350" t="s">
        <v>258</v>
      </c>
      <c r="C108" s="350">
        <v>2018</v>
      </c>
      <c r="D108" s="350" t="s">
        <v>65</v>
      </c>
      <c r="E108" s="350">
        <v>97000</v>
      </c>
      <c r="F108" s="353" t="s">
        <v>72</v>
      </c>
      <c r="G108" s="353">
        <v>5</v>
      </c>
      <c r="I108" s="382" t="s">
        <v>147</v>
      </c>
      <c r="J108" s="383" t="s">
        <v>228</v>
      </c>
      <c r="K108" s="383">
        <v>2021</v>
      </c>
      <c r="L108" s="383" t="s">
        <v>65</v>
      </c>
      <c r="M108" s="383">
        <v>26100</v>
      </c>
      <c r="N108" s="383" t="s">
        <v>72</v>
      </c>
      <c r="O108" s="384">
        <v>2</v>
      </c>
      <c r="P108" s="387" t="s">
        <v>121</v>
      </c>
      <c r="Q108" s="388">
        <v>2020</v>
      </c>
      <c r="R108" s="388" t="s">
        <v>65</v>
      </c>
      <c r="S108" s="388">
        <v>21500</v>
      </c>
      <c r="T108" s="388" t="s">
        <v>72</v>
      </c>
      <c r="U108" s="389">
        <v>57</v>
      </c>
      <c r="V108" s="289" t="s">
        <v>235</v>
      </c>
      <c r="W108" s="289">
        <v>2019</v>
      </c>
      <c r="X108" s="289" t="s">
        <v>65</v>
      </c>
      <c r="Y108" s="289">
        <v>39500</v>
      </c>
      <c r="Z108" s="289" t="s">
        <v>72</v>
      </c>
      <c r="AA108" s="289">
        <v>2</v>
      </c>
      <c r="AB108" s="391" t="s">
        <v>233</v>
      </c>
      <c r="AC108" s="392">
        <v>2018</v>
      </c>
      <c r="AD108" s="392" t="s">
        <v>65</v>
      </c>
      <c r="AE108" s="392">
        <v>88846</v>
      </c>
      <c r="AF108" s="392" t="s">
        <v>72</v>
      </c>
      <c r="AG108" s="393">
        <v>4</v>
      </c>
      <c r="AH108" s="290" t="s">
        <v>232</v>
      </c>
      <c r="AI108" s="290">
        <v>2017</v>
      </c>
      <c r="AJ108" s="290" t="s">
        <v>65</v>
      </c>
      <c r="AK108" s="290">
        <v>73200</v>
      </c>
      <c r="AL108" s="290" t="s">
        <v>72</v>
      </c>
      <c r="AM108" s="290">
        <v>2</v>
      </c>
      <c r="AN108" s="394" t="s">
        <v>233</v>
      </c>
      <c r="AO108" s="395">
        <v>2016</v>
      </c>
      <c r="AP108" s="395" t="s">
        <v>65</v>
      </c>
      <c r="AQ108" s="395">
        <v>88846</v>
      </c>
      <c r="AR108" s="395" t="s">
        <v>72</v>
      </c>
      <c r="AS108" s="396">
        <v>5</v>
      </c>
      <c r="AT108" s="397" t="s">
        <v>120</v>
      </c>
      <c r="AU108" s="398">
        <v>2015</v>
      </c>
      <c r="AV108" s="398" t="s">
        <v>65</v>
      </c>
      <c r="AW108" s="398">
        <v>28000</v>
      </c>
      <c r="AX108" s="398" t="s">
        <v>72</v>
      </c>
      <c r="AY108" s="399">
        <v>55</v>
      </c>
      <c r="AZ108" s="400" t="s">
        <v>126</v>
      </c>
      <c r="BA108" s="401">
        <v>2014</v>
      </c>
      <c r="BB108" s="401" t="s">
        <v>65</v>
      </c>
      <c r="BC108" s="401">
        <v>2548</v>
      </c>
      <c r="BD108" s="401" t="s">
        <v>66</v>
      </c>
      <c r="BE108" s="402">
        <v>12</v>
      </c>
    </row>
    <row r="109" spans="1:57" x14ac:dyDescent="0.3">
      <c r="A109" s="350" t="s">
        <v>147</v>
      </c>
      <c r="B109" s="350" t="s">
        <v>258</v>
      </c>
      <c r="C109" s="350">
        <v>2016</v>
      </c>
      <c r="D109" s="350" t="s">
        <v>65</v>
      </c>
      <c r="E109" s="350">
        <v>97000</v>
      </c>
      <c r="F109" s="353" t="s">
        <v>72</v>
      </c>
      <c r="G109" s="353">
        <v>1</v>
      </c>
      <c r="I109" s="382" t="s">
        <v>147</v>
      </c>
      <c r="J109" s="383" t="s">
        <v>229</v>
      </c>
      <c r="K109" s="383">
        <v>2021</v>
      </c>
      <c r="L109" s="383" t="s">
        <v>65</v>
      </c>
      <c r="M109" s="383">
        <v>12566</v>
      </c>
      <c r="N109" s="383" t="s">
        <v>72</v>
      </c>
      <c r="O109" s="384">
        <v>3</v>
      </c>
      <c r="P109" s="387" t="s">
        <v>243</v>
      </c>
      <c r="Q109" s="388">
        <v>2020</v>
      </c>
      <c r="R109" s="388" t="s">
        <v>65</v>
      </c>
      <c r="S109" s="388">
        <v>23500</v>
      </c>
      <c r="T109" s="388" t="s">
        <v>72</v>
      </c>
      <c r="U109" s="389">
        <v>20</v>
      </c>
      <c r="V109" s="289" t="s">
        <v>236</v>
      </c>
      <c r="W109" s="289">
        <v>2019</v>
      </c>
      <c r="X109" s="289" t="s">
        <v>65</v>
      </c>
      <c r="Y109" s="289">
        <v>9963</v>
      </c>
      <c r="Z109" s="289" t="s">
        <v>66</v>
      </c>
      <c r="AA109" s="289">
        <v>17</v>
      </c>
      <c r="AB109" s="391" t="s">
        <v>234</v>
      </c>
      <c r="AC109" s="392">
        <v>2018</v>
      </c>
      <c r="AD109" s="392" t="s">
        <v>65</v>
      </c>
      <c r="AE109" s="392">
        <v>99600</v>
      </c>
      <c r="AF109" s="392" t="s">
        <v>72</v>
      </c>
      <c r="AG109" s="393">
        <v>2</v>
      </c>
      <c r="AH109" s="290" t="s">
        <v>233</v>
      </c>
      <c r="AI109" s="290">
        <v>2017</v>
      </c>
      <c r="AJ109" s="290" t="s">
        <v>65</v>
      </c>
      <c r="AK109" s="290">
        <v>88846</v>
      </c>
      <c r="AL109" s="290" t="s">
        <v>72</v>
      </c>
      <c r="AM109" s="290">
        <v>2</v>
      </c>
      <c r="AN109" s="394" t="s">
        <v>234</v>
      </c>
      <c r="AO109" s="395">
        <v>2016</v>
      </c>
      <c r="AP109" s="395" t="s">
        <v>65</v>
      </c>
      <c r="AQ109" s="395">
        <v>99600</v>
      </c>
      <c r="AR109" s="395" t="s">
        <v>72</v>
      </c>
      <c r="AS109" s="396">
        <v>3</v>
      </c>
      <c r="AT109" s="397" t="s">
        <v>236</v>
      </c>
      <c r="AU109" s="398">
        <v>2015</v>
      </c>
      <c r="AV109" s="398" t="s">
        <v>65</v>
      </c>
      <c r="AW109" s="398">
        <v>9963</v>
      </c>
      <c r="AX109" s="398" t="s">
        <v>66</v>
      </c>
      <c r="AY109" s="399">
        <v>1</v>
      </c>
      <c r="AZ109" s="400" t="s">
        <v>127</v>
      </c>
      <c r="BA109" s="401">
        <v>2014</v>
      </c>
      <c r="BB109" s="401" t="s">
        <v>65</v>
      </c>
      <c r="BC109" s="401">
        <v>2150</v>
      </c>
      <c r="BD109" s="401" t="s">
        <v>66</v>
      </c>
      <c r="BE109" s="402">
        <v>1</v>
      </c>
    </row>
    <row r="110" spans="1:57" x14ac:dyDescent="0.3">
      <c r="A110" s="350" t="s">
        <v>147</v>
      </c>
      <c r="B110" s="350" t="s">
        <v>231</v>
      </c>
      <c r="C110" s="350">
        <v>2021</v>
      </c>
      <c r="D110" s="350" t="s">
        <v>65</v>
      </c>
      <c r="E110" s="350">
        <v>95901</v>
      </c>
      <c r="F110" s="353" t="s">
        <v>72</v>
      </c>
      <c r="G110" s="353">
        <v>4</v>
      </c>
      <c r="I110" s="382" t="s">
        <v>147</v>
      </c>
      <c r="J110" s="383" t="s">
        <v>230</v>
      </c>
      <c r="K110" s="383">
        <v>2021</v>
      </c>
      <c r="L110" s="383" t="s">
        <v>65</v>
      </c>
      <c r="M110" s="383">
        <v>33289</v>
      </c>
      <c r="N110" s="383" t="s">
        <v>72</v>
      </c>
      <c r="O110" s="384">
        <v>18</v>
      </c>
      <c r="P110" s="387" t="s">
        <v>122</v>
      </c>
      <c r="Q110" s="388">
        <v>2020</v>
      </c>
      <c r="R110" s="388" t="s">
        <v>65</v>
      </c>
      <c r="S110" s="388">
        <v>3086</v>
      </c>
      <c r="T110" s="388" t="s">
        <v>66</v>
      </c>
      <c r="U110" s="389">
        <v>4</v>
      </c>
      <c r="V110" s="289" t="s">
        <v>238</v>
      </c>
      <c r="W110" s="289">
        <v>2019</v>
      </c>
      <c r="X110" s="289" t="s">
        <v>65</v>
      </c>
      <c r="Y110" s="289">
        <v>322500</v>
      </c>
      <c r="Z110" s="289" t="s">
        <v>83</v>
      </c>
      <c r="AA110" s="289">
        <v>1</v>
      </c>
      <c r="AB110" s="391" t="s">
        <v>120</v>
      </c>
      <c r="AC110" s="392">
        <v>2018</v>
      </c>
      <c r="AD110" s="392" t="s">
        <v>65</v>
      </c>
      <c r="AE110" s="392">
        <v>28000</v>
      </c>
      <c r="AF110" s="392" t="s">
        <v>72</v>
      </c>
      <c r="AG110" s="393">
        <v>38</v>
      </c>
      <c r="AH110" s="290" t="s">
        <v>234</v>
      </c>
      <c r="AI110" s="290">
        <v>2017</v>
      </c>
      <c r="AJ110" s="290" t="s">
        <v>65</v>
      </c>
      <c r="AK110" s="290">
        <v>99600</v>
      </c>
      <c r="AL110" s="290" t="s">
        <v>72</v>
      </c>
      <c r="AM110" s="290">
        <v>1</v>
      </c>
      <c r="AN110" s="394" t="s">
        <v>120</v>
      </c>
      <c r="AO110" s="395">
        <v>2016</v>
      </c>
      <c r="AP110" s="395" t="s">
        <v>65</v>
      </c>
      <c r="AQ110" s="395">
        <v>28000</v>
      </c>
      <c r="AR110" s="395" t="s">
        <v>72</v>
      </c>
      <c r="AS110" s="396">
        <v>55</v>
      </c>
      <c r="AT110" s="397" t="s">
        <v>237</v>
      </c>
      <c r="AU110" s="398">
        <v>2015</v>
      </c>
      <c r="AV110" s="398" t="s">
        <v>65</v>
      </c>
      <c r="AW110" s="398">
        <v>34524</v>
      </c>
      <c r="AX110" s="398" t="s">
        <v>72</v>
      </c>
      <c r="AY110" s="399">
        <v>4</v>
      </c>
      <c r="AZ110" s="400" t="s">
        <v>128</v>
      </c>
      <c r="BA110" s="401">
        <v>2014</v>
      </c>
      <c r="BB110" s="401" t="s">
        <v>65</v>
      </c>
      <c r="BC110" s="401">
        <v>2866</v>
      </c>
      <c r="BD110" s="401" t="s">
        <v>66</v>
      </c>
      <c r="BE110" s="402">
        <v>7</v>
      </c>
    </row>
    <row r="111" spans="1:57" x14ac:dyDescent="0.3">
      <c r="A111" s="350" t="s">
        <v>147</v>
      </c>
      <c r="B111" s="350" t="s">
        <v>231</v>
      </c>
      <c r="C111" s="350">
        <v>2020</v>
      </c>
      <c r="D111" s="350" t="s">
        <v>65</v>
      </c>
      <c r="E111" s="350">
        <v>95901</v>
      </c>
      <c r="F111" s="353" t="s">
        <v>72</v>
      </c>
      <c r="G111" s="353">
        <v>3</v>
      </c>
      <c r="I111" s="382" t="s">
        <v>147</v>
      </c>
      <c r="J111" s="383" t="s">
        <v>231</v>
      </c>
      <c r="K111" s="383">
        <v>2021</v>
      </c>
      <c r="L111" s="383" t="s">
        <v>65</v>
      </c>
      <c r="M111" s="383">
        <v>95901</v>
      </c>
      <c r="N111" s="383" t="s">
        <v>72</v>
      </c>
      <c r="O111" s="384">
        <v>4</v>
      </c>
      <c r="P111" s="387" t="s">
        <v>123</v>
      </c>
      <c r="Q111" s="388">
        <v>2020</v>
      </c>
      <c r="R111" s="388" t="s">
        <v>65</v>
      </c>
      <c r="S111" s="388">
        <v>2579</v>
      </c>
      <c r="T111" s="388" t="s">
        <v>66</v>
      </c>
      <c r="U111" s="389">
        <v>45</v>
      </c>
      <c r="V111" s="289" t="s">
        <v>241</v>
      </c>
      <c r="W111" s="289">
        <v>2019</v>
      </c>
      <c r="X111" s="289" t="s">
        <v>65</v>
      </c>
      <c r="Y111" s="289">
        <v>17698</v>
      </c>
      <c r="Z111" s="289" t="s">
        <v>72</v>
      </c>
      <c r="AA111" s="289">
        <v>15</v>
      </c>
      <c r="AB111" s="391" t="s">
        <v>235</v>
      </c>
      <c r="AC111" s="392">
        <v>2018</v>
      </c>
      <c r="AD111" s="392" t="s">
        <v>65</v>
      </c>
      <c r="AE111" s="392">
        <v>39500</v>
      </c>
      <c r="AF111" s="392" t="s">
        <v>72</v>
      </c>
      <c r="AG111" s="393">
        <v>3</v>
      </c>
      <c r="AH111" s="290" t="s">
        <v>120</v>
      </c>
      <c r="AI111" s="290">
        <v>2017</v>
      </c>
      <c r="AJ111" s="290" t="s">
        <v>65</v>
      </c>
      <c r="AK111" s="290">
        <v>28000</v>
      </c>
      <c r="AL111" s="290" t="s">
        <v>72</v>
      </c>
      <c r="AM111" s="290">
        <v>50</v>
      </c>
      <c r="AN111" s="394" t="s">
        <v>236</v>
      </c>
      <c r="AO111" s="395">
        <v>2016</v>
      </c>
      <c r="AP111" s="395" t="s">
        <v>65</v>
      </c>
      <c r="AQ111" s="395">
        <v>9963</v>
      </c>
      <c r="AR111" s="395" t="s">
        <v>66</v>
      </c>
      <c r="AS111" s="396">
        <v>1</v>
      </c>
      <c r="AT111" s="397" t="s">
        <v>241</v>
      </c>
      <c r="AU111" s="398">
        <v>2015</v>
      </c>
      <c r="AV111" s="398" t="s">
        <v>65</v>
      </c>
      <c r="AW111" s="398">
        <v>17698</v>
      </c>
      <c r="AX111" s="398" t="s">
        <v>72</v>
      </c>
      <c r="AY111" s="399">
        <v>18</v>
      </c>
      <c r="AZ111" s="400" t="s">
        <v>130</v>
      </c>
      <c r="BA111" s="401">
        <v>2014</v>
      </c>
      <c r="BB111" s="401" t="s">
        <v>65</v>
      </c>
      <c r="BC111" s="401">
        <v>4850</v>
      </c>
      <c r="BD111" s="401" t="s">
        <v>66</v>
      </c>
      <c r="BE111" s="402">
        <v>20</v>
      </c>
    </row>
    <row r="112" spans="1:57" x14ac:dyDescent="0.3">
      <c r="A112" s="350" t="s">
        <v>147</v>
      </c>
      <c r="B112" s="350" t="s">
        <v>231</v>
      </c>
      <c r="C112" s="350">
        <v>2019</v>
      </c>
      <c r="D112" s="350" t="s">
        <v>65</v>
      </c>
      <c r="E112" s="350">
        <v>95901</v>
      </c>
      <c r="F112" s="353" t="s">
        <v>72</v>
      </c>
      <c r="G112" s="353">
        <v>3</v>
      </c>
      <c r="I112" s="382" t="s">
        <v>147</v>
      </c>
      <c r="J112" s="383" t="s">
        <v>232</v>
      </c>
      <c r="K112" s="383">
        <v>2021</v>
      </c>
      <c r="L112" s="383" t="s">
        <v>65</v>
      </c>
      <c r="M112" s="383">
        <v>73200</v>
      </c>
      <c r="N112" s="383" t="s">
        <v>72</v>
      </c>
      <c r="O112" s="384">
        <v>7</v>
      </c>
      <c r="P112" s="387" t="s">
        <v>124</v>
      </c>
      <c r="Q112" s="388">
        <v>2020</v>
      </c>
      <c r="R112" s="388" t="s">
        <v>65</v>
      </c>
      <c r="S112" s="388">
        <v>12500</v>
      </c>
      <c r="T112" s="388" t="s">
        <v>66</v>
      </c>
      <c r="U112" s="389">
        <v>13</v>
      </c>
      <c r="V112" s="289" t="s">
        <v>242</v>
      </c>
      <c r="W112" s="289">
        <v>2019</v>
      </c>
      <c r="X112" s="289" t="s">
        <v>65</v>
      </c>
      <c r="Y112" s="289">
        <v>18000</v>
      </c>
      <c r="Z112" s="289" t="s">
        <v>72</v>
      </c>
      <c r="AA112" s="289">
        <v>29</v>
      </c>
      <c r="AB112" s="391" t="s">
        <v>236</v>
      </c>
      <c r="AC112" s="392">
        <v>2018</v>
      </c>
      <c r="AD112" s="392" t="s">
        <v>65</v>
      </c>
      <c r="AE112" s="392">
        <v>9963</v>
      </c>
      <c r="AF112" s="392" t="s">
        <v>66</v>
      </c>
      <c r="AG112" s="393">
        <v>11</v>
      </c>
      <c r="AH112" s="290" t="s">
        <v>236</v>
      </c>
      <c r="AI112" s="290">
        <v>2017</v>
      </c>
      <c r="AJ112" s="290" t="s">
        <v>65</v>
      </c>
      <c r="AK112" s="290">
        <v>9963</v>
      </c>
      <c r="AL112" s="290" t="s">
        <v>66</v>
      </c>
      <c r="AM112" s="290">
        <v>3</v>
      </c>
      <c r="AN112" s="394" t="s">
        <v>237</v>
      </c>
      <c r="AO112" s="395">
        <v>2016</v>
      </c>
      <c r="AP112" s="395" t="s">
        <v>65</v>
      </c>
      <c r="AQ112" s="395">
        <v>34524</v>
      </c>
      <c r="AR112" s="395" t="s">
        <v>72</v>
      </c>
      <c r="AS112" s="396">
        <v>3</v>
      </c>
      <c r="AT112" s="397" t="s">
        <v>242</v>
      </c>
      <c r="AU112" s="398">
        <v>2015</v>
      </c>
      <c r="AV112" s="398" t="s">
        <v>65</v>
      </c>
      <c r="AW112" s="398">
        <v>18000</v>
      </c>
      <c r="AX112" s="398" t="s">
        <v>72</v>
      </c>
      <c r="AY112" s="399">
        <v>98</v>
      </c>
      <c r="AZ112" s="400" t="s">
        <v>131</v>
      </c>
      <c r="BA112" s="401">
        <v>2014</v>
      </c>
      <c r="BB112" s="401" t="s">
        <v>65</v>
      </c>
      <c r="BC112" s="401">
        <v>1950</v>
      </c>
      <c r="BD112" s="401" t="s">
        <v>66</v>
      </c>
      <c r="BE112" s="402">
        <v>11</v>
      </c>
    </row>
    <row r="113" spans="1:57" x14ac:dyDescent="0.3">
      <c r="A113" s="350" t="s">
        <v>147</v>
      </c>
      <c r="B113" s="350" t="s">
        <v>231</v>
      </c>
      <c r="C113" s="350">
        <v>2017</v>
      </c>
      <c r="D113" s="350" t="s">
        <v>65</v>
      </c>
      <c r="E113" s="350">
        <v>95901</v>
      </c>
      <c r="F113" s="353" t="s">
        <v>72</v>
      </c>
      <c r="G113" s="353">
        <v>4</v>
      </c>
      <c r="I113" s="382" t="s">
        <v>147</v>
      </c>
      <c r="J113" s="383" t="s">
        <v>233</v>
      </c>
      <c r="K113" s="383">
        <v>2021</v>
      </c>
      <c r="L113" s="383" t="s">
        <v>65</v>
      </c>
      <c r="M113" s="383">
        <v>88846</v>
      </c>
      <c r="N113" s="383" t="s">
        <v>72</v>
      </c>
      <c r="O113" s="384">
        <v>3</v>
      </c>
      <c r="P113" s="387" t="s">
        <v>244</v>
      </c>
      <c r="Q113" s="388">
        <v>2020</v>
      </c>
      <c r="R113" s="388" t="s">
        <v>65</v>
      </c>
      <c r="S113" s="388">
        <v>6000</v>
      </c>
      <c r="T113" s="388" t="s">
        <v>66</v>
      </c>
      <c r="U113" s="389">
        <v>4</v>
      </c>
      <c r="V113" s="289" t="s">
        <v>121</v>
      </c>
      <c r="W113" s="289">
        <v>2019</v>
      </c>
      <c r="X113" s="289" t="s">
        <v>65</v>
      </c>
      <c r="Y113" s="289">
        <v>21500</v>
      </c>
      <c r="Z113" s="289" t="s">
        <v>72</v>
      </c>
      <c r="AA113" s="289">
        <v>77</v>
      </c>
      <c r="AB113" s="391" t="s">
        <v>237</v>
      </c>
      <c r="AC113" s="392">
        <v>2018</v>
      </c>
      <c r="AD113" s="392" t="s">
        <v>65</v>
      </c>
      <c r="AE113" s="392">
        <v>34524</v>
      </c>
      <c r="AF113" s="392" t="s">
        <v>72</v>
      </c>
      <c r="AG113" s="393">
        <v>2</v>
      </c>
      <c r="AH113" s="290" t="s">
        <v>239</v>
      </c>
      <c r="AI113" s="290">
        <v>2017</v>
      </c>
      <c r="AJ113" s="290" t="s">
        <v>65</v>
      </c>
      <c r="AK113" s="290">
        <v>2200</v>
      </c>
      <c r="AL113" s="290" t="s">
        <v>66</v>
      </c>
      <c r="AM113" s="290">
        <v>1</v>
      </c>
      <c r="AN113" s="394" t="s">
        <v>238</v>
      </c>
      <c r="AO113" s="395">
        <v>2016</v>
      </c>
      <c r="AP113" s="395" t="s">
        <v>65</v>
      </c>
      <c r="AQ113" s="395">
        <v>322500</v>
      </c>
      <c r="AR113" s="395" t="s">
        <v>83</v>
      </c>
      <c r="AS113" s="396">
        <v>1</v>
      </c>
      <c r="AT113" s="397" t="s">
        <v>121</v>
      </c>
      <c r="AU113" s="398">
        <v>2015</v>
      </c>
      <c r="AV113" s="398" t="s">
        <v>65</v>
      </c>
      <c r="AW113" s="398">
        <v>21500</v>
      </c>
      <c r="AX113" s="398" t="s">
        <v>72</v>
      </c>
      <c r="AY113" s="399">
        <v>113</v>
      </c>
      <c r="AZ113" s="400" t="s">
        <v>132</v>
      </c>
      <c r="BA113" s="401">
        <v>2014</v>
      </c>
      <c r="BB113" s="401" t="s">
        <v>65</v>
      </c>
      <c r="BC113" s="401">
        <v>3200</v>
      </c>
      <c r="BD113" s="401" t="s">
        <v>66</v>
      </c>
      <c r="BE113" s="402">
        <v>14</v>
      </c>
    </row>
    <row r="114" spans="1:57" x14ac:dyDescent="0.3">
      <c r="A114" s="350" t="s">
        <v>147</v>
      </c>
      <c r="B114" s="350" t="s">
        <v>231</v>
      </c>
      <c r="C114" s="350">
        <v>2016</v>
      </c>
      <c r="D114" s="350" t="s">
        <v>65</v>
      </c>
      <c r="E114" s="350">
        <v>95901</v>
      </c>
      <c r="F114" s="353" t="s">
        <v>72</v>
      </c>
      <c r="G114" s="353">
        <v>2</v>
      </c>
      <c r="I114" s="382" t="s">
        <v>147</v>
      </c>
      <c r="J114" s="383" t="s">
        <v>120</v>
      </c>
      <c r="K114" s="383">
        <v>2021</v>
      </c>
      <c r="L114" s="383" t="s">
        <v>65</v>
      </c>
      <c r="M114" s="383">
        <v>28000</v>
      </c>
      <c r="N114" s="383" t="s">
        <v>72</v>
      </c>
      <c r="O114" s="384">
        <v>15</v>
      </c>
      <c r="P114" s="387" t="s">
        <v>249</v>
      </c>
      <c r="Q114" s="388">
        <v>2020</v>
      </c>
      <c r="R114" s="388" t="s">
        <v>65</v>
      </c>
      <c r="S114" s="388">
        <v>11574</v>
      </c>
      <c r="T114" s="388" t="s">
        <v>66</v>
      </c>
      <c r="U114" s="389">
        <v>22</v>
      </c>
      <c r="V114" s="289" t="s">
        <v>243</v>
      </c>
      <c r="W114" s="289">
        <v>2019</v>
      </c>
      <c r="X114" s="289" t="s">
        <v>65</v>
      </c>
      <c r="Y114" s="289">
        <v>23500</v>
      </c>
      <c r="Z114" s="289" t="s">
        <v>72</v>
      </c>
      <c r="AA114" s="289">
        <v>15</v>
      </c>
      <c r="AB114" s="391" t="s">
        <v>239</v>
      </c>
      <c r="AC114" s="392">
        <v>2018</v>
      </c>
      <c r="AD114" s="392" t="s">
        <v>65</v>
      </c>
      <c r="AE114" s="392">
        <v>2200</v>
      </c>
      <c r="AF114" s="392" t="s">
        <v>66</v>
      </c>
      <c r="AG114" s="393">
        <v>1</v>
      </c>
      <c r="AH114" s="290" t="s">
        <v>241</v>
      </c>
      <c r="AI114" s="290">
        <v>2017</v>
      </c>
      <c r="AJ114" s="290" t="s">
        <v>65</v>
      </c>
      <c r="AK114" s="290">
        <v>17698</v>
      </c>
      <c r="AL114" s="290" t="s">
        <v>72</v>
      </c>
      <c r="AM114" s="290">
        <v>24</v>
      </c>
      <c r="AN114" s="394" t="s">
        <v>239</v>
      </c>
      <c r="AO114" s="395">
        <v>2016</v>
      </c>
      <c r="AP114" s="395" t="s">
        <v>65</v>
      </c>
      <c r="AQ114" s="395">
        <v>2200</v>
      </c>
      <c r="AR114" s="395" t="s">
        <v>66</v>
      </c>
      <c r="AS114" s="396">
        <v>5</v>
      </c>
      <c r="AT114" s="397" t="s">
        <v>243</v>
      </c>
      <c r="AU114" s="398">
        <v>2015</v>
      </c>
      <c r="AV114" s="398" t="s">
        <v>65</v>
      </c>
      <c r="AW114" s="398">
        <v>23500</v>
      </c>
      <c r="AX114" s="398" t="s">
        <v>72</v>
      </c>
      <c r="AY114" s="399">
        <v>23</v>
      </c>
      <c r="AZ114" s="400" t="s">
        <v>251</v>
      </c>
      <c r="BA114" s="401">
        <v>2014</v>
      </c>
      <c r="BB114" s="401" t="s">
        <v>65</v>
      </c>
      <c r="BC114" s="401">
        <v>5200</v>
      </c>
      <c r="BD114" s="401" t="s">
        <v>66</v>
      </c>
      <c r="BE114" s="402">
        <v>2</v>
      </c>
    </row>
    <row r="115" spans="1:57" x14ac:dyDescent="0.3">
      <c r="A115" s="350" t="s">
        <v>147</v>
      </c>
      <c r="B115" s="350" t="s">
        <v>231</v>
      </c>
      <c r="C115" s="350">
        <v>2015</v>
      </c>
      <c r="D115" s="350" t="s">
        <v>65</v>
      </c>
      <c r="E115" s="350">
        <v>95901</v>
      </c>
      <c r="F115" s="353" t="s">
        <v>72</v>
      </c>
      <c r="G115" s="353">
        <v>2</v>
      </c>
      <c r="I115" s="382" t="s">
        <v>147</v>
      </c>
      <c r="J115" s="383" t="s">
        <v>236</v>
      </c>
      <c r="K115" s="383">
        <v>2021</v>
      </c>
      <c r="L115" s="383" t="s">
        <v>65</v>
      </c>
      <c r="M115" s="383">
        <v>9963</v>
      </c>
      <c r="N115" s="383" t="s">
        <v>66</v>
      </c>
      <c r="O115" s="384">
        <v>38</v>
      </c>
      <c r="P115" s="387" t="s">
        <v>125</v>
      </c>
      <c r="Q115" s="388">
        <v>2020</v>
      </c>
      <c r="R115" s="388" t="s">
        <v>65</v>
      </c>
      <c r="S115" s="388">
        <v>12100</v>
      </c>
      <c r="T115" s="388" t="s">
        <v>66</v>
      </c>
      <c r="U115" s="389">
        <v>6</v>
      </c>
      <c r="V115" s="289" t="s">
        <v>122</v>
      </c>
      <c r="W115" s="289">
        <v>2019</v>
      </c>
      <c r="X115" s="289" t="s">
        <v>65</v>
      </c>
      <c r="Y115" s="289">
        <v>3086</v>
      </c>
      <c r="Z115" s="289" t="s">
        <v>66</v>
      </c>
      <c r="AA115" s="289">
        <v>5</v>
      </c>
      <c r="AB115" s="391" t="s">
        <v>240</v>
      </c>
      <c r="AC115" s="392">
        <v>2018</v>
      </c>
      <c r="AD115" s="392" t="s">
        <v>65</v>
      </c>
      <c r="AE115" s="392">
        <v>1425</v>
      </c>
      <c r="AF115" s="392" t="s">
        <v>66</v>
      </c>
      <c r="AG115" s="393">
        <v>2</v>
      </c>
      <c r="AH115" s="290" t="s">
        <v>242</v>
      </c>
      <c r="AI115" s="290">
        <v>2017</v>
      </c>
      <c r="AJ115" s="290" t="s">
        <v>65</v>
      </c>
      <c r="AK115" s="290">
        <v>18000</v>
      </c>
      <c r="AL115" s="290" t="s">
        <v>72</v>
      </c>
      <c r="AM115" s="290">
        <v>62</v>
      </c>
      <c r="AN115" s="394" t="s">
        <v>241</v>
      </c>
      <c r="AO115" s="395">
        <v>2016</v>
      </c>
      <c r="AP115" s="395" t="s">
        <v>65</v>
      </c>
      <c r="AQ115" s="395">
        <v>17698</v>
      </c>
      <c r="AR115" s="395" t="s">
        <v>72</v>
      </c>
      <c r="AS115" s="396">
        <v>27</v>
      </c>
      <c r="AT115" s="397" t="s">
        <v>122</v>
      </c>
      <c r="AU115" s="398">
        <v>2015</v>
      </c>
      <c r="AV115" s="398" t="s">
        <v>65</v>
      </c>
      <c r="AW115" s="398">
        <v>3086</v>
      </c>
      <c r="AX115" s="398" t="s">
        <v>66</v>
      </c>
      <c r="AY115" s="399">
        <v>4</v>
      </c>
      <c r="AZ115" s="400" t="s">
        <v>133</v>
      </c>
      <c r="BA115" s="401">
        <v>2014</v>
      </c>
      <c r="BB115" s="401" t="s">
        <v>65</v>
      </c>
      <c r="BC115" s="401">
        <v>2150</v>
      </c>
      <c r="BD115" s="401" t="s">
        <v>66</v>
      </c>
      <c r="BE115" s="402">
        <v>36</v>
      </c>
    </row>
    <row r="116" spans="1:57" x14ac:dyDescent="0.3">
      <c r="A116" s="354" t="s">
        <v>147</v>
      </c>
      <c r="B116" s="354" t="s">
        <v>162</v>
      </c>
      <c r="C116" s="354">
        <v>2020</v>
      </c>
      <c r="D116" s="354" t="s">
        <v>65</v>
      </c>
      <c r="E116" s="354">
        <v>93000</v>
      </c>
      <c r="F116" s="355" t="s">
        <v>72</v>
      </c>
      <c r="G116" s="355">
        <v>6</v>
      </c>
      <c r="I116" s="382" t="s">
        <v>147</v>
      </c>
      <c r="J116" s="383" t="s">
        <v>240</v>
      </c>
      <c r="K116" s="383">
        <v>2021</v>
      </c>
      <c r="L116" s="383" t="s">
        <v>65</v>
      </c>
      <c r="M116" s="383">
        <v>1425</v>
      </c>
      <c r="N116" s="383" t="s">
        <v>66</v>
      </c>
      <c r="O116" s="384">
        <v>1</v>
      </c>
      <c r="P116" s="387" t="s">
        <v>126</v>
      </c>
      <c r="Q116" s="388">
        <v>2020</v>
      </c>
      <c r="R116" s="388" t="s">
        <v>65</v>
      </c>
      <c r="S116" s="388">
        <v>2548</v>
      </c>
      <c r="T116" s="388" t="s">
        <v>66</v>
      </c>
      <c r="U116" s="389">
        <v>208</v>
      </c>
      <c r="V116" s="289" t="s">
        <v>123</v>
      </c>
      <c r="W116" s="289">
        <v>2019</v>
      </c>
      <c r="X116" s="289" t="s">
        <v>65</v>
      </c>
      <c r="Y116" s="289">
        <v>2579</v>
      </c>
      <c r="Z116" s="289" t="s">
        <v>66</v>
      </c>
      <c r="AA116" s="289">
        <v>43</v>
      </c>
      <c r="AB116" s="391" t="s">
        <v>241</v>
      </c>
      <c r="AC116" s="392">
        <v>2018</v>
      </c>
      <c r="AD116" s="392" t="s">
        <v>65</v>
      </c>
      <c r="AE116" s="392">
        <v>17698</v>
      </c>
      <c r="AF116" s="392" t="s">
        <v>72</v>
      </c>
      <c r="AG116" s="393">
        <v>7</v>
      </c>
      <c r="AH116" s="290" t="s">
        <v>121</v>
      </c>
      <c r="AI116" s="290">
        <v>2017</v>
      </c>
      <c r="AJ116" s="290" t="s">
        <v>65</v>
      </c>
      <c r="AK116" s="290">
        <v>21500</v>
      </c>
      <c r="AL116" s="290" t="s">
        <v>72</v>
      </c>
      <c r="AM116" s="290">
        <v>110</v>
      </c>
      <c r="AN116" s="394" t="s">
        <v>242</v>
      </c>
      <c r="AO116" s="395">
        <v>2016</v>
      </c>
      <c r="AP116" s="395" t="s">
        <v>65</v>
      </c>
      <c r="AQ116" s="395">
        <v>18000</v>
      </c>
      <c r="AR116" s="395" t="s">
        <v>72</v>
      </c>
      <c r="AS116" s="396">
        <v>59</v>
      </c>
      <c r="AT116" s="397" t="s">
        <v>123</v>
      </c>
      <c r="AU116" s="398">
        <v>2015</v>
      </c>
      <c r="AV116" s="398" t="s">
        <v>65</v>
      </c>
      <c r="AW116" s="398">
        <v>2579</v>
      </c>
      <c r="AX116" s="398" t="s">
        <v>66</v>
      </c>
      <c r="AY116" s="399">
        <v>16</v>
      </c>
      <c r="AZ116" s="400" t="s">
        <v>134</v>
      </c>
      <c r="BA116" s="401">
        <v>2014</v>
      </c>
      <c r="BB116" s="401" t="s">
        <v>65</v>
      </c>
      <c r="BC116" s="401">
        <v>3725</v>
      </c>
      <c r="BD116" s="401" t="s">
        <v>66</v>
      </c>
      <c r="BE116" s="402">
        <v>2</v>
      </c>
    </row>
    <row r="117" spans="1:57" x14ac:dyDescent="0.3">
      <c r="A117" s="354" t="s">
        <v>147</v>
      </c>
      <c r="B117" s="354" t="s">
        <v>162</v>
      </c>
      <c r="C117" s="354">
        <v>2018</v>
      </c>
      <c r="D117" s="354" t="s">
        <v>65</v>
      </c>
      <c r="E117" s="354">
        <v>93000</v>
      </c>
      <c r="F117" s="355" t="s">
        <v>72</v>
      </c>
      <c r="G117" s="355">
        <v>3</v>
      </c>
      <c r="I117" s="382" t="s">
        <v>147</v>
      </c>
      <c r="J117" s="383" t="s">
        <v>241</v>
      </c>
      <c r="K117" s="383">
        <v>2021</v>
      </c>
      <c r="L117" s="383" t="s">
        <v>65</v>
      </c>
      <c r="M117" s="383">
        <v>17698</v>
      </c>
      <c r="N117" s="383" t="s">
        <v>72</v>
      </c>
      <c r="O117" s="384">
        <v>5</v>
      </c>
      <c r="P117" s="387" t="s">
        <v>127</v>
      </c>
      <c r="Q117" s="388">
        <v>2020</v>
      </c>
      <c r="R117" s="388" t="s">
        <v>65</v>
      </c>
      <c r="S117" s="388">
        <v>2150</v>
      </c>
      <c r="T117" s="388" t="s">
        <v>66</v>
      </c>
      <c r="U117" s="389">
        <v>6</v>
      </c>
      <c r="V117" s="289" t="s">
        <v>124</v>
      </c>
      <c r="W117" s="289">
        <v>2019</v>
      </c>
      <c r="X117" s="289" t="s">
        <v>65</v>
      </c>
      <c r="Y117" s="289">
        <v>12500</v>
      </c>
      <c r="Z117" s="289" t="s">
        <v>66</v>
      </c>
      <c r="AA117" s="289">
        <v>14</v>
      </c>
      <c r="AB117" s="391" t="s">
        <v>242</v>
      </c>
      <c r="AC117" s="392">
        <v>2018</v>
      </c>
      <c r="AD117" s="392" t="s">
        <v>65</v>
      </c>
      <c r="AE117" s="392">
        <v>18000</v>
      </c>
      <c r="AF117" s="392" t="s">
        <v>72</v>
      </c>
      <c r="AG117" s="393">
        <v>35</v>
      </c>
      <c r="AH117" s="290" t="s">
        <v>243</v>
      </c>
      <c r="AI117" s="290">
        <v>2017</v>
      </c>
      <c r="AJ117" s="290" t="s">
        <v>65</v>
      </c>
      <c r="AK117" s="290">
        <v>23500</v>
      </c>
      <c r="AL117" s="290" t="s">
        <v>72</v>
      </c>
      <c r="AM117" s="290">
        <v>17</v>
      </c>
      <c r="AN117" s="394" t="s">
        <v>121</v>
      </c>
      <c r="AO117" s="395">
        <v>2016</v>
      </c>
      <c r="AP117" s="395" t="s">
        <v>65</v>
      </c>
      <c r="AQ117" s="395">
        <v>21500</v>
      </c>
      <c r="AR117" s="395" t="s">
        <v>72</v>
      </c>
      <c r="AS117" s="396">
        <v>77</v>
      </c>
      <c r="AT117" s="397" t="s">
        <v>124</v>
      </c>
      <c r="AU117" s="398">
        <v>2015</v>
      </c>
      <c r="AV117" s="398" t="s">
        <v>65</v>
      </c>
      <c r="AW117" s="398">
        <v>12500</v>
      </c>
      <c r="AX117" s="398" t="s">
        <v>66</v>
      </c>
      <c r="AY117" s="399">
        <v>9</v>
      </c>
      <c r="AZ117" s="400" t="s">
        <v>252</v>
      </c>
      <c r="BA117" s="401">
        <v>2014</v>
      </c>
      <c r="BB117" s="401" t="s">
        <v>65</v>
      </c>
      <c r="BC117" s="401">
        <v>6500</v>
      </c>
      <c r="BD117" s="401" t="s">
        <v>66</v>
      </c>
      <c r="BE117" s="402">
        <v>9</v>
      </c>
    </row>
    <row r="118" spans="1:57" x14ac:dyDescent="0.3">
      <c r="A118" s="350" t="s">
        <v>147</v>
      </c>
      <c r="B118" s="350" t="s">
        <v>208</v>
      </c>
      <c r="C118" s="350">
        <v>2019</v>
      </c>
      <c r="D118" s="350" t="s">
        <v>65</v>
      </c>
      <c r="E118" s="350">
        <v>90700</v>
      </c>
      <c r="F118" s="353" t="s">
        <v>72</v>
      </c>
      <c r="G118" s="353">
        <v>1</v>
      </c>
      <c r="I118" s="382" t="s">
        <v>147</v>
      </c>
      <c r="J118" s="383" t="s">
        <v>242</v>
      </c>
      <c r="K118" s="383">
        <v>2021</v>
      </c>
      <c r="L118" s="383" t="s">
        <v>65</v>
      </c>
      <c r="M118" s="383">
        <v>18000</v>
      </c>
      <c r="N118" s="383" t="s">
        <v>72</v>
      </c>
      <c r="O118" s="384">
        <v>26</v>
      </c>
      <c r="P118" s="387" t="s">
        <v>128</v>
      </c>
      <c r="Q118" s="388">
        <v>2020</v>
      </c>
      <c r="R118" s="388" t="s">
        <v>65</v>
      </c>
      <c r="S118" s="388">
        <v>2866</v>
      </c>
      <c r="T118" s="388" t="s">
        <v>66</v>
      </c>
      <c r="U118" s="389">
        <v>40</v>
      </c>
      <c r="V118" s="289" t="s">
        <v>244</v>
      </c>
      <c r="W118" s="289">
        <v>2019</v>
      </c>
      <c r="X118" s="289" t="s">
        <v>65</v>
      </c>
      <c r="Y118" s="289">
        <v>6000</v>
      </c>
      <c r="Z118" s="289" t="s">
        <v>66</v>
      </c>
      <c r="AA118" s="289">
        <v>1</v>
      </c>
      <c r="AB118" s="391" t="s">
        <v>121</v>
      </c>
      <c r="AC118" s="392">
        <v>2018</v>
      </c>
      <c r="AD118" s="392" t="s">
        <v>65</v>
      </c>
      <c r="AE118" s="392">
        <v>21500</v>
      </c>
      <c r="AF118" s="392" t="s">
        <v>72</v>
      </c>
      <c r="AG118" s="393">
        <v>82</v>
      </c>
      <c r="AH118" s="290" t="s">
        <v>122</v>
      </c>
      <c r="AI118" s="290">
        <v>2017</v>
      </c>
      <c r="AJ118" s="290" t="s">
        <v>65</v>
      </c>
      <c r="AK118" s="290">
        <v>3086</v>
      </c>
      <c r="AL118" s="290" t="s">
        <v>66</v>
      </c>
      <c r="AM118" s="290">
        <v>4</v>
      </c>
      <c r="AN118" s="394" t="s">
        <v>243</v>
      </c>
      <c r="AO118" s="395">
        <v>2016</v>
      </c>
      <c r="AP118" s="395" t="s">
        <v>65</v>
      </c>
      <c r="AQ118" s="395">
        <v>23500</v>
      </c>
      <c r="AR118" s="395" t="s">
        <v>72</v>
      </c>
      <c r="AS118" s="396">
        <v>29</v>
      </c>
      <c r="AT118" s="397" t="s">
        <v>245</v>
      </c>
      <c r="AU118" s="398">
        <v>2015</v>
      </c>
      <c r="AV118" s="398" t="s">
        <v>65</v>
      </c>
      <c r="AW118" s="398">
        <v>149499</v>
      </c>
      <c r="AX118" s="398" t="s">
        <v>72</v>
      </c>
      <c r="AY118" s="399">
        <v>1</v>
      </c>
      <c r="AZ118" s="400" t="s">
        <v>135</v>
      </c>
      <c r="BA118" s="401">
        <v>2014</v>
      </c>
      <c r="BB118" s="401" t="s">
        <v>65</v>
      </c>
      <c r="BC118" s="401">
        <v>3400</v>
      </c>
      <c r="BD118" s="401" t="s">
        <v>66</v>
      </c>
      <c r="BE118" s="402">
        <v>16</v>
      </c>
    </row>
    <row r="119" spans="1:57" x14ac:dyDescent="0.3">
      <c r="A119" s="350" t="s">
        <v>147</v>
      </c>
      <c r="B119" s="350" t="s">
        <v>208</v>
      </c>
      <c r="C119" s="350">
        <v>2018</v>
      </c>
      <c r="D119" s="350" t="s">
        <v>65</v>
      </c>
      <c r="E119" s="350">
        <v>90700</v>
      </c>
      <c r="F119" s="353" t="s">
        <v>72</v>
      </c>
      <c r="G119" s="353">
        <v>2</v>
      </c>
      <c r="I119" s="382" t="s">
        <v>147</v>
      </c>
      <c r="J119" s="383" t="s">
        <v>121</v>
      </c>
      <c r="K119" s="383">
        <v>2021</v>
      </c>
      <c r="L119" s="383" t="s">
        <v>65</v>
      </c>
      <c r="M119" s="383">
        <v>21500</v>
      </c>
      <c r="N119" s="383" t="s">
        <v>72</v>
      </c>
      <c r="O119" s="384">
        <v>47</v>
      </c>
      <c r="P119" s="387" t="s">
        <v>129</v>
      </c>
      <c r="Q119" s="388">
        <v>2020</v>
      </c>
      <c r="R119" s="388" t="s">
        <v>65</v>
      </c>
      <c r="S119" s="388">
        <v>3615</v>
      </c>
      <c r="T119" s="388" t="s">
        <v>66</v>
      </c>
      <c r="U119" s="389">
        <v>3</v>
      </c>
      <c r="V119" s="289" t="s">
        <v>248</v>
      </c>
      <c r="W119" s="289">
        <v>2019</v>
      </c>
      <c r="X119" s="289" t="s">
        <v>65</v>
      </c>
      <c r="Y119" s="289">
        <v>11799</v>
      </c>
      <c r="Z119" s="289" t="s">
        <v>66</v>
      </c>
      <c r="AA119" s="289">
        <v>4</v>
      </c>
      <c r="AB119" s="391" t="s">
        <v>243</v>
      </c>
      <c r="AC119" s="392">
        <v>2018</v>
      </c>
      <c r="AD119" s="392" t="s">
        <v>65</v>
      </c>
      <c r="AE119" s="392">
        <v>23500</v>
      </c>
      <c r="AF119" s="392" t="s">
        <v>72</v>
      </c>
      <c r="AG119" s="393">
        <v>27</v>
      </c>
      <c r="AH119" s="290" t="s">
        <v>123</v>
      </c>
      <c r="AI119" s="290">
        <v>2017</v>
      </c>
      <c r="AJ119" s="290" t="s">
        <v>65</v>
      </c>
      <c r="AK119" s="290">
        <v>2579</v>
      </c>
      <c r="AL119" s="290" t="s">
        <v>66</v>
      </c>
      <c r="AM119" s="290">
        <v>40</v>
      </c>
      <c r="AN119" s="394" t="s">
        <v>122</v>
      </c>
      <c r="AO119" s="395">
        <v>2016</v>
      </c>
      <c r="AP119" s="395" t="s">
        <v>65</v>
      </c>
      <c r="AQ119" s="395">
        <v>3086</v>
      </c>
      <c r="AR119" s="395" t="s">
        <v>66</v>
      </c>
      <c r="AS119" s="396">
        <v>5</v>
      </c>
      <c r="AT119" s="397" t="s">
        <v>246</v>
      </c>
      <c r="AU119" s="398">
        <v>2015</v>
      </c>
      <c r="AV119" s="398" t="s">
        <v>65</v>
      </c>
      <c r="AW119" s="398">
        <v>149500</v>
      </c>
      <c r="AX119" s="398" t="s">
        <v>72</v>
      </c>
      <c r="AY119" s="399">
        <v>4</v>
      </c>
      <c r="AZ119" s="400" t="s">
        <v>136</v>
      </c>
      <c r="BA119" s="401">
        <v>2014</v>
      </c>
      <c r="BB119" s="401" t="s">
        <v>65</v>
      </c>
      <c r="BC119" s="401">
        <v>4629</v>
      </c>
      <c r="BD119" s="401" t="s">
        <v>66</v>
      </c>
      <c r="BE119" s="402">
        <v>7</v>
      </c>
    </row>
    <row r="120" spans="1:57" x14ac:dyDescent="0.3">
      <c r="A120" s="350" t="s">
        <v>147</v>
      </c>
      <c r="B120" s="350" t="s">
        <v>208</v>
      </c>
      <c r="C120" s="350">
        <v>2016</v>
      </c>
      <c r="D120" s="350" t="s">
        <v>65</v>
      </c>
      <c r="E120" s="350">
        <v>90700</v>
      </c>
      <c r="F120" s="353" t="s">
        <v>72</v>
      </c>
      <c r="G120" s="353">
        <v>6</v>
      </c>
      <c r="I120" s="382" t="s">
        <v>147</v>
      </c>
      <c r="J120" s="383" t="s">
        <v>243</v>
      </c>
      <c r="K120" s="383">
        <v>2021</v>
      </c>
      <c r="L120" s="383" t="s">
        <v>65</v>
      </c>
      <c r="M120" s="383">
        <v>23500</v>
      </c>
      <c r="N120" s="383" t="s">
        <v>72</v>
      </c>
      <c r="O120" s="384">
        <v>14</v>
      </c>
      <c r="P120" s="387" t="s">
        <v>130</v>
      </c>
      <c r="Q120" s="388">
        <v>2020</v>
      </c>
      <c r="R120" s="388" t="s">
        <v>65</v>
      </c>
      <c r="S120" s="388">
        <v>4850</v>
      </c>
      <c r="T120" s="388" t="s">
        <v>66</v>
      </c>
      <c r="U120" s="389">
        <v>58</v>
      </c>
      <c r="V120" s="289" t="s">
        <v>249</v>
      </c>
      <c r="W120" s="289">
        <v>2019</v>
      </c>
      <c r="X120" s="289" t="s">
        <v>65</v>
      </c>
      <c r="Y120" s="289">
        <v>11574</v>
      </c>
      <c r="Z120" s="289" t="s">
        <v>66</v>
      </c>
      <c r="AA120" s="289">
        <v>18</v>
      </c>
      <c r="AB120" s="391" t="s">
        <v>122</v>
      </c>
      <c r="AC120" s="392">
        <v>2018</v>
      </c>
      <c r="AD120" s="392" t="s">
        <v>65</v>
      </c>
      <c r="AE120" s="392">
        <v>3086</v>
      </c>
      <c r="AF120" s="392" t="s">
        <v>66</v>
      </c>
      <c r="AG120" s="393">
        <v>4</v>
      </c>
      <c r="AH120" s="290" t="s">
        <v>124</v>
      </c>
      <c r="AI120" s="290">
        <v>2017</v>
      </c>
      <c r="AJ120" s="290" t="s">
        <v>65</v>
      </c>
      <c r="AK120" s="290">
        <v>12500</v>
      </c>
      <c r="AL120" s="290" t="s">
        <v>66</v>
      </c>
      <c r="AM120" s="290">
        <v>10</v>
      </c>
      <c r="AN120" s="394" t="s">
        <v>123</v>
      </c>
      <c r="AO120" s="395">
        <v>2016</v>
      </c>
      <c r="AP120" s="395" t="s">
        <v>65</v>
      </c>
      <c r="AQ120" s="395">
        <v>2579</v>
      </c>
      <c r="AR120" s="395" t="s">
        <v>66</v>
      </c>
      <c r="AS120" s="396">
        <v>17</v>
      </c>
      <c r="AT120" s="397" t="s">
        <v>248</v>
      </c>
      <c r="AU120" s="398">
        <v>2015</v>
      </c>
      <c r="AV120" s="398" t="s">
        <v>65</v>
      </c>
      <c r="AW120" s="398">
        <v>11799</v>
      </c>
      <c r="AX120" s="398" t="s">
        <v>66</v>
      </c>
      <c r="AY120" s="399">
        <v>9</v>
      </c>
      <c r="AZ120" s="400" t="s">
        <v>253</v>
      </c>
      <c r="BA120" s="401">
        <v>2014</v>
      </c>
      <c r="BB120" s="401" t="s">
        <v>65</v>
      </c>
      <c r="BC120" s="401">
        <v>3798</v>
      </c>
      <c r="BD120" s="401" t="s">
        <v>66</v>
      </c>
      <c r="BE120" s="402">
        <v>15</v>
      </c>
    </row>
    <row r="121" spans="1:57" x14ac:dyDescent="0.3">
      <c r="A121" s="350" t="s">
        <v>147</v>
      </c>
      <c r="B121" s="350" t="s">
        <v>208</v>
      </c>
      <c r="C121" s="350">
        <v>2015</v>
      </c>
      <c r="D121" s="350" t="s">
        <v>65</v>
      </c>
      <c r="E121" s="350">
        <v>90700</v>
      </c>
      <c r="F121" s="353" t="s">
        <v>72</v>
      </c>
      <c r="G121" s="353">
        <v>1</v>
      </c>
      <c r="I121" s="382" t="s">
        <v>147</v>
      </c>
      <c r="J121" s="383" t="s">
        <v>122</v>
      </c>
      <c r="K121" s="383">
        <v>2021</v>
      </c>
      <c r="L121" s="383" t="s">
        <v>65</v>
      </c>
      <c r="M121" s="383">
        <v>3086</v>
      </c>
      <c r="N121" s="383" t="s">
        <v>66</v>
      </c>
      <c r="O121" s="384">
        <v>4</v>
      </c>
      <c r="P121" s="387" t="s">
        <v>131</v>
      </c>
      <c r="Q121" s="388">
        <v>2020</v>
      </c>
      <c r="R121" s="388" t="s">
        <v>65</v>
      </c>
      <c r="S121" s="388">
        <v>1950</v>
      </c>
      <c r="T121" s="388" t="s">
        <v>66</v>
      </c>
      <c r="U121" s="389">
        <v>1</v>
      </c>
      <c r="V121" s="289" t="s">
        <v>125</v>
      </c>
      <c r="W121" s="289">
        <v>2019</v>
      </c>
      <c r="X121" s="289" t="s">
        <v>65</v>
      </c>
      <c r="Y121" s="289">
        <v>12100</v>
      </c>
      <c r="Z121" s="289" t="s">
        <v>66</v>
      </c>
      <c r="AA121" s="289">
        <v>5</v>
      </c>
      <c r="AB121" s="391" t="s">
        <v>123</v>
      </c>
      <c r="AC121" s="392">
        <v>2018</v>
      </c>
      <c r="AD121" s="392" t="s">
        <v>65</v>
      </c>
      <c r="AE121" s="392">
        <v>2579</v>
      </c>
      <c r="AF121" s="392" t="s">
        <v>66</v>
      </c>
      <c r="AG121" s="393">
        <v>50</v>
      </c>
      <c r="AH121" s="290" t="s">
        <v>245</v>
      </c>
      <c r="AI121" s="290">
        <v>2017</v>
      </c>
      <c r="AJ121" s="290" t="s">
        <v>65</v>
      </c>
      <c r="AK121" s="290">
        <v>149499</v>
      </c>
      <c r="AL121" s="290" t="s">
        <v>72</v>
      </c>
      <c r="AM121" s="290">
        <v>1</v>
      </c>
      <c r="AN121" s="394" t="s">
        <v>124</v>
      </c>
      <c r="AO121" s="395">
        <v>2016</v>
      </c>
      <c r="AP121" s="395" t="s">
        <v>65</v>
      </c>
      <c r="AQ121" s="395">
        <v>12500</v>
      </c>
      <c r="AR121" s="395" t="s">
        <v>66</v>
      </c>
      <c r="AS121" s="396">
        <v>13</v>
      </c>
      <c r="AT121" s="397" t="s">
        <v>249</v>
      </c>
      <c r="AU121" s="398">
        <v>2015</v>
      </c>
      <c r="AV121" s="398" t="s">
        <v>65</v>
      </c>
      <c r="AW121" s="398">
        <v>11574</v>
      </c>
      <c r="AX121" s="398" t="s">
        <v>66</v>
      </c>
      <c r="AY121" s="399">
        <v>24</v>
      </c>
      <c r="AZ121" s="400" t="s">
        <v>137</v>
      </c>
      <c r="BA121" s="401">
        <v>2014</v>
      </c>
      <c r="BB121" s="401" t="s">
        <v>65</v>
      </c>
      <c r="BC121" s="401">
        <v>4299</v>
      </c>
      <c r="BD121" s="401" t="s">
        <v>66</v>
      </c>
      <c r="BE121" s="402">
        <v>29</v>
      </c>
    </row>
    <row r="122" spans="1:57" x14ac:dyDescent="0.3">
      <c r="A122" s="350" t="s">
        <v>147</v>
      </c>
      <c r="B122" s="350" t="s">
        <v>208</v>
      </c>
      <c r="C122" s="350">
        <v>2014</v>
      </c>
      <c r="D122" s="350" t="s">
        <v>65</v>
      </c>
      <c r="E122" s="350">
        <v>90700</v>
      </c>
      <c r="F122" s="353" t="s">
        <v>72</v>
      </c>
      <c r="G122" s="353">
        <v>1</v>
      </c>
      <c r="I122" s="382" t="s">
        <v>147</v>
      </c>
      <c r="J122" s="383" t="s">
        <v>123</v>
      </c>
      <c r="K122" s="383">
        <v>2021</v>
      </c>
      <c r="L122" s="383" t="s">
        <v>65</v>
      </c>
      <c r="M122" s="383">
        <v>2579</v>
      </c>
      <c r="N122" s="383" t="s">
        <v>66</v>
      </c>
      <c r="O122" s="384">
        <v>52</v>
      </c>
      <c r="P122" s="387" t="s">
        <v>132</v>
      </c>
      <c r="Q122" s="388">
        <v>2020</v>
      </c>
      <c r="R122" s="388" t="s">
        <v>65</v>
      </c>
      <c r="S122" s="388">
        <v>3200</v>
      </c>
      <c r="T122" s="388" t="s">
        <v>66</v>
      </c>
      <c r="U122" s="389">
        <v>54</v>
      </c>
      <c r="V122" s="289" t="s">
        <v>126</v>
      </c>
      <c r="W122" s="289">
        <v>2019</v>
      </c>
      <c r="X122" s="289" t="s">
        <v>65</v>
      </c>
      <c r="Y122" s="289">
        <v>2548</v>
      </c>
      <c r="Z122" s="289" t="s">
        <v>66</v>
      </c>
      <c r="AA122" s="289">
        <v>152</v>
      </c>
      <c r="AB122" s="391" t="s">
        <v>124</v>
      </c>
      <c r="AC122" s="392">
        <v>2018</v>
      </c>
      <c r="AD122" s="392" t="s">
        <v>65</v>
      </c>
      <c r="AE122" s="392">
        <v>12500</v>
      </c>
      <c r="AF122" s="392" t="s">
        <v>66</v>
      </c>
      <c r="AG122" s="393">
        <v>13</v>
      </c>
      <c r="AH122" s="290" t="s">
        <v>246</v>
      </c>
      <c r="AI122" s="290">
        <v>2017</v>
      </c>
      <c r="AJ122" s="290" t="s">
        <v>65</v>
      </c>
      <c r="AK122" s="290">
        <v>149500</v>
      </c>
      <c r="AL122" s="290" t="s">
        <v>72</v>
      </c>
      <c r="AM122" s="290">
        <v>1</v>
      </c>
      <c r="AN122" s="394" t="s">
        <v>247</v>
      </c>
      <c r="AO122" s="395">
        <v>2016</v>
      </c>
      <c r="AP122" s="395" t="s">
        <v>65</v>
      </c>
      <c r="AQ122" s="395">
        <v>172500</v>
      </c>
      <c r="AR122" s="395" t="s">
        <v>72</v>
      </c>
      <c r="AS122" s="396">
        <v>1</v>
      </c>
      <c r="AT122" s="397" t="s">
        <v>125</v>
      </c>
      <c r="AU122" s="398">
        <v>2015</v>
      </c>
      <c r="AV122" s="398" t="s">
        <v>65</v>
      </c>
      <c r="AW122" s="398">
        <v>12100</v>
      </c>
      <c r="AX122" s="398" t="s">
        <v>66</v>
      </c>
      <c r="AY122" s="399">
        <v>11</v>
      </c>
      <c r="AZ122" s="400" t="s">
        <v>254</v>
      </c>
      <c r="BA122" s="401">
        <v>2014</v>
      </c>
      <c r="BB122" s="401" t="s">
        <v>65</v>
      </c>
      <c r="BC122" s="401">
        <v>8699</v>
      </c>
      <c r="BD122" s="401" t="s">
        <v>66</v>
      </c>
      <c r="BE122" s="402">
        <v>7</v>
      </c>
    </row>
    <row r="123" spans="1:57" x14ac:dyDescent="0.3">
      <c r="A123" s="350" t="s">
        <v>147</v>
      </c>
      <c r="B123" s="350" t="s">
        <v>219</v>
      </c>
      <c r="C123" s="350">
        <v>2021</v>
      </c>
      <c r="D123" s="350" t="s">
        <v>65</v>
      </c>
      <c r="E123" s="350">
        <v>89000</v>
      </c>
      <c r="F123" s="353" t="s">
        <v>72</v>
      </c>
      <c r="G123" s="353">
        <v>3</v>
      </c>
      <c r="I123" s="382" t="s">
        <v>147</v>
      </c>
      <c r="J123" s="383" t="s">
        <v>124</v>
      </c>
      <c r="K123" s="383">
        <v>2021</v>
      </c>
      <c r="L123" s="383" t="s">
        <v>65</v>
      </c>
      <c r="M123" s="383">
        <v>12500</v>
      </c>
      <c r="N123" s="383" t="s">
        <v>66</v>
      </c>
      <c r="O123" s="384">
        <v>26</v>
      </c>
      <c r="P123" s="387" t="s">
        <v>251</v>
      </c>
      <c r="Q123" s="388">
        <v>2020</v>
      </c>
      <c r="R123" s="388" t="s">
        <v>65</v>
      </c>
      <c r="S123" s="388">
        <v>5200</v>
      </c>
      <c r="T123" s="388" t="s">
        <v>66</v>
      </c>
      <c r="U123" s="389">
        <v>4</v>
      </c>
      <c r="V123" s="289" t="s">
        <v>127</v>
      </c>
      <c r="W123" s="289">
        <v>2019</v>
      </c>
      <c r="X123" s="289" t="s">
        <v>65</v>
      </c>
      <c r="Y123" s="289">
        <v>2150</v>
      </c>
      <c r="Z123" s="289" t="s">
        <v>66</v>
      </c>
      <c r="AA123" s="289">
        <v>3</v>
      </c>
      <c r="AB123" s="391" t="s">
        <v>246</v>
      </c>
      <c r="AC123" s="392">
        <v>2018</v>
      </c>
      <c r="AD123" s="392" t="s">
        <v>65</v>
      </c>
      <c r="AE123" s="392">
        <v>149500</v>
      </c>
      <c r="AF123" s="392" t="s">
        <v>72</v>
      </c>
      <c r="AG123" s="393">
        <v>1</v>
      </c>
      <c r="AH123" s="290" t="s">
        <v>248</v>
      </c>
      <c r="AI123" s="290">
        <v>2017</v>
      </c>
      <c r="AJ123" s="290" t="s">
        <v>65</v>
      </c>
      <c r="AK123" s="290">
        <v>11799</v>
      </c>
      <c r="AL123" s="290" t="s">
        <v>66</v>
      </c>
      <c r="AM123" s="290">
        <v>5</v>
      </c>
      <c r="AN123" s="394" t="s">
        <v>248</v>
      </c>
      <c r="AO123" s="395">
        <v>2016</v>
      </c>
      <c r="AP123" s="395" t="s">
        <v>65</v>
      </c>
      <c r="AQ123" s="395">
        <v>11799</v>
      </c>
      <c r="AR123" s="395" t="s">
        <v>66</v>
      </c>
      <c r="AS123" s="396">
        <v>4</v>
      </c>
      <c r="AT123" s="397" t="s">
        <v>126</v>
      </c>
      <c r="AU123" s="398">
        <v>2015</v>
      </c>
      <c r="AV123" s="398" t="s">
        <v>65</v>
      </c>
      <c r="AW123" s="398">
        <v>2548</v>
      </c>
      <c r="AX123" s="398" t="s">
        <v>66</v>
      </c>
      <c r="AY123" s="399">
        <v>44</v>
      </c>
      <c r="AZ123" s="400" t="s">
        <v>138</v>
      </c>
      <c r="BA123" s="401">
        <v>2014</v>
      </c>
      <c r="BB123" s="401" t="s">
        <v>65</v>
      </c>
      <c r="BC123" s="401">
        <v>9479</v>
      </c>
      <c r="BD123" s="401" t="s">
        <v>66</v>
      </c>
      <c r="BE123" s="402">
        <v>60</v>
      </c>
    </row>
    <row r="124" spans="1:57" x14ac:dyDescent="0.3">
      <c r="A124" s="350" t="s">
        <v>147</v>
      </c>
      <c r="B124" s="350" t="s">
        <v>219</v>
      </c>
      <c r="C124" s="350">
        <v>2019</v>
      </c>
      <c r="D124" s="350" t="s">
        <v>65</v>
      </c>
      <c r="E124" s="350">
        <v>89000</v>
      </c>
      <c r="F124" s="353" t="s">
        <v>72</v>
      </c>
      <c r="G124" s="353">
        <v>2</v>
      </c>
      <c r="I124" s="382" t="s">
        <v>147</v>
      </c>
      <c r="J124" s="383" t="s">
        <v>244</v>
      </c>
      <c r="K124" s="383">
        <v>2021</v>
      </c>
      <c r="L124" s="383" t="s">
        <v>65</v>
      </c>
      <c r="M124" s="383">
        <v>6000</v>
      </c>
      <c r="N124" s="383" t="s">
        <v>66</v>
      </c>
      <c r="O124" s="384">
        <v>7</v>
      </c>
      <c r="P124" s="387" t="s">
        <v>133</v>
      </c>
      <c r="Q124" s="388">
        <v>2020</v>
      </c>
      <c r="R124" s="388" t="s">
        <v>65</v>
      </c>
      <c r="S124" s="388">
        <v>2150</v>
      </c>
      <c r="T124" s="388" t="s">
        <v>66</v>
      </c>
      <c r="U124" s="389">
        <v>99</v>
      </c>
      <c r="V124" s="289" t="s">
        <v>128</v>
      </c>
      <c r="W124" s="289">
        <v>2019</v>
      </c>
      <c r="X124" s="289" t="s">
        <v>65</v>
      </c>
      <c r="Y124" s="289">
        <v>2866</v>
      </c>
      <c r="Z124" s="289" t="s">
        <v>66</v>
      </c>
      <c r="AA124" s="289">
        <v>33</v>
      </c>
      <c r="AB124" s="391" t="s">
        <v>248</v>
      </c>
      <c r="AC124" s="392">
        <v>2018</v>
      </c>
      <c r="AD124" s="392" t="s">
        <v>65</v>
      </c>
      <c r="AE124" s="392">
        <v>11799</v>
      </c>
      <c r="AF124" s="392" t="s">
        <v>66</v>
      </c>
      <c r="AG124" s="393">
        <v>8</v>
      </c>
      <c r="AH124" s="290" t="s">
        <v>249</v>
      </c>
      <c r="AI124" s="290">
        <v>2017</v>
      </c>
      <c r="AJ124" s="290" t="s">
        <v>65</v>
      </c>
      <c r="AK124" s="290">
        <v>11574</v>
      </c>
      <c r="AL124" s="290" t="s">
        <v>66</v>
      </c>
      <c r="AM124" s="290">
        <v>31</v>
      </c>
      <c r="AN124" s="394" t="s">
        <v>249</v>
      </c>
      <c r="AO124" s="395">
        <v>2016</v>
      </c>
      <c r="AP124" s="395" t="s">
        <v>65</v>
      </c>
      <c r="AQ124" s="395">
        <v>11574</v>
      </c>
      <c r="AR124" s="395" t="s">
        <v>66</v>
      </c>
      <c r="AS124" s="396">
        <v>26</v>
      </c>
      <c r="AT124" s="397" t="s">
        <v>127</v>
      </c>
      <c r="AU124" s="398">
        <v>2015</v>
      </c>
      <c r="AV124" s="398" t="s">
        <v>65</v>
      </c>
      <c r="AW124" s="398">
        <v>2150</v>
      </c>
      <c r="AX124" s="398" t="s">
        <v>66</v>
      </c>
      <c r="AY124" s="399">
        <v>5</v>
      </c>
      <c r="AZ124" s="400" t="s">
        <v>139</v>
      </c>
      <c r="BA124" s="401">
        <v>2014</v>
      </c>
      <c r="BB124" s="401" t="s">
        <v>65</v>
      </c>
      <c r="BC124" s="401">
        <v>9039</v>
      </c>
      <c r="BD124" s="401" t="s">
        <v>66</v>
      </c>
      <c r="BE124" s="402">
        <v>24</v>
      </c>
    </row>
    <row r="125" spans="1:57" x14ac:dyDescent="0.3">
      <c r="A125" s="350" t="s">
        <v>147</v>
      </c>
      <c r="B125" s="350" t="s">
        <v>219</v>
      </c>
      <c r="C125" s="350">
        <v>2018</v>
      </c>
      <c r="D125" s="350" t="s">
        <v>65</v>
      </c>
      <c r="E125" s="350">
        <v>89000</v>
      </c>
      <c r="F125" s="353" t="s">
        <v>72</v>
      </c>
      <c r="G125" s="353">
        <v>1</v>
      </c>
      <c r="I125" s="382" t="s">
        <v>147</v>
      </c>
      <c r="J125" s="383" t="s">
        <v>246</v>
      </c>
      <c r="K125" s="383">
        <v>2021</v>
      </c>
      <c r="L125" s="383" t="s">
        <v>65</v>
      </c>
      <c r="M125" s="383">
        <v>149500</v>
      </c>
      <c r="N125" s="383" t="s">
        <v>72</v>
      </c>
      <c r="O125" s="384">
        <v>1</v>
      </c>
      <c r="P125" s="387" t="s">
        <v>134</v>
      </c>
      <c r="Q125" s="388">
        <v>2020</v>
      </c>
      <c r="R125" s="388" t="s">
        <v>65</v>
      </c>
      <c r="S125" s="388">
        <v>3725</v>
      </c>
      <c r="T125" s="388" t="s">
        <v>66</v>
      </c>
      <c r="U125" s="389">
        <v>3</v>
      </c>
      <c r="V125" s="289" t="s">
        <v>129</v>
      </c>
      <c r="W125" s="289">
        <v>2019</v>
      </c>
      <c r="X125" s="289" t="s">
        <v>65</v>
      </c>
      <c r="Y125" s="289">
        <v>3615</v>
      </c>
      <c r="Z125" s="289" t="s">
        <v>66</v>
      </c>
      <c r="AA125" s="289">
        <v>1</v>
      </c>
      <c r="AB125" s="391" t="s">
        <v>249</v>
      </c>
      <c r="AC125" s="392">
        <v>2018</v>
      </c>
      <c r="AD125" s="392" t="s">
        <v>65</v>
      </c>
      <c r="AE125" s="392">
        <v>11574</v>
      </c>
      <c r="AF125" s="392" t="s">
        <v>66</v>
      </c>
      <c r="AG125" s="393">
        <v>23</v>
      </c>
      <c r="AH125" s="290" t="s">
        <v>125</v>
      </c>
      <c r="AI125" s="290">
        <v>2017</v>
      </c>
      <c r="AJ125" s="290" t="s">
        <v>65</v>
      </c>
      <c r="AK125" s="290">
        <v>12100</v>
      </c>
      <c r="AL125" s="290" t="s">
        <v>66</v>
      </c>
      <c r="AM125" s="290">
        <v>11</v>
      </c>
      <c r="AN125" s="394" t="s">
        <v>125</v>
      </c>
      <c r="AO125" s="395">
        <v>2016</v>
      </c>
      <c r="AP125" s="395" t="s">
        <v>65</v>
      </c>
      <c r="AQ125" s="395">
        <v>12100</v>
      </c>
      <c r="AR125" s="395" t="s">
        <v>66</v>
      </c>
      <c r="AS125" s="396">
        <v>8</v>
      </c>
      <c r="AT125" s="397" t="s">
        <v>128</v>
      </c>
      <c r="AU125" s="398">
        <v>2015</v>
      </c>
      <c r="AV125" s="398" t="s">
        <v>65</v>
      </c>
      <c r="AW125" s="398">
        <v>2866</v>
      </c>
      <c r="AX125" s="398" t="s">
        <v>66</v>
      </c>
      <c r="AY125" s="399">
        <v>11</v>
      </c>
      <c r="AZ125" s="400" t="s">
        <v>256</v>
      </c>
      <c r="BA125" s="401">
        <v>2014</v>
      </c>
      <c r="BB125" s="401" t="s">
        <v>65</v>
      </c>
      <c r="BC125" s="401">
        <v>8800</v>
      </c>
      <c r="BD125" s="401" t="s">
        <v>66</v>
      </c>
      <c r="BE125" s="402">
        <v>25</v>
      </c>
    </row>
    <row r="126" spans="1:57" x14ac:dyDescent="0.3">
      <c r="A126" s="350" t="s">
        <v>147</v>
      </c>
      <c r="B126" s="350" t="s">
        <v>219</v>
      </c>
      <c r="C126" s="350">
        <v>2016</v>
      </c>
      <c r="D126" s="350" t="s">
        <v>65</v>
      </c>
      <c r="E126" s="350">
        <v>89000</v>
      </c>
      <c r="F126" s="353" t="s">
        <v>72</v>
      </c>
      <c r="G126" s="353">
        <v>1</v>
      </c>
      <c r="I126" s="382" t="s">
        <v>147</v>
      </c>
      <c r="J126" s="383" t="s">
        <v>248</v>
      </c>
      <c r="K126" s="383">
        <v>2021</v>
      </c>
      <c r="L126" s="383" t="s">
        <v>65</v>
      </c>
      <c r="M126" s="383">
        <v>11799</v>
      </c>
      <c r="N126" s="383" t="s">
        <v>66</v>
      </c>
      <c r="O126" s="384">
        <v>2</v>
      </c>
      <c r="P126" s="387" t="s">
        <v>252</v>
      </c>
      <c r="Q126" s="388">
        <v>2020</v>
      </c>
      <c r="R126" s="388" t="s">
        <v>65</v>
      </c>
      <c r="S126" s="388">
        <v>6500</v>
      </c>
      <c r="T126" s="388" t="s">
        <v>66</v>
      </c>
      <c r="U126" s="389">
        <v>7</v>
      </c>
      <c r="V126" s="289" t="s">
        <v>130</v>
      </c>
      <c r="W126" s="289">
        <v>2019</v>
      </c>
      <c r="X126" s="289" t="s">
        <v>65</v>
      </c>
      <c r="Y126" s="289">
        <v>4850</v>
      </c>
      <c r="Z126" s="289" t="s">
        <v>66</v>
      </c>
      <c r="AA126" s="289">
        <v>83</v>
      </c>
      <c r="AB126" s="391" t="s">
        <v>125</v>
      </c>
      <c r="AC126" s="392">
        <v>2018</v>
      </c>
      <c r="AD126" s="392" t="s">
        <v>65</v>
      </c>
      <c r="AE126" s="392">
        <v>12100</v>
      </c>
      <c r="AF126" s="392" t="s">
        <v>66</v>
      </c>
      <c r="AG126" s="393">
        <v>15</v>
      </c>
      <c r="AH126" s="290" t="s">
        <v>126</v>
      </c>
      <c r="AI126" s="290">
        <v>2017</v>
      </c>
      <c r="AJ126" s="290" t="s">
        <v>65</v>
      </c>
      <c r="AK126" s="290">
        <v>2548</v>
      </c>
      <c r="AL126" s="290" t="s">
        <v>66</v>
      </c>
      <c r="AM126" s="290">
        <v>73</v>
      </c>
      <c r="AN126" s="394" t="s">
        <v>126</v>
      </c>
      <c r="AO126" s="395">
        <v>2016</v>
      </c>
      <c r="AP126" s="395" t="s">
        <v>65</v>
      </c>
      <c r="AQ126" s="395">
        <v>2548</v>
      </c>
      <c r="AR126" s="395" t="s">
        <v>66</v>
      </c>
      <c r="AS126" s="396">
        <v>68</v>
      </c>
      <c r="AT126" s="397" t="s">
        <v>250</v>
      </c>
      <c r="AU126" s="398">
        <v>2015</v>
      </c>
      <c r="AV126" s="398" t="s">
        <v>65</v>
      </c>
      <c r="AW126" s="398">
        <v>135000</v>
      </c>
      <c r="AX126" s="398" t="s">
        <v>72</v>
      </c>
      <c r="AY126" s="399">
        <v>1</v>
      </c>
      <c r="AZ126" s="400" t="s">
        <v>259</v>
      </c>
      <c r="BA126" s="401">
        <v>2014</v>
      </c>
      <c r="BB126" s="401" t="s">
        <v>65</v>
      </c>
      <c r="BC126" s="401">
        <v>2700</v>
      </c>
      <c r="BD126" s="401" t="s">
        <v>66</v>
      </c>
      <c r="BE126" s="402">
        <v>1</v>
      </c>
    </row>
    <row r="127" spans="1:57" x14ac:dyDescent="0.3">
      <c r="A127" s="350" t="s">
        <v>147</v>
      </c>
      <c r="B127" s="350" t="s">
        <v>220</v>
      </c>
      <c r="C127" s="350">
        <v>2017</v>
      </c>
      <c r="D127" s="350" t="s">
        <v>65</v>
      </c>
      <c r="E127" s="350">
        <v>89000</v>
      </c>
      <c r="F127" s="353" t="s">
        <v>72</v>
      </c>
      <c r="G127" s="353">
        <v>1</v>
      </c>
      <c r="I127" s="382" t="s">
        <v>147</v>
      </c>
      <c r="J127" s="383" t="s">
        <v>249</v>
      </c>
      <c r="K127" s="383">
        <v>2021</v>
      </c>
      <c r="L127" s="383" t="s">
        <v>65</v>
      </c>
      <c r="M127" s="383">
        <v>11574</v>
      </c>
      <c r="N127" s="383" t="s">
        <v>66</v>
      </c>
      <c r="O127" s="384">
        <v>9</v>
      </c>
      <c r="P127" s="387" t="s">
        <v>135</v>
      </c>
      <c r="Q127" s="388">
        <v>2020</v>
      </c>
      <c r="R127" s="388" t="s">
        <v>65</v>
      </c>
      <c r="S127" s="388">
        <v>3400</v>
      </c>
      <c r="T127" s="388" t="s">
        <v>66</v>
      </c>
      <c r="U127" s="389">
        <v>16</v>
      </c>
      <c r="V127" s="289" t="s">
        <v>132</v>
      </c>
      <c r="W127" s="289">
        <v>2019</v>
      </c>
      <c r="X127" s="289" t="s">
        <v>65</v>
      </c>
      <c r="Y127" s="289">
        <v>3200</v>
      </c>
      <c r="Z127" s="289" t="s">
        <v>66</v>
      </c>
      <c r="AA127" s="289">
        <v>48</v>
      </c>
      <c r="AB127" s="391" t="s">
        <v>126</v>
      </c>
      <c r="AC127" s="392">
        <v>2018</v>
      </c>
      <c r="AD127" s="392" t="s">
        <v>65</v>
      </c>
      <c r="AE127" s="392">
        <v>2548</v>
      </c>
      <c r="AF127" s="392" t="s">
        <v>66</v>
      </c>
      <c r="AG127" s="393">
        <v>87</v>
      </c>
      <c r="AH127" s="290" t="s">
        <v>127</v>
      </c>
      <c r="AI127" s="290">
        <v>2017</v>
      </c>
      <c r="AJ127" s="290" t="s">
        <v>65</v>
      </c>
      <c r="AK127" s="290">
        <v>2150</v>
      </c>
      <c r="AL127" s="290" t="s">
        <v>66</v>
      </c>
      <c r="AM127" s="290">
        <v>6</v>
      </c>
      <c r="AN127" s="394" t="s">
        <v>127</v>
      </c>
      <c r="AO127" s="395">
        <v>2016</v>
      </c>
      <c r="AP127" s="395" t="s">
        <v>65</v>
      </c>
      <c r="AQ127" s="395">
        <v>2150</v>
      </c>
      <c r="AR127" s="395" t="s">
        <v>66</v>
      </c>
      <c r="AS127" s="396">
        <v>3</v>
      </c>
      <c r="AT127" s="397" t="s">
        <v>129</v>
      </c>
      <c r="AU127" s="398">
        <v>2015</v>
      </c>
      <c r="AV127" s="398" t="s">
        <v>65</v>
      </c>
      <c r="AW127" s="398">
        <v>3615</v>
      </c>
      <c r="AX127" s="398" t="s">
        <v>66</v>
      </c>
      <c r="AY127" s="399">
        <v>4</v>
      </c>
      <c r="AZ127" s="400" t="s">
        <v>140</v>
      </c>
      <c r="BA127" s="401">
        <v>2014</v>
      </c>
      <c r="BB127" s="401" t="s">
        <v>65</v>
      </c>
      <c r="BC127" s="401">
        <v>1650</v>
      </c>
      <c r="BD127" s="401" t="s">
        <v>66</v>
      </c>
      <c r="BE127" s="402">
        <v>2</v>
      </c>
    </row>
    <row r="128" spans="1:57" x14ac:dyDescent="0.3">
      <c r="A128" s="350" t="s">
        <v>147</v>
      </c>
      <c r="B128" s="350" t="s">
        <v>233</v>
      </c>
      <c r="C128" s="350">
        <v>2021</v>
      </c>
      <c r="D128" s="350" t="s">
        <v>65</v>
      </c>
      <c r="E128" s="350">
        <v>88846</v>
      </c>
      <c r="F128" s="353" t="s">
        <v>72</v>
      </c>
      <c r="G128" s="353">
        <v>3</v>
      </c>
      <c r="I128" s="382" t="s">
        <v>147</v>
      </c>
      <c r="J128" s="383" t="s">
        <v>125</v>
      </c>
      <c r="K128" s="383">
        <v>2021</v>
      </c>
      <c r="L128" s="383" t="s">
        <v>65</v>
      </c>
      <c r="M128" s="383">
        <v>12100</v>
      </c>
      <c r="N128" s="383" t="s">
        <v>66</v>
      </c>
      <c r="O128" s="384">
        <v>6</v>
      </c>
      <c r="P128" s="387" t="s">
        <v>136</v>
      </c>
      <c r="Q128" s="388">
        <v>2020</v>
      </c>
      <c r="R128" s="388" t="s">
        <v>65</v>
      </c>
      <c r="S128" s="388">
        <v>4629</v>
      </c>
      <c r="T128" s="388" t="s">
        <v>66</v>
      </c>
      <c r="U128" s="389">
        <v>5</v>
      </c>
      <c r="V128" s="289" t="s">
        <v>251</v>
      </c>
      <c r="W128" s="289">
        <v>2019</v>
      </c>
      <c r="X128" s="289" t="s">
        <v>65</v>
      </c>
      <c r="Y128" s="289">
        <v>5200</v>
      </c>
      <c r="Z128" s="289" t="s">
        <v>66</v>
      </c>
      <c r="AA128" s="289">
        <v>11</v>
      </c>
      <c r="AB128" s="391" t="s">
        <v>127</v>
      </c>
      <c r="AC128" s="392">
        <v>2018</v>
      </c>
      <c r="AD128" s="392" t="s">
        <v>65</v>
      </c>
      <c r="AE128" s="392">
        <v>2150</v>
      </c>
      <c r="AF128" s="392" t="s">
        <v>66</v>
      </c>
      <c r="AG128" s="393">
        <v>1</v>
      </c>
      <c r="AH128" s="290" t="s">
        <v>128</v>
      </c>
      <c r="AI128" s="290">
        <v>2017</v>
      </c>
      <c r="AJ128" s="290" t="s">
        <v>65</v>
      </c>
      <c r="AK128" s="290">
        <v>2866</v>
      </c>
      <c r="AL128" s="290" t="s">
        <v>66</v>
      </c>
      <c r="AM128" s="290">
        <v>19</v>
      </c>
      <c r="AN128" s="394" t="s">
        <v>128</v>
      </c>
      <c r="AO128" s="395">
        <v>2016</v>
      </c>
      <c r="AP128" s="395" t="s">
        <v>65</v>
      </c>
      <c r="AQ128" s="395">
        <v>2866</v>
      </c>
      <c r="AR128" s="395" t="s">
        <v>66</v>
      </c>
      <c r="AS128" s="396">
        <v>20</v>
      </c>
      <c r="AT128" s="397" t="s">
        <v>130</v>
      </c>
      <c r="AU128" s="398">
        <v>2015</v>
      </c>
      <c r="AV128" s="398" t="s">
        <v>65</v>
      </c>
      <c r="AW128" s="398">
        <v>4850</v>
      </c>
      <c r="AX128" s="398" t="s">
        <v>66</v>
      </c>
      <c r="AY128" s="399">
        <v>53</v>
      </c>
      <c r="AZ128" s="400" t="s">
        <v>141</v>
      </c>
      <c r="BA128" s="401">
        <v>2014</v>
      </c>
      <c r="BB128" s="401" t="s">
        <v>65</v>
      </c>
      <c r="BC128" s="401">
        <v>1600</v>
      </c>
      <c r="BD128" s="401" t="s">
        <v>66</v>
      </c>
      <c r="BE128" s="402">
        <v>2</v>
      </c>
    </row>
    <row r="129" spans="1:57" x14ac:dyDescent="0.3">
      <c r="A129" s="350" t="s">
        <v>147</v>
      </c>
      <c r="B129" s="350" t="s">
        <v>233</v>
      </c>
      <c r="C129" s="350">
        <v>2020</v>
      </c>
      <c r="D129" s="350" t="s">
        <v>65</v>
      </c>
      <c r="E129" s="350">
        <v>88846</v>
      </c>
      <c r="F129" s="353" t="s">
        <v>72</v>
      </c>
      <c r="G129" s="353">
        <v>6</v>
      </c>
      <c r="I129" s="382" t="s">
        <v>147</v>
      </c>
      <c r="J129" s="383" t="s">
        <v>126</v>
      </c>
      <c r="K129" s="383">
        <v>2021</v>
      </c>
      <c r="L129" s="383" t="s">
        <v>65</v>
      </c>
      <c r="M129" s="383">
        <v>2548</v>
      </c>
      <c r="N129" s="383" t="s">
        <v>66</v>
      </c>
      <c r="O129" s="384">
        <v>206</v>
      </c>
      <c r="P129" s="387" t="s">
        <v>253</v>
      </c>
      <c r="Q129" s="388">
        <v>2020</v>
      </c>
      <c r="R129" s="388" t="s">
        <v>65</v>
      </c>
      <c r="S129" s="388">
        <v>3798</v>
      </c>
      <c r="T129" s="388" t="s">
        <v>66</v>
      </c>
      <c r="U129" s="389">
        <v>20</v>
      </c>
      <c r="V129" s="289" t="s">
        <v>133</v>
      </c>
      <c r="W129" s="289">
        <v>2019</v>
      </c>
      <c r="X129" s="289" t="s">
        <v>65</v>
      </c>
      <c r="Y129" s="289">
        <v>2150</v>
      </c>
      <c r="Z129" s="289" t="s">
        <v>66</v>
      </c>
      <c r="AA129" s="289">
        <v>75</v>
      </c>
      <c r="AB129" s="391" t="s">
        <v>128</v>
      </c>
      <c r="AC129" s="392">
        <v>2018</v>
      </c>
      <c r="AD129" s="392" t="s">
        <v>65</v>
      </c>
      <c r="AE129" s="392">
        <v>2866</v>
      </c>
      <c r="AF129" s="392" t="s">
        <v>66</v>
      </c>
      <c r="AG129" s="393">
        <v>31</v>
      </c>
      <c r="AH129" s="290" t="s">
        <v>129</v>
      </c>
      <c r="AI129" s="290">
        <v>2017</v>
      </c>
      <c r="AJ129" s="290" t="s">
        <v>65</v>
      </c>
      <c r="AK129" s="290">
        <v>3615</v>
      </c>
      <c r="AL129" s="290" t="s">
        <v>66</v>
      </c>
      <c r="AM129" s="290">
        <v>9</v>
      </c>
      <c r="AN129" s="394" t="s">
        <v>129</v>
      </c>
      <c r="AO129" s="395">
        <v>2016</v>
      </c>
      <c r="AP129" s="395" t="s">
        <v>65</v>
      </c>
      <c r="AQ129" s="395">
        <v>3615</v>
      </c>
      <c r="AR129" s="395" t="s">
        <v>66</v>
      </c>
      <c r="AS129" s="396">
        <v>5</v>
      </c>
      <c r="AT129" s="397" t="s">
        <v>131</v>
      </c>
      <c r="AU129" s="398">
        <v>2015</v>
      </c>
      <c r="AV129" s="398" t="s">
        <v>65</v>
      </c>
      <c r="AW129" s="398">
        <v>1950</v>
      </c>
      <c r="AX129" s="398" t="s">
        <v>66</v>
      </c>
      <c r="AY129" s="399">
        <v>3</v>
      </c>
      <c r="AZ129" s="400" t="s">
        <v>142</v>
      </c>
      <c r="BA129" s="401">
        <v>2014</v>
      </c>
      <c r="BB129" s="401" t="s">
        <v>65</v>
      </c>
      <c r="BC129" s="401">
        <v>3000</v>
      </c>
      <c r="BD129" s="401" t="s">
        <v>66</v>
      </c>
      <c r="BE129" s="402">
        <v>17</v>
      </c>
    </row>
    <row r="130" spans="1:57" x14ac:dyDescent="0.3">
      <c r="A130" s="350" t="s">
        <v>147</v>
      </c>
      <c r="B130" s="350" t="s">
        <v>233</v>
      </c>
      <c r="C130" s="350">
        <v>2019</v>
      </c>
      <c r="D130" s="350" t="s">
        <v>65</v>
      </c>
      <c r="E130" s="350">
        <v>88846</v>
      </c>
      <c r="F130" s="353" t="s">
        <v>72</v>
      </c>
      <c r="G130" s="353">
        <v>4</v>
      </c>
      <c r="I130" s="382" t="s">
        <v>147</v>
      </c>
      <c r="J130" s="383" t="s">
        <v>127</v>
      </c>
      <c r="K130" s="383">
        <v>2021</v>
      </c>
      <c r="L130" s="383" t="s">
        <v>65</v>
      </c>
      <c r="M130" s="383">
        <v>2150</v>
      </c>
      <c r="N130" s="383" t="s">
        <v>66</v>
      </c>
      <c r="O130" s="384">
        <v>2</v>
      </c>
      <c r="P130" s="387" t="s">
        <v>137</v>
      </c>
      <c r="Q130" s="388">
        <v>2020</v>
      </c>
      <c r="R130" s="388" t="s">
        <v>65</v>
      </c>
      <c r="S130" s="388">
        <v>4299</v>
      </c>
      <c r="T130" s="388" t="s">
        <v>66</v>
      </c>
      <c r="U130" s="389">
        <v>41</v>
      </c>
      <c r="V130" s="289" t="s">
        <v>134</v>
      </c>
      <c r="W130" s="289">
        <v>2019</v>
      </c>
      <c r="X130" s="289" t="s">
        <v>65</v>
      </c>
      <c r="Y130" s="289">
        <v>3725</v>
      </c>
      <c r="Z130" s="289" t="s">
        <v>66</v>
      </c>
      <c r="AA130" s="289">
        <v>23</v>
      </c>
      <c r="AB130" s="391" t="s">
        <v>129</v>
      </c>
      <c r="AC130" s="392">
        <v>2018</v>
      </c>
      <c r="AD130" s="392" t="s">
        <v>65</v>
      </c>
      <c r="AE130" s="392">
        <v>3615</v>
      </c>
      <c r="AF130" s="392" t="s">
        <v>66</v>
      </c>
      <c r="AG130" s="393">
        <v>1</v>
      </c>
      <c r="AH130" s="290" t="s">
        <v>130</v>
      </c>
      <c r="AI130" s="290">
        <v>2017</v>
      </c>
      <c r="AJ130" s="290" t="s">
        <v>65</v>
      </c>
      <c r="AK130" s="290">
        <v>4850</v>
      </c>
      <c r="AL130" s="290" t="s">
        <v>66</v>
      </c>
      <c r="AM130" s="290">
        <v>72</v>
      </c>
      <c r="AN130" s="394" t="s">
        <v>130</v>
      </c>
      <c r="AO130" s="395">
        <v>2016</v>
      </c>
      <c r="AP130" s="395" t="s">
        <v>65</v>
      </c>
      <c r="AQ130" s="395">
        <v>4850</v>
      </c>
      <c r="AR130" s="395" t="s">
        <v>66</v>
      </c>
      <c r="AS130" s="396">
        <v>65</v>
      </c>
      <c r="AT130" s="397" t="s">
        <v>132</v>
      </c>
      <c r="AU130" s="398">
        <v>2015</v>
      </c>
      <c r="AV130" s="398" t="s">
        <v>65</v>
      </c>
      <c r="AW130" s="398">
        <v>3200</v>
      </c>
      <c r="AX130" s="398" t="s">
        <v>66</v>
      </c>
      <c r="AY130" s="399">
        <v>34</v>
      </c>
      <c r="AZ130" s="400" t="s">
        <v>265</v>
      </c>
      <c r="BA130" s="401">
        <v>2014</v>
      </c>
      <c r="BB130" s="401" t="s">
        <v>65</v>
      </c>
      <c r="BC130" s="401">
        <v>3368</v>
      </c>
      <c r="BD130" s="401" t="s">
        <v>66</v>
      </c>
      <c r="BE130" s="402">
        <v>2</v>
      </c>
    </row>
    <row r="131" spans="1:57" x14ac:dyDescent="0.3">
      <c r="A131" s="350" t="s">
        <v>147</v>
      </c>
      <c r="B131" s="350" t="s">
        <v>233</v>
      </c>
      <c r="C131" s="350">
        <v>2018</v>
      </c>
      <c r="D131" s="350" t="s">
        <v>65</v>
      </c>
      <c r="E131" s="350">
        <v>88846</v>
      </c>
      <c r="F131" s="353" t="s">
        <v>72</v>
      </c>
      <c r="G131" s="353">
        <v>4</v>
      </c>
      <c r="I131" s="382" t="s">
        <v>147</v>
      </c>
      <c r="J131" s="383" t="s">
        <v>128</v>
      </c>
      <c r="K131" s="383">
        <v>2021</v>
      </c>
      <c r="L131" s="383" t="s">
        <v>65</v>
      </c>
      <c r="M131" s="383">
        <v>2866</v>
      </c>
      <c r="N131" s="383" t="s">
        <v>66</v>
      </c>
      <c r="O131" s="384">
        <v>57</v>
      </c>
      <c r="P131" s="387" t="s">
        <v>254</v>
      </c>
      <c r="Q131" s="388">
        <v>2020</v>
      </c>
      <c r="R131" s="388" t="s">
        <v>65</v>
      </c>
      <c r="S131" s="388">
        <v>8699</v>
      </c>
      <c r="T131" s="388" t="s">
        <v>66</v>
      </c>
      <c r="U131" s="389">
        <v>1</v>
      </c>
      <c r="V131" s="289" t="s">
        <v>252</v>
      </c>
      <c r="W131" s="289">
        <v>2019</v>
      </c>
      <c r="X131" s="289" t="s">
        <v>65</v>
      </c>
      <c r="Y131" s="289">
        <v>6500</v>
      </c>
      <c r="Z131" s="289" t="s">
        <v>66</v>
      </c>
      <c r="AA131" s="289">
        <v>2</v>
      </c>
      <c r="AB131" s="391" t="s">
        <v>130</v>
      </c>
      <c r="AC131" s="392">
        <v>2018</v>
      </c>
      <c r="AD131" s="392" t="s">
        <v>65</v>
      </c>
      <c r="AE131" s="392">
        <v>4850</v>
      </c>
      <c r="AF131" s="392" t="s">
        <v>66</v>
      </c>
      <c r="AG131" s="393">
        <v>68</v>
      </c>
      <c r="AH131" s="290" t="s">
        <v>132</v>
      </c>
      <c r="AI131" s="290">
        <v>2017</v>
      </c>
      <c r="AJ131" s="290" t="s">
        <v>65</v>
      </c>
      <c r="AK131" s="290">
        <v>3200</v>
      </c>
      <c r="AL131" s="290" t="s">
        <v>66</v>
      </c>
      <c r="AM131" s="290">
        <v>31</v>
      </c>
      <c r="AN131" s="394" t="s">
        <v>131</v>
      </c>
      <c r="AO131" s="395">
        <v>2016</v>
      </c>
      <c r="AP131" s="395" t="s">
        <v>65</v>
      </c>
      <c r="AQ131" s="395">
        <v>1950</v>
      </c>
      <c r="AR131" s="395" t="s">
        <v>66</v>
      </c>
      <c r="AS131" s="396">
        <v>2</v>
      </c>
      <c r="AT131" s="397" t="s">
        <v>251</v>
      </c>
      <c r="AU131" s="398">
        <v>2015</v>
      </c>
      <c r="AV131" s="398" t="s">
        <v>65</v>
      </c>
      <c r="AW131" s="398">
        <v>5200</v>
      </c>
      <c r="AX131" s="398" t="s">
        <v>66</v>
      </c>
      <c r="AY131" s="399">
        <v>3</v>
      </c>
      <c r="AZ131" s="400" t="s">
        <v>143</v>
      </c>
      <c r="BA131" s="401">
        <v>2014</v>
      </c>
      <c r="BB131" s="401" t="s">
        <v>65</v>
      </c>
      <c r="BC131" s="401">
        <v>14500</v>
      </c>
      <c r="BD131" s="401" t="s">
        <v>72</v>
      </c>
      <c r="BE131" s="402">
        <v>143</v>
      </c>
    </row>
    <row r="132" spans="1:57" x14ac:dyDescent="0.3">
      <c r="A132" s="350" t="s">
        <v>147</v>
      </c>
      <c r="B132" s="350" t="s">
        <v>233</v>
      </c>
      <c r="C132" s="350">
        <v>2017</v>
      </c>
      <c r="D132" s="350" t="s">
        <v>65</v>
      </c>
      <c r="E132" s="350">
        <v>88846</v>
      </c>
      <c r="F132" s="353" t="s">
        <v>72</v>
      </c>
      <c r="G132" s="353">
        <v>2</v>
      </c>
      <c r="I132" s="382" t="s">
        <v>147</v>
      </c>
      <c r="J132" s="383" t="s">
        <v>129</v>
      </c>
      <c r="K132" s="383">
        <v>2021</v>
      </c>
      <c r="L132" s="383" t="s">
        <v>65</v>
      </c>
      <c r="M132" s="383">
        <v>3615</v>
      </c>
      <c r="N132" s="383" t="s">
        <v>66</v>
      </c>
      <c r="O132" s="384">
        <v>5</v>
      </c>
      <c r="P132" s="387" t="s">
        <v>138</v>
      </c>
      <c r="Q132" s="388">
        <v>2020</v>
      </c>
      <c r="R132" s="388" t="s">
        <v>65</v>
      </c>
      <c r="S132" s="388">
        <v>9479</v>
      </c>
      <c r="T132" s="388" t="s">
        <v>66</v>
      </c>
      <c r="U132" s="389">
        <v>5</v>
      </c>
      <c r="V132" s="289" t="s">
        <v>135</v>
      </c>
      <c r="W132" s="289">
        <v>2019</v>
      </c>
      <c r="X132" s="289" t="s">
        <v>65</v>
      </c>
      <c r="Y132" s="289">
        <v>3400</v>
      </c>
      <c r="Z132" s="289" t="s">
        <v>66</v>
      </c>
      <c r="AA132" s="289">
        <v>25</v>
      </c>
      <c r="AB132" s="391" t="s">
        <v>132</v>
      </c>
      <c r="AC132" s="392">
        <v>2018</v>
      </c>
      <c r="AD132" s="392" t="s">
        <v>65</v>
      </c>
      <c r="AE132" s="392">
        <v>3200</v>
      </c>
      <c r="AF132" s="392" t="s">
        <v>66</v>
      </c>
      <c r="AG132" s="393">
        <v>48</v>
      </c>
      <c r="AH132" s="290" t="s">
        <v>251</v>
      </c>
      <c r="AI132" s="290">
        <v>2017</v>
      </c>
      <c r="AJ132" s="290" t="s">
        <v>65</v>
      </c>
      <c r="AK132" s="290">
        <v>5200</v>
      </c>
      <c r="AL132" s="290" t="s">
        <v>66</v>
      </c>
      <c r="AM132" s="290">
        <v>2</v>
      </c>
      <c r="AN132" s="394" t="s">
        <v>132</v>
      </c>
      <c r="AO132" s="395">
        <v>2016</v>
      </c>
      <c r="AP132" s="395" t="s">
        <v>65</v>
      </c>
      <c r="AQ132" s="395">
        <v>3200</v>
      </c>
      <c r="AR132" s="395" t="s">
        <v>66</v>
      </c>
      <c r="AS132" s="396">
        <v>18</v>
      </c>
      <c r="AT132" s="397" t="s">
        <v>133</v>
      </c>
      <c r="AU132" s="398">
        <v>2015</v>
      </c>
      <c r="AV132" s="398" t="s">
        <v>65</v>
      </c>
      <c r="AW132" s="398">
        <v>2150</v>
      </c>
      <c r="AX132" s="398" t="s">
        <v>66</v>
      </c>
      <c r="AY132" s="399">
        <v>75</v>
      </c>
      <c r="AZ132" s="400" t="s">
        <v>266</v>
      </c>
      <c r="BA132" s="401">
        <v>2014</v>
      </c>
      <c r="BB132" s="401" t="s">
        <v>65</v>
      </c>
      <c r="BC132" s="401">
        <v>4300</v>
      </c>
      <c r="BD132" s="401" t="s">
        <v>66</v>
      </c>
      <c r="BE132" s="402">
        <v>1</v>
      </c>
    </row>
    <row r="133" spans="1:57" x14ac:dyDescent="0.3">
      <c r="A133" s="350" t="s">
        <v>147</v>
      </c>
      <c r="B133" s="350" t="s">
        <v>233</v>
      </c>
      <c r="C133" s="350">
        <v>2016</v>
      </c>
      <c r="D133" s="350" t="s">
        <v>65</v>
      </c>
      <c r="E133" s="350">
        <v>88846</v>
      </c>
      <c r="F133" s="353" t="s">
        <v>72</v>
      </c>
      <c r="G133" s="353">
        <v>5</v>
      </c>
      <c r="I133" s="382" t="s">
        <v>147</v>
      </c>
      <c r="J133" s="383" t="s">
        <v>130</v>
      </c>
      <c r="K133" s="383">
        <v>2021</v>
      </c>
      <c r="L133" s="383" t="s">
        <v>65</v>
      </c>
      <c r="M133" s="383">
        <v>4850</v>
      </c>
      <c r="N133" s="383" t="s">
        <v>66</v>
      </c>
      <c r="O133" s="384">
        <v>58</v>
      </c>
      <c r="P133" s="387" t="s">
        <v>139</v>
      </c>
      <c r="Q133" s="388">
        <v>2020</v>
      </c>
      <c r="R133" s="388" t="s">
        <v>65</v>
      </c>
      <c r="S133" s="388">
        <v>9039</v>
      </c>
      <c r="T133" s="388" t="s">
        <v>66</v>
      </c>
      <c r="U133" s="389">
        <v>122</v>
      </c>
      <c r="V133" s="289" t="s">
        <v>136</v>
      </c>
      <c r="W133" s="289">
        <v>2019</v>
      </c>
      <c r="X133" s="289" t="s">
        <v>65</v>
      </c>
      <c r="Y133" s="289">
        <v>4629</v>
      </c>
      <c r="Z133" s="289" t="s">
        <v>66</v>
      </c>
      <c r="AA133" s="289">
        <v>4</v>
      </c>
      <c r="AB133" s="391" t="s">
        <v>251</v>
      </c>
      <c r="AC133" s="392">
        <v>2018</v>
      </c>
      <c r="AD133" s="392" t="s">
        <v>65</v>
      </c>
      <c r="AE133" s="392">
        <v>5200</v>
      </c>
      <c r="AF133" s="392" t="s">
        <v>66</v>
      </c>
      <c r="AG133" s="393">
        <v>9</v>
      </c>
      <c r="AH133" s="290" t="s">
        <v>133</v>
      </c>
      <c r="AI133" s="290">
        <v>2017</v>
      </c>
      <c r="AJ133" s="290" t="s">
        <v>65</v>
      </c>
      <c r="AK133" s="290">
        <v>2150</v>
      </c>
      <c r="AL133" s="290" t="s">
        <v>66</v>
      </c>
      <c r="AM133" s="290">
        <v>44</v>
      </c>
      <c r="AN133" s="394" t="s">
        <v>251</v>
      </c>
      <c r="AO133" s="395">
        <v>2016</v>
      </c>
      <c r="AP133" s="395" t="s">
        <v>65</v>
      </c>
      <c r="AQ133" s="395">
        <v>5200</v>
      </c>
      <c r="AR133" s="395" t="s">
        <v>66</v>
      </c>
      <c r="AS133" s="396">
        <v>26</v>
      </c>
      <c r="AT133" s="397" t="s">
        <v>134</v>
      </c>
      <c r="AU133" s="398">
        <v>2015</v>
      </c>
      <c r="AV133" s="398" t="s">
        <v>65</v>
      </c>
      <c r="AW133" s="398">
        <v>3725</v>
      </c>
      <c r="AX133" s="398" t="s">
        <v>66</v>
      </c>
      <c r="AY133" s="399">
        <v>29</v>
      </c>
      <c r="AZ133" s="400" t="s">
        <v>144</v>
      </c>
      <c r="BA133" s="401">
        <v>2014</v>
      </c>
      <c r="BB133" s="401" t="s">
        <v>65</v>
      </c>
      <c r="BC133" s="401">
        <v>5617</v>
      </c>
      <c r="BD133" s="401" t="s">
        <v>66</v>
      </c>
      <c r="BE133" s="402">
        <v>1</v>
      </c>
    </row>
    <row r="134" spans="1:57" x14ac:dyDescent="0.3">
      <c r="A134" s="350" t="s">
        <v>147</v>
      </c>
      <c r="B134" s="350" t="s">
        <v>233</v>
      </c>
      <c r="C134" s="350">
        <v>2015</v>
      </c>
      <c r="D134" s="350" t="s">
        <v>65</v>
      </c>
      <c r="E134" s="350">
        <v>88846</v>
      </c>
      <c r="F134" s="353" t="s">
        <v>72</v>
      </c>
      <c r="G134" s="353">
        <v>7</v>
      </c>
      <c r="I134" s="382" t="s">
        <v>147</v>
      </c>
      <c r="J134" s="383" t="s">
        <v>132</v>
      </c>
      <c r="K134" s="383">
        <v>2021</v>
      </c>
      <c r="L134" s="383" t="s">
        <v>65</v>
      </c>
      <c r="M134" s="383">
        <v>3200</v>
      </c>
      <c r="N134" s="383" t="s">
        <v>66</v>
      </c>
      <c r="O134" s="384">
        <v>29</v>
      </c>
      <c r="P134" s="387" t="s">
        <v>255</v>
      </c>
      <c r="Q134" s="388">
        <v>2020</v>
      </c>
      <c r="R134" s="388" t="s">
        <v>65</v>
      </c>
      <c r="S134" s="388">
        <v>18300</v>
      </c>
      <c r="T134" s="388" t="s">
        <v>72</v>
      </c>
      <c r="U134" s="389">
        <v>13</v>
      </c>
      <c r="V134" s="289" t="s">
        <v>253</v>
      </c>
      <c r="W134" s="289">
        <v>2019</v>
      </c>
      <c r="X134" s="289" t="s">
        <v>65</v>
      </c>
      <c r="Y134" s="289">
        <v>3798</v>
      </c>
      <c r="Z134" s="289" t="s">
        <v>66</v>
      </c>
      <c r="AA134" s="289">
        <v>20</v>
      </c>
      <c r="AB134" s="391" t="s">
        <v>133</v>
      </c>
      <c r="AC134" s="392">
        <v>2018</v>
      </c>
      <c r="AD134" s="392" t="s">
        <v>65</v>
      </c>
      <c r="AE134" s="392">
        <v>2150</v>
      </c>
      <c r="AF134" s="392" t="s">
        <v>66</v>
      </c>
      <c r="AG134" s="393">
        <v>48</v>
      </c>
      <c r="AH134" s="290" t="s">
        <v>134</v>
      </c>
      <c r="AI134" s="290">
        <v>2017</v>
      </c>
      <c r="AJ134" s="290" t="s">
        <v>65</v>
      </c>
      <c r="AK134" s="290">
        <v>3725</v>
      </c>
      <c r="AL134" s="290" t="s">
        <v>66</v>
      </c>
      <c r="AM134" s="290">
        <v>23</v>
      </c>
      <c r="AN134" s="394" t="s">
        <v>133</v>
      </c>
      <c r="AO134" s="395">
        <v>2016</v>
      </c>
      <c r="AP134" s="395" t="s">
        <v>65</v>
      </c>
      <c r="AQ134" s="395">
        <v>2150</v>
      </c>
      <c r="AR134" s="395" t="s">
        <v>66</v>
      </c>
      <c r="AS134" s="396">
        <v>43</v>
      </c>
      <c r="AT134" s="397" t="s">
        <v>252</v>
      </c>
      <c r="AU134" s="398">
        <v>2015</v>
      </c>
      <c r="AV134" s="398" t="s">
        <v>65</v>
      </c>
      <c r="AW134" s="398">
        <v>6500</v>
      </c>
      <c r="AX134" s="398" t="s">
        <v>66</v>
      </c>
      <c r="AY134" s="399">
        <v>14</v>
      </c>
      <c r="AZ134" s="400" t="s">
        <v>145</v>
      </c>
      <c r="BA134" s="401">
        <v>2014</v>
      </c>
      <c r="BB134" s="401" t="s">
        <v>65</v>
      </c>
      <c r="BC134" s="401">
        <v>6613</v>
      </c>
      <c r="BD134" s="401" t="s">
        <v>66</v>
      </c>
      <c r="BE134" s="402">
        <v>8</v>
      </c>
    </row>
    <row r="135" spans="1:57" x14ac:dyDescent="0.3">
      <c r="A135" s="350" t="s">
        <v>147</v>
      </c>
      <c r="B135" s="350" t="s">
        <v>233</v>
      </c>
      <c r="C135" s="350">
        <v>2014</v>
      </c>
      <c r="D135" s="350" t="s">
        <v>65</v>
      </c>
      <c r="E135" s="350">
        <v>88846</v>
      </c>
      <c r="F135" s="353" t="s">
        <v>72</v>
      </c>
      <c r="G135" s="353">
        <v>5</v>
      </c>
      <c r="I135" s="382" t="s">
        <v>147</v>
      </c>
      <c r="J135" s="383" t="s">
        <v>251</v>
      </c>
      <c r="K135" s="383">
        <v>2021</v>
      </c>
      <c r="L135" s="383" t="s">
        <v>65</v>
      </c>
      <c r="M135" s="383">
        <v>5200</v>
      </c>
      <c r="N135" s="383" t="s">
        <v>66</v>
      </c>
      <c r="O135" s="384">
        <v>9</v>
      </c>
      <c r="P135" s="387" t="s">
        <v>256</v>
      </c>
      <c r="Q135" s="388">
        <v>2020</v>
      </c>
      <c r="R135" s="388" t="s">
        <v>65</v>
      </c>
      <c r="S135" s="388">
        <v>8800</v>
      </c>
      <c r="T135" s="388" t="s">
        <v>66</v>
      </c>
      <c r="U135" s="389">
        <v>42</v>
      </c>
      <c r="V135" s="289" t="s">
        <v>137</v>
      </c>
      <c r="W135" s="289">
        <v>2019</v>
      </c>
      <c r="X135" s="289" t="s">
        <v>65</v>
      </c>
      <c r="Y135" s="289">
        <v>4299</v>
      </c>
      <c r="Z135" s="289" t="s">
        <v>66</v>
      </c>
      <c r="AA135" s="289">
        <v>18</v>
      </c>
      <c r="AB135" s="391" t="s">
        <v>134</v>
      </c>
      <c r="AC135" s="392">
        <v>2018</v>
      </c>
      <c r="AD135" s="392" t="s">
        <v>65</v>
      </c>
      <c r="AE135" s="392">
        <v>3725</v>
      </c>
      <c r="AF135" s="392" t="s">
        <v>66</v>
      </c>
      <c r="AG135" s="393">
        <v>19</v>
      </c>
      <c r="AH135" s="290" t="s">
        <v>252</v>
      </c>
      <c r="AI135" s="290">
        <v>2017</v>
      </c>
      <c r="AJ135" s="290" t="s">
        <v>65</v>
      </c>
      <c r="AK135" s="290">
        <v>6500</v>
      </c>
      <c r="AL135" s="290" t="s">
        <v>66</v>
      </c>
      <c r="AM135" s="290">
        <v>15</v>
      </c>
      <c r="AN135" s="394" t="s">
        <v>134</v>
      </c>
      <c r="AO135" s="395">
        <v>2016</v>
      </c>
      <c r="AP135" s="395" t="s">
        <v>65</v>
      </c>
      <c r="AQ135" s="395">
        <v>3725</v>
      </c>
      <c r="AR135" s="395" t="s">
        <v>66</v>
      </c>
      <c r="AS135" s="396">
        <v>26</v>
      </c>
      <c r="AT135" s="397" t="s">
        <v>135</v>
      </c>
      <c r="AU135" s="398">
        <v>2015</v>
      </c>
      <c r="AV135" s="398" t="s">
        <v>65</v>
      </c>
      <c r="AW135" s="398">
        <v>3400</v>
      </c>
      <c r="AX135" s="398" t="s">
        <v>66</v>
      </c>
      <c r="AY135" s="399">
        <v>25</v>
      </c>
      <c r="AZ135" s="400" t="s">
        <v>146</v>
      </c>
      <c r="BA135" s="401">
        <v>2014</v>
      </c>
      <c r="BB135" s="401" t="s">
        <v>65</v>
      </c>
      <c r="BC135" s="401">
        <v>7495</v>
      </c>
      <c r="BD135" s="401" t="s">
        <v>66</v>
      </c>
      <c r="BE135" s="402">
        <v>12</v>
      </c>
    </row>
    <row r="136" spans="1:57" x14ac:dyDescent="0.3">
      <c r="A136" s="350" t="s">
        <v>147</v>
      </c>
      <c r="B136" s="350" t="s">
        <v>215</v>
      </c>
      <c r="C136" s="350">
        <v>2021</v>
      </c>
      <c r="D136" s="350" t="s">
        <v>65</v>
      </c>
      <c r="E136" s="350">
        <v>85098</v>
      </c>
      <c r="F136" s="353" t="s">
        <v>72</v>
      </c>
      <c r="G136" s="353">
        <v>1</v>
      </c>
      <c r="I136" s="382" t="s">
        <v>147</v>
      </c>
      <c r="J136" s="383" t="s">
        <v>133</v>
      </c>
      <c r="K136" s="383">
        <v>2021</v>
      </c>
      <c r="L136" s="383" t="s">
        <v>65</v>
      </c>
      <c r="M136" s="383">
        <v>2150</v>
      </c>
      <c r="N136" s="383" t="s">
        <v>66</v>
      </c>
      <c r="O136" s="384">
        <v>67</v>
      </c>
      <c r="P136" s="387" t="s">
        <v>257</v>
      </c>
      <c r="Q136" s="388">
        <v>2020</v>
      </c>
      <c r="R136" s="388" t="s">
        <v>65</v>
      </c>
      <c r="S136" s="388">
        <v>321874</v>
      </c>
      <c r="T136" s="388" t="s">
        <v>83</v>
      </c>
      <c r="U136" s="389">
        <v>1</v>
      </c>
      <c r="V136" s="289" t="s">
        <v>254</v>
      </c>
      <c r="W136" s="289">
        <v>2019</v>
      </c>
      <c r="X136" s="289" t="s">
        <v>65</v>
      </c>
      <c r="Y136" s="289">
        <v>8699</v>
      </c>
      <c r="Z136" s="289" t="s">
        <v>66</v>
      </c>
      <c r="AA136" s="289">
        <v>2</v>
      </c>
      <c r="AB136" s="391" t="s">
        <v>252</v>
      </c>
      <c r="AC136" s="392">
        <v>2018</v>
      </c>
      <c r="AD136" s="392" t="s">
        <v>65</v>
      </c>
      <c r="AE136" s="392">
        <v>6500</v>
      </c>
      <c r="AF136" s="392" t="s">
        <v>66</v>
      </c>
      <c r="AG136" s="393">
        <v>3</v>
      </c>
      <c r="AH136" s="290" t="s">
        <v>135</v>
      </c>
      <c r="AI136" s="290">
        <v>2017</v>
      </c>
      <c r="AJ136" s="290" t="s">
        <v>65</v>
      </c>
      <c r="AK136" s="290">
        <v>3400</v>
      </c>
      <c r="AL136" s="290" t="s">
        <v>66</v>
      </c>
      <c r="AM136" s="290">
        <v>25</v>
      </c>
      <c r="AN136" s="394" t="s">
        <v>252</v>
      </c>
      <c r="AO136" s="395">
        <v>2016</v>
      </c>
      <c r="AP136" s="395" t="s">
        <v>65</v>
      </c>
      <c r="AQ136" s="395">
        <v>6500</v>
      </c>
      <c r="AR136" s="395" t="s">
        <v>66</v>
      </c>
      <c r="AS136" s="396">
        <v>4</v>
      </c>
      <c r="AT136" s="397" t="s">
        <v>136</v>
      </c>
      <c r="AU136" s="398">
        <v>2015</v>
      </c>
      <c r="AV136" s="398" t="s">
        <v>65</v>
      </c>
      <c r="AW136" s="398">
        <v>4629</v>
      </c>
      <c r="AX136" s="398" t="s">
        <v>66</v>
      </c>
      <c r="AY136" s="399">
        <v>8</v>
      </c>
      <c r="AZ136" s="400" t="s">
        <v>269</v>
      </c>
      <c r="BA136" s="401">
        <v>2014</v>
      </c>
      <c r="BB136" s="401" t="s">
        <v>65</v>
      </c>
      <c r="BC136" s="401">
        <v>6500</v>
      </c>
      <c r="BD136" s="401" t="s">
        <v>66</v>
      </c>
      <c r="BE136" s="402">
        <v>19</v>
      </c>
    </row>
    <row r="137" spans="1:57" x14ac:dyDescent="0.3">
      <c r="A137" s="350" t="s">
        <v>147</v>
      </c>
      <c r="B137" s="350" t="s">
        <v>215</v>
      </c>
      <c r="C137" s="350">
        <v>2019</v>
      </c>
      <c r="D137" s="350" t="s">
        <v>65</v>
      </c>
      <c r="E137" s="350">
        <v>85098</v>
      </c>
      <c r="F137" s="353" t="s">
        <v>72</v>
      </c>
      <c r="G137" s="353">
        <v>1</v>
      </c>
      <c r="I137" s="382" t="s">
        <v>147</v>
      </c>
      <c r="J137" s="383" t="s">
        <v>134</v>
      </c>
      <c r="K137" s="383">
        <v>2021</v>
      </c>
      <c r="L137" s="383" t="s">
        <v>65</v>
      </c>
      <c r="M137" s="383">
        <v>3725</v>
      </c>
      <c r="N137" s="383" t="s">
        <v>66</v>
      </c>
      <c r="O137" s="384">
        <v>5</v>
      </c>
      <c r="P137" s="387" t="s">
        <v>259</v>
      </c>
      <c r="Q137" s="388">
        <v>2020</v>
      </c>
      <c r="R137" s="388" t="s">
        <v>65</v>
      </c>
      <c r="S137" s="388">
        <v>2700</v>
      </c>
      <c r="T137" s="388" t="s">
        <v>66</v>
      </c>
      <c r="U137" s="389">
        <v>1</v>
      </c>
      <c r="V137" s="289" t="s">
        <v>138</v>
      </c>
      <c r="W137" s="289">
        <v>2019</v>
      </c>
      <c r="X137" s="289" t="s">
        <v>65</v>
      </c>
      <c r="Y137" s="289">
        <v>9479</v>
      </c>
      <c r="Z137" s="289" t="s">
        <v>66</v>
      </c>
      <c r="AA137" s="289">
        <v>4</v>
      </c>
      <c r="AB137" s="391" t="s">
        <v>135</v>
      </c>
      <c r="AC137" s="392">
        <v>2018</v>
      </c>
      <c r="AD137" s="392" t="s">
        <v>65</v>
      </c>
      <c r="AE137" s="392">
        <v>3400</v>
      </c>
      <c r="AF137" s="392" t="s">
        <v>66</v>
      </c>
      <c r="AG137" s="393">
        <v>17</v>
      </c>
      <c r="AH137" s="290" t="s">
        <v>136</v>
      </c>
      <c r="AI137" s="290">
        <v>2017</v>
      </c>
      <c r="AJ137" s="290" t="s">
        <v>65</v>
      </c>
      <c r="AK137" s="290">
        <v>4629</v>
      </c>
      <c r="AL137" s="290" t="s">
        <v>66</v>
      </c>
      <c r="AM137" s="290">
        <v>14</v>
      </c>
      <c r="AN137" s="394" t="s">
        <v>135</v>
      </c>
      <c r="AO137" s="395">
        <v>2016</v>
      </c>
      <c r="AP137" s="395" t="s">
        <v>65</v>
      </c>
      <c r="AQ137" s="395">
        <v>3400</v>
      </c>
      <c r="AR137" s="395" t="s">
        <v>66</v>
      </c>
      <c r="AS137" s="396">
        <v>24</v>
      </c>
      <c r="AT137" s="397" t="s">
        <v>253</v>
      </c>
      <c r="AU137" s="398">
        <v>2015</v>
      </c>
      <c r="AV137" s="398" t="s">
        <v>65</v>
      </c>
      <c r="AW137" s="398">
        <v>3798</v>
      </c>
      <c r="AX137" s="398" t="s">
        <v>66</v>
      </c>
      <c r="AY137" s="399">
        <v>27</v>
      </c>
      <c r="AZ137" s="400" t="s">
        <v>270</v>
      </c>
      <c r="BA137" s="401">
        <v>2014</v>
      </c>
      <c r="BB137" s="401" t="s">
        <v>65</v>
      </c>
      <c r="BC137" s="401">
        <v>-1</v>
      </c>
      <c r="BD137" s="401" t="s">
        <v>270</v>
      </c>
      <c r="BE137" s="402">
        <v>116</v>
      </c>
    </row>
    <row r="138" spans="1:57" x14ac:dyDescent="0.3">
      <c r="A138" s="350" t="s">
        <v>147</v>
      </c>
      <c r="B138" s="350" t="s">
        <v>215</v>
      </c>
      <c r="C138" s="350">
        <v>2017</v>
      </c>
      <c r="D138" s="350" t="s">
        <v>65</v>
      </c>
      <c r="E138" s="350">
        <v>85098</v>
      </c>
      <c r="F138" s="353" t="s">
        <v>72</v>
      </c>
      <c r="G138" s="353">
        <v>2</v>
      </c>
      <c r="I138" s="382" t="s">
        <v>147</v>
      </c>
      <c r="J138" s="383" t="s">
        <v>252</v>
      </c>
      <c r="K138" s="383">
        <v>2021</v>
      </c>
      <c r="L138" s="383" t="s">
        <v>65</v>
      </c>
      <c r="M138" s="383">
        <v>6500</v>
      </c>
      <c r="N138" s="383" t="s">
        <v>66</v>
      </c>
      <c r="O138" s="384">
        <v>13</v>
      </c>
      <c r="P138" s="387" t="s">
        <v>140</v>
      </c>
      <c r="Q138" s="388">
        <v>2020</v>
      </c>
      <c r="R138" s="388" t="s">
        <v>65</v>
      </c>
      <c r="S138" s="388">
        <v>1650</v>
      </c>
      <c r="T138" s="388" t="s">
        <v>66</v>
      </c>
      <c r="U138" s="389">
        <v>6</v>
      </c>
      <c r="V138" s="289" t="s">
        <v>139</v>
      </c>
      <c r="W138" s="289">
        <v>2019</v>
      </c>
      <c r="X138" s="289" t="s">
        <v>65</v>
      </c>
      <c r="Y138" s="289">
        <v>9039</v>
      </c>
      <c r="Z138" s="289" t="s">
        <v>66</v>
      </c>
      <c r="AA138" s="289">
        <v>96</v>
      </c>
      <c r="AB138" s="391" t="s">
        <v>136</v>
      </c>
      <c r="AC138" s="392">
        <v>2018</v>
      </c>
      <c r="AD138" s="392" t="s">
        <v>65</v>
      </c>
      <c r="AE138" s="392">
        <v>4629</v>
      </c>
      <c r="AF138" s="392" t="s">
        <v>66</v>
      </c>
      <c r="AG138" s="393">
        <v>4</v>
      </c>
      <c r="AH138" s="290" t="s">
        <v>253</v>
      </c>
      <c r="AI138" s="290">
        <v>2017</v>
      </c>
      <c r="AJ138" s="290" t="s">
        <v>65</v>
      </c>
      <c r="AK138" s="290">
        <v>3798</v>
      </c>
      <c r="AL138" s="290" t="s">
        <v>66</v>
      </c>
      <c r="AM138" s="290">
        <v>21</v>
      </c>
      <c r="AN138" s="394" t="s">
        <v>136</v>
      </c>
      <c r="AO138" s="395">
        <v>2016</v>
      </c>
      <c r="AP138" s="395" t="s">
        <v>65</v>
      </c>
      <c r="AQ138" s="395">
        <v>4629</v>
      </c>
      <c r="AR138" s="395" t="s">
        <v>66</v>
      </c>
      <c r="AS138" s="396">
        <v>4</v>
      </c>
      <c r="AT138" s="397" t="s">
        <v>137</v>
      </c>
      <c r="AU138" s="398">
        <v>2015</v>
      </c>
      <c r="AV138" s="398" t="s">
        <v>65</v>
      </c>
      <c r="AW138" s="398">
        <v>4299</v>
      </c>
      <c r="AX138" s="398" t="s">
        <v>66</v>
      </c>
      <c r="AY138" s="399">
        <v>42</v>
      </c>
    </row>
    <row r="139" spans="1:57" x14ac:dyDescent="0.3">
      <c r="A139" s="350" t="s">
        <v>147</v>
      </c>
      <c r="B139" s="350" t="s">
        <v>215</v>
      </c>
      <c r="C139" s="350">
        <v>2016</v>
      </c>
      <c r="D139" s="350" t="s">
        <v>65</v>
      </c>
      <c r="E139" s="350">
        <v>85098</v>
      </c>
      <c r="F139" s="353" t="s">
        <v>72</v>
      </c>
      <c r="G139" s="353">
        <v>1</v>
      </c>
      <c r="I139" s="382" t="s">
        <v>147</v>
      </c>
      <c r="J139" s="383" t="s">
        <v>135</v>
      </c>
      <c r="K139" s="383">
        <v>2021</v>
      </c>
      <c r="L139" s="383" t="s">
        <v>65</v>
      </c>
      <c r="M139" s="383">
        <v>3400</v>
      </c>
      <c r="N139" s="383" t="s">
        <v>66</v>
      </c>
      <c r="O139" s="384">
        <v>28</v>
      </c>
      <c r="P139" s="387" t="s">
        <v>141</v>
      </c>
      <c r="Q139" s="388">
        <v>2020</v>
      </c>
      <c r="R139" s="388" t="s">
        <v>65</v>
      </c>
      <c r="S139" s="388">
        <v>1600</v>
      </c>
      <c r="T139" s="388" t="s">
        <v>66</v>
      </c>
      <c r="U139" s="389">
        <v>7</v>
      </c>
      <c r="V139" s="289" t="s">
        <v>255</v>
      </c>
      <c r="W139" s="289">
        <v>2019</v>
      </c>
      <c r="X139" s="289" t="s">
        <v>65</v>
      </c>
      <c r="Y139" s="289">
        <v>18300</v>
      </c>
      <c r="Z139" s="289" t="s">
        <v>72</v>
      </c>
      <c r="AA139" s="289">
        <v>2</v>
      </c>
      <c r="AB139" s="391" t="s">
        <v>253</v>
      </c>
      <c r="AC139" s="392">
        <v>2018</v>
      </c>
      <c r="AD139" s="392" t="s">
        <v>65</v>
      </c>
      <c r="AE139" s="392">
        <v>3798</v>
      </c>
      <c r="AF139" s="392" t="s">
        <v>66</v>
      </c>
      <c r="AG139" s="393">
        <v>12</v>
      </c>
      <c r="AH139" s="290" t="s">
        <v>137</v>
      </c>
      <c r="AI139" s="290">
        <v>2017</v>
      </c>
      <c r="AJ139" s="290" t="s">
        <v>65</v>
      </c>
      <c r="AK139" s="290">
        <v>4299</v>
      </c>
      <c r="AL139" s="290" t="s">
        <v>66</v>
      </c>
      <c r="AM139" s="290">
        <v>57</v>
      </c>
      <c r="AN139" s="394" t="s">
        <v>253</v>
      </c>
      <c r="AO139" s="395">
        <v>2016</v>
      </c>
      <c r="AP139" s="395" t="s">
        <v>65</v>
      </c>
      <c r="AQ139" s="395">
        <v>3798</v>
      </c>
      <c r="AR139" s="395" t="s">
        <v>66</v>
      </c>
      <c r="AS139" s="396">
        <v>20</v>
      </c>
      <c r="AT139" s="397" t="s">
        <v>254</v>
      </c>
      <c r="AU139" s="398">
        <v>2015</v>
      </c>
      <c r="AV139" s="398" t="s">
        <v>65</v>
      </c>
      <c r="AW139" s="398">
        <v>8699</v>
      </c>
      <c r="AX139" s="398" t="s">
        <v>66</v>
      </c>
      <c r="AY139" s="399">
        <v>4</v>
      </c>
    </row>
    <row r="140" spans="1:57" x14ac:dyDescent="0.3">
      <c r="A140" s="350" t="s">
        <v>147</v>
      </c>
      <c r="B140" s="350" t="s">
        <v>215</v>
      </c>
      <c r="C140" s="350">
        <v>2015</v>
      </c>
      <c r="D140" s="350" t="s">
        <v>65</v>
      </c>
      <c r="E140" s="350">
        <v>85098</v>
      </c>
      <c r="F140" s="353" t="s">
        <v>72</v>
      </c>
      <c r="G140" s="353">
        <v>3</v>
      </c>
      <c r="I140" s="382" t="s">
        <v>147</v>
      </c>
      <c r="J140" s="383" t="s">
        <v>136</v>
      </c>
      <c r="K140" s="383">
        <v>2021</v>
      </c>
      <c r="L140" s="383" t="s">
        <v>65</v>
      </c>
      <c r="M140" s="383">
        <v>4629</v>
      </c>
      <c r="N140" s="383" t="s">
        <v>66</v>
      </c>
      <c r="O140" s="384">
        <v>4</v>
      </c>
      <c r="P140" s="387" t="s">
        <v>261</v>
      </c>
      <c r="Q140" s="388">
        <v>2020</v>
      </c>
      <c r="R140" s="388" t="s">
        <v>65</v>
      </c>
      <c r="S140" s="388">
        <v>15100</v>
      </c>
      <c r="T140" s="388" t="s">
        <v>66</v>
      </c>
      <c r="U140" s="389">
        <v>31</v>
      </c>
      <c r="V140" s="289" t="s">
        <v>256</v>
      </c>
      <c r="W140" s="289">
        <v>2019</v>
      </c>
      <c r="X140" s="289" t="s">
        <v>65</v>
      </c>
      <c r="Y140" s="289">
        <v>8800</v>
      </c>
      <c r="Z140" s="289" t="s">
        <v>66</v>
      </c>
      <c r="AA140" s="289">
        <v>55</v>
      </c>
      <c r="AB140" s="391" t="s">
        <v>137</v>
      </c>
      <c r="AC140" s="392">
        <v>2018</v>
      </c>
      <c r="AD140" s="392" t="s">
        <v>65</v>
      </c>
      <c r="AE140" s="392">
        <v>4299</v>
      </c>
      <c r="AF140" s="392" t="s">
        <v>66</v>
      </c>
      <c r="AG140" s="393">
        <v>31</v>
      </c>
      <c r="AH140" s="290" t="s">
        <v>254</v>
      </c>
      <c r="AI140" s="290">
        <v>2017</v>
      </c>
      <c r="AJ140" s="290" t="s">
        <v>65</v>
      </c>
      <c r="AK140" s="290">
        <v>8699</v>
      </c>
      <c r="AL140" s="290" t="s">
        <v>66</v>
      </c>
      <c r="AM140" s="290">
        <v>5</v>
      </c>
      <c r="AN140" s="394" t="s">
        <v>137</v>
      </c>
      <c r="AO140" s="395">
        <v>2016</v>
      </c>
      <c r="AP140" s="395" t="s">
        <v>65</v>
      </c>
      <c r="AQ140" s="395">
        <v>4299</v>
      </c>
      <c r="AR140" s="395" t="s">
        <v>66</v>
      </c>
      <c r="AS140" s="396">
        <v>50</v>
      </c>
      <c r="AT140" s="397" t="s">
        <v>138</v>
      </c>
      <c r="AU140" s="398">
        <v>2015</v>
      </c>
      <c r="AV140" s="398" t="s">
        <v>65</v>
      </c>
      <c r="AW140" s="398">
        <v>9479</v>
      </c>
      <c r="AX140" s="398" t="s">
        <v>66</v>
      </c>
      <c r="AY140" s="399">
        <v>59</v>
      </c>
    </row>
    <row r="141" spans="1:57" x14ac:dyDescent="0.3">
      <c r="A141" s="350" t="s">
        <v>147</v>
      </c>
      <c r="B141" s="350" t="s">
        <v>215</v>
      </c>
      <c r="C141" s="350">
        <v>2014</v>
      </c>
      <c r="D141" s="350" t="s">
        <v>65</v>
      </c>
      <c r="E141" s="350">
        <v>85098</v>
      </c>
      <c r="F141" s="353" t="s">
        <v>72</v>
      </c>
      <c r="G141" s="353">
        <v>3</v>
      </c>
      <c r="I141" s="382" t="s">
        <v>147</v>
      </c>
      <c r="J141" s="383" t="s">
        <v>253</v>
      </c>
      <c r="K141" s="383">
        <v>2021</v>
      </c>
      <c r="L141" s="383" t="s">
        <v>65</v>
      </c>
      <c r="M141" s="383">
        <v>3798</v>
      </c>
      <c r="N141" s="383" t="s">
        <v>66</v>
      </c>
      <c r="O141" s="384">
        <v>28</v>
      </c>
      <c r="P141" s="387" t="s">
        <v>263</v>
      </c>
      <c r="Q141" s="388">
        <v>2020</v>
      </c>
      <c r="R141" s="388" t="s">
        <v>65</v>
      </c>
      <c r="S141" s="388">
        <v>6000</v>
      </c>
      <c r="T141" s="388" t="s">
        <v>66</v>
      </c>
      <c r="U141" s="389">
        <v>19</v>
      </c>
      <c r="V141" s="289" t="s">
        <v>140</v>
      </c>
      <c r="W141" s="289">
        <v>2019</v>
      </c>
      <c r="X141" s="289" t="s">
        <v>65</v>
      </c>
      <c r="Y141" s="289">
        <v>1650</v>
      </c>
      <c r="Z141" s="289" t="s">
        <v>66</v>
      </c>
      <c r="AA141" s="289">
        <v>3</v>
      </c>
      <c r="AB141" s="391" t="s">
        <v>138</v>
      </c>
      <c r="AC141" s="392">
        <v>2018</v>
      </c>
      <c r="AD141" s="392" t="s">
        <v>65</v>
      </c>
      <c r="AE141" s="392">
        <v>9479</v>
      </c>
      <c r="AF141" s="392" t="s">
        <v>66</v>
      </c>
      <c r="AG141" s="393">
        <v>7</v>
      </c>
      <c r="AH141" s="290" t="s">
        <v>138</v>
      </c>
      <c r="AI141" s="290">
        <v>2017</v>
      </c>
      <c r="AJ141" s="290" t="s">
        <v>65</v>
      </c>
      <c r="AK141" s="290">
        <v>9479</v>
      </c>
      <c r="AL141" s="290" t="s">
        <v>66</v>
      </c>
      <c r="AM141" s="290">
        <v>10</v>
      </c>
      <c r="AN141" s="394" t="s">
        <v>254</v>
      </c>
      <c r="AO141" s="395">
        <v>2016</v>
      </c>
      <c r="AP141" s="395" t="s">
        <v>65</v>
      </c>
      <c r="AQ141" s="395">
        <v>8699</v>
      </c>
      <c r="AR141" s="395" t="s">
        <v>66</v>
      </c>
      <c r="AS141" s="396">
        <v>5</v>
      </c>
      <c r="AT141" s="397" t="s">
        <v>139</v>
      </c>
      <c r="AU141" s="398">
        <v>2015</v>
      </c>
      <c r="AV141" s="398" t="s">
        <v>65</v>
      </c>
      <c r="AW141" s="398">
        <v>9039</v>
      </c>
      <c r="AX141" s="398" t="s">
        <v>66</v>
      </c>
      <c r="AY141" s="399">
        <v>74</v>
      </c>
    </row>
    <row r="142" spans="1:57" x14ac:dyDescent="0.3">
      <c r="A142" s="350" t="s">
        <v>147</v>
      </c>
      <c r="B142" s="350" t="s">
        <v>205</v>
      </c>
      <c r="C142" s="350">
        <v>2021</v>
      </c>
      <c r="D142" s="350" t="s">
        <v>65</v>
      </c>
      <c r="E142" s="350">
        <v>84500</v>
      </c>
      <c r="F142" s="353" t="s">
        <v>72</v>
      </c>
      <c r="G142" s="353">
        <v>1</v>
      </c>
      <c r="I142" s="382" t="s">
        <v>147</v>
      </c>
      <c r="J142" s="383" t="s">
        <v>137</v>
      </c>
      <c r="K142" s="383">
        <v>2021</v>
      </c>
      <c r="L142" s="383" t="s">
        <v>65</v>
      </c>
      <c r="M142" s="383">
        <v>4299</v>
      </c>
      <c r="N142" s="383" t="s">
        <v>66</v>
      </c>
      <c r="O142" s="384">
        <v>29</v>
      </c>
      <c r="P142" s="387" t="s">
        <v>264</v>
      </c>
      <c r="Q142" s="388">
        <v>2020</v>
      </c>
      <c r="R142" s="388" t="s">
        <v>65</v>
      </c>
      <c r="S142" s="388">
        <v>27099</v>
      </c>
      <c r="T142" s="388" t="s">
        <v>66</v>
      </c>
      <c r="U142" s="389">
        <v>3</v>
      </c>
      <c r="V142" s="289" t="s">
        <v>141</v>
      </c>
      <c r="W142" s="289">
        <v>2019</v>
      </c>
      <c r="X142" s="289" t="s">
        <v>65</v>
      </c>
      <c r="Y142" s="289">
        <v>1600</v>
      </c>
      <c r="Z142" s="289" t="s">
        <v>66</v>
      </c>
      <c r="AA142" s="289">
        <v>6</v>
      </c>
      <c r="AB142" s="391" t="s">
        <v>139</v>
      </c>
      <c r="AC142" s="392">
        <v>2018</v>
      </c>
      <c r="AD142" s="392" t="s">
        <v>65</v>
      </c>
      <c r="AE142" s="392">
        <v>9039</v>
      </c>
      <c r="AF142" s="392" t="s">
        <v>66</v>
      </c>
      <c r="AG142" s="393">
        <v>145</v>
      </c>
      <c r="AH142" s="290" t="s">
        <v>139</v>
      </c>
      <c r="AI142" s="290">
        <v>2017</v>
      </c>
      <c r="AJ142" s="290" t="s">
        <v>65</v>
      </c>
      <c r="AK142" s="290">
        <v>9039</v>
      </c>
      <c r="AL142" s="290" t="s">
        <v>66</v>
      </c>
      <c r="AM142" s="290">
        <v>115</v>
      </c>
      <c r="AN142" s="394" t="s">
        <v>138</v>
      </c>
      <c r="AO142" s="395">
        <v>2016</v>
      </c>
      <c r="AP142" s="395" t="s">
        <v>65</v>
      </c>
      <c r="AQ142" s="395">
        <v>9479</v>
      </c>
      <c r="AR142" s="395" t="s">
        <v>66</v>
      </c>
      <c r="AS142" s="396">
        <v>8</v>
      </c>
      <c r="AT142" s="397" t="s">
        <v>256</v>
      </c>
      <c r="AU142" s="398">
        <v>2015</v>
      </c>
      <c r="AV142" s="398" t="s">
        <v>65</v>
      </c>
      <c r="AW142" s="398">
        <v>8800</v>
      </c>
      <c r="AX142" s="398" t="s">
        <v>66</v>
      </c>
      <c r="AY142" s="399">
        <v>38</v>
      </c>
    </row>
    <row r="143" spans="1:57" x14ac:dyDescent="0.3">
      <c r="A143" s="350" t="s">
        <v>147</v>
      </c>
      <c r="B143" s="350" t="s">
        <v>205</v>
      </c>
      <c r="C143" s="350">
        <v>2019</v>
      </c>
      <c r="D143" s="350" t="s">
        <v>65</v>
      </c>
      <c r="E143" s="350">
        <v>84500</v>
      </c>
      <c r="F143" s="353" t="s">
        <v>72</v>
      </c>
      <c r="G143" s="353">
        <v>12</v>
      </c>
      <c r="I143" s="382" t="s">
        <v>147</v>
      </c>
      <c r="J143" s="383" t="s">
        <v>254</v>
      </c>
      <c r="K143" s="383">
        <v>2021</v>
      </c>
      <c r="L143" s="383" t="s">
        <v>65</v>
      </c>
      <c r="M143" s="383">
        <v>8699</v>
      </c>
      <c r="N143" s="383" t="s">
        <v>66</v>
      </c>
      <c r="O143" s="384">
        <v>3</v>
      </c>
      <c r="P143" s="387" t="s">
        <v>142</v>
      </c>
      <c r="Q143" s="388">
        <v>2020</v>
      </c>
      <c r="R143" s="388" t="s">
        <v>65</v>
      </c>
      <c r="S143" s="388">
        <v>3000</v>
      </c>
      <c r="T143" s="388" t="s">
        <v>66</v>
      </c>
      <c r="U143" s="389">
        <v>48</v>
      </c>
      <c r="V143" s="289" t="s">
        <v>261</v>
      </c>
      <c r="W143" s="289">
        <v>2019</v>
      </c>
      <c r="X143" s="289" t="s">
        <v>65</v>
      </c>
      <c r="Y143" s="289">
        <v>15100</v>
      </c>
      <c r="Z143" s="289" t="s">
        <v>66</v>
      </c>
      <c r="AA143" s="289">
        <v>23</v>
      </c>
      <c r="AB143" s="391" t="s">
        <v>256</v>
      </c>
      <c r="AC143" s="392">
        <v>2018</v>
      </c>
      <c r="AD143" s="392" t="s">
        <v>65</v>
      </c>
      <c r="AE143" s="392">
        <v>8800</v>
      </c>
      <c r="AF143" s="392" t="s">
        <v>66</v>
      </c>
      <c r="AG143" s="393">
        <v>66</v>
      </c>
      <c r="AH143" s="290" t="s">
        <v>256</v>
      </c>
      <c r="AI143" s="290">
        <v>2017</v>
      </c>
      <c r="AJ143" s="290" t="s">
        <v>65</v>
      </c>
      <c r="AK143" s="290">
        <v>8800</v>
      </c>
      <c r="AL143" s="290" t="s">
        <v>66</v>
      </c>
      <c r="AM143" s="290">
        <v>58</v>
      </c>
      <c r="AN143" s="394" t="s">
        <v>139</v>
      </c>
      <c r="AO143" s="395">
        <v>2016</v>
      </c>
      <c r="AP143" s="395" t="s">
        <v>65</v>
      </c>
      <c r="AQ143" s="395">
        <v>9039</v>
      </c>
      <c r="AR143" s="395" t="s">
        <v>66</v>
      </c>
      <c r="AS143" s="396">
        <v>100</v>
      </c>
      <c r="AT143" s="397" t="s">
        <v>259</v>
      </c>
      <c r="AU143" s="398">
        <v>2015</v>
      </c>
      <c r="AV143" s="398" t="s">
        <v>65</v>
      </c>
      <c r="AW143" s="398">
        <v>2700</v>
      </c>
      <c r="AX143" s="398" t="s">
        <v>66</v>
      </c>
      <c r="AY143" s="399">
        <v>1</v>
      </c>
    </row>
    <row r="144" spans="1:57" x14ac:dyDescent="0.3">
      <c r="A144" s="350" t="s">
        <v>147</v>
      </c>
      <c r="B144" s="350" t="s">
        <v>205</v>
      </c>
      <c r="C144" s="350">
        <v>2018</v>
      </c>
      <c r="D144" s="350" t="s">
        <v>65</v>
      </c>
      <c r="E144" s="350">
        <v>84500</v>
      </c>
      <c r="F144" s="353" t="s">
        <v>72</v>
      </c>
      <c r="G144" s="353">
        <v>9</v>
      </c>
      <c r="I144" s="382" t="s">
        <v>147</v>
      </c>
      <c r="J144" s="383" t="s">
        <v>138</v>
      </c>
      <c r="K144" s="383">
        <v>2021</v>
      </c>
      <c r="L144" s="383" t="s">
        <v>65</v>
      </c>
      <c r="M144" s="383">
        <v>9479</v>
      </c>
      <c r="N144" s="383" t="s">
        <v>66</v>
      </c>
      <c r="O144" s="384">
        <v>2</v>
      </c>
      <c r="P144" s="387" t="s">
        <v>143</v>
      </c>
      <c r="Q144" s="388">
        <v>2020</v>
      </c>
      <c r="R144" s="388" t="s">
        <v>65</v>
      </c>
      <c r="S144" s="388">
        <v>14500</v>
      </c>
      <c r="T144" s="388" t="s">
        <v>72</v>
      </c>
      <c r="U144" s="389">
        <v>366</v>
      </c>
      <c r="V144" s="289" t="s">
        <v>263</v>
      </c>
      <c r="W144" s="289">
        <v>2019</v>
      </c>
      <c r="X144" s="289" t="s">
        <v>65</v>
      </c>
      <c r="Y144" s="289">
        <v>6000</v>
      </c>
      <c r="Z144" s="289" t="s">
        <v>66</v>
      </c>
      <c r="AA144" s="289">
        <v>16</v>
      </c>
      <c r="AB144" s="391" t="s">
        <v>258</v>
      </c>
      <c r="AC144" s="392">
        <v>2018</v>
      </c>
      <c r="AD144" s="392" t="s">
        <v>65</v>
      </c>
      <c r="AE144" s="392">
        <v>97000</v>
      </c>
      <c r="AF144" s="392" t="s">
        <v>72</v>
      </c>
      <c r="AG144" s="393">
        <v>5</v>
      </c>
      <c r="AH144" s="290" t="s">
        <v>259</v>
      </c>
      <c r="AI144" s="290">
        <v>2017</v>
      </c>
      <c r="AJ144" s="290" t="s">
        <v>65</v>
      </c>
      <c r="AK144" s="290">
        <v>2700</v>
      </c>
      <c r="AL144" s="290" t="s">
        <v>66</v>
      </c>
      <c r="AM144" s="290">
        <v>3</v>
      </c>
      <c r="AN144" s="394" t="s">
        <v>256</v>
      </c>
      <c r="AO144" s="395">
        <v>2016</v>
      </c>
      <c r="AP144" s="395" t="s">
        <v>65</v>
      </c>
      <c r="AQ144" s="395">
        <v>8800</v>
      </c>
      <c r="AR144" s="395" t="s">
        <v>66</v>
      </c>
      <c r="AS144" s="396">
        <v>45</v>
      </c>
      <c r="AT144" s="397" t="s">
        <v>140</v>
      </c>
      <c r="AU144" s="398">
        <v>2015</v>
      </c>
      <c r="AV144" s="398" t="s">
        <v>65</v>
      </c>
      <c r="AW144" s="398">
        <v>1650</v>
      </c>
      <c r="AX144" s="398" t="s">
        <v>66</v>
      </c>
      <c r="AY144" s="399">
        <v>2</v>
      </c>
    </row>
    <row r="145" spans="1:51" x14ac:dyDescent="0.3">
      <c r="A145" s="350" t="s">
        <v>147</v>
      </c>
      <c r="B145" s="350" t="s">
        <v>205</v>
      </c>
      <c r="C145" s="350">
        <v>2017</v>
      </c>
      <c r="D145" s="350" t="s">
        <v>65</v>
      </c>
      <c r="E145" s="350">
        <v>84500</v>
      </c>
      <c r="F145" s="353" t="s">
        <v>72</v>
      </c>
      <c r="G145" s="353">
        <v>13</v>
      </c>
      <c r="I145" s="382" t="s">
        <v>147</v>
      </c>
      <c r="J145" s="383" t="s">
        <v>139</v>
      </c>
      <c r="K145" s="383">
        <v>2021</v>
      </c>
      <c r="L145" s="383" t="s">
        <v>65</v>
      </c>
      <c r="M145" s="383">
        <v>9039</v>
      </c>
      <c r="N145" s="383" t="s">
        <v>66</v>
      </c>
      <c r="O145" s="384">
        <v>117</v>
      </c>
      <c r="P145" s="387" t="s">
        <v>144</v>
      </c>
      <c r="Q145" s="388">
        <v>2020</v>
      </c>
      <c r="R145" s="388" t="s">
        <v>65</v>
      </c>
      <c r="S145" s="388">
        <v>5617</v>
      </c>
      <c r="T145" s="388" t="s">
        <v>66</v>
      </c>
      <c r="U145" s="389">
        <v>6</v>
      </c>
      <c r="V145" s="289" t="s">
        <v>142</v>
      </c>
      <c r="W145" s="289">
        <v>2019</v>
      </c>
      <c r="X145" s="289" t="s">
        <v>65</v>
      </c>
      <c r="Y145" s="289">
        <v>3000</v>
      </c>
      <c r="Z145" s="289" t="s">
        <v>66</v>
      </c>
      <c r="AA145" s="289">
        <v>69</v>
      </c>
      <c r="AB145" s="391" t="s">
        <v>260</v>
      </c>
      <c r="AC145" s="392">
        <v>2018</v>
      </c>
      <c r="AD145" s="392" t="s">
        <v>65</v>
      </c>
      <c r="AE145" s="392">
        <v>1320</v>
      </c>
      <c r="AF145" s="392" t="s">
        <v>66</v>
      </c>
      <c r="AG145" s="393">
        <v>1</v>
      </c>
      <c r="AH145" s="290" t="s">
        <v>260</v>
      </c>
      <c r="AI145" s="290">
        <v>2017</v>
      </c>
      <c r="AJ145" s="290" t="s">
        <v>65</v>
      </c>
      <c r="AK145" s="290">
        <v>1320</v>
      </c>
      <c r="AL145" s="290" t="s">
        <v>66</v>
      </c>
      <c r="AM145" s="290">
        <v>4</v>
      </c>
      <c r="AN145" s="394" t="s">
        <v>258</v>
      </c>
      <c r="AO145" s="395">
        <v>2016</v>
      </c>
      <c r="AP145" s="395" t="s">
        <v>65</v>
      </c>
      <c r="AQ145" s="395">
        <v>97000</v>
      </c>
      <c r="AR145" s="395" t="s">
        <v>72</v>
      </c>
      <c r="AS145" s="396">
        <v>1</v>
      </c>
      <c r="AT145" s="397" t="s">
        <v>141</v>
      </c>
      <c r="AU145" s="398">
        <v>2015</v>
      </c>
      <c r="AV145" s="398" t="s">
        <v>65</v>
      </c>
      <c r="AW145" s="398">
        <v>1600</v>
      </c>
      <c r="AX145" s="398" t="s">
        <v>66</v>
      </c>
      <c r="AY145" s="399">
        <v>1</v>
      </c>
    </row>
    <row r="146" spans="1:51" x14ac:dyDescent="0.3">
      <c r="A146" s="350" t="s">
        <v>147</v>
      </c>
      <c r="B146" s="350" t="s">
        <v>205</v>
      </c>
      <c r="C146" s="350">
        <v>2016</v>
      </c>
      <c r="D146" s="350" t="s">
        <v>65</v>
      </c>
      <c r="E146" s="350">
        <v>84500</v>
      </c>
      <c r="F146" s="353" t="s">
        <v>72</v>
      </c>
      <c r="G146" s="353">
        <v>4</v>
      </c>
      <c r="I146" s="382" t="s">
        <v>147</v>
      </c>
      <c r="J146" s="383" t="s">
        <v>255</v>
      </c>
      <c r="K146" s="383">
        <v>2021</v>
      </c>
      <c r="L146" s="383" t="s">
        <v>65</v>
      </c>
      <c r="M146" s="383">
        <v>18300</v>
      </c>
      <c r="N146" s="383" t="s">
        <v>72</v>
      </c>
      <c r="O146" s="384">
        <v>17</v>
      </c>
      <c r="P146" s="387" t="s">
        <v>145</v>
      </c>
      <c r="Q146" s="388">
        <v>2020</v>
      </c>
      <c r="R146" s="388" t="s">
        <v>65</v>
      </c>
      <c r="S146" s="388">
        <v>6613</v>
      </c>
      <c r="T146" s="388" t="s">
        <v>66</v>
      </c>
      <c r="U146" s="389">
        <v>26</v>
      </c>
      <c r="V146" s="289" t="s">
        <v>265</v>
      </c>
      <c r="W146" s="289">
        <v>2019</v>
      </c>
      <c r="X146" s="289" t="s">
        <v>65</v>
      </c>
      <c r="Y146" s="289">
        <v>3368</v>
      </c>
      <c r="Z146" s="289" t="s">
        <v>66</v>
      </c>
      <c r="AA146" s="289">
        <v>3</v>
      </c>
      <c r="AB146" s="391" t="s">
        <v>140</v>
      </c>
      <c r="AC146" s="392">
        <v>2018</v>
      </c>
      <c r="AD146" s="392" t="s">
        <v>65</v>
      </c>
      <c r="AE146" s="392">
        <v>1650</v>
      </c>
      <c r="AF146" s="392" t="s">
        <v>66</v>
      </c>
      <c r="AG146" s="393">
        <v>5</v>
      </c>
      <c r="AH146" s="290" t="s">
        <v>140</v>
      </c>
      <c r="AI146" s="290">
        <v>2017</v>
      </c>
      <c r="AJ146" s="290" t="s">
        <v>65</v>
      </c>
      <c r="AK146" s="290">
        <v>1650</v>
      </c>
      <c r="AL146" s="290" t="s">
        <v>66</v>
      </c>
      <c r="AM146" s="290">
        <v>1</v>
      </c>
      <c r="AN146" s="394" t="s">
        <v>259</v>
      </c>
      <c r="AO146" s="395">
        <v>2016</v>
      </c>
      <c r="AP146" s="395" t="s">
        <v>65</v>
      </c>
      <c r="AQ146" s="395">
        <v>2700</v>
      </c>
      <c r="AR146" s="395" t="s">
        <v>66</v>
      </c>
      <c r="AS146" s="396">
        <v>1</v>
      </c>
      <c r="AT146" s="397" t="s">
        <v>261</v>
      </c>
      <c r="AU146" s="398">
        <v>2015</v>
      </c>
      <c r="AV146" s="398" t="s">
        <v>65</v>
      </c>
      <c r="AW146" s="398">
        <v>15100</v>
      </c>
      <c r="AX146" s="398" t="s">
        <v>66</v>
      </c>
      <c r="AY146" s="399">
        <v>1</v>
      </c>
    </row>
    <row r="147" spans="1:51" x14ac:dyDescent="0.3">
      <c r="A147" s="350" t="s">
        <v>147</v>
      </c>
      <c r="B147" s="350" t="s">
        <v>205</v>
      </c>
      <c r="C147" s="350">
        <v>2015</v>
      </c>
      <c r="D147" s="350" t="s">
        <v>65</v>
      </c>
      <c r="E147" s="350">
        <v>84500</v>
      </c>
      <c r="F147" s="353" t="s">
        <v>72</v>
      </c>
      <c r="G147" s="353">
        <v>12</v>
      </c>
      <c r="I147" s="382" t="s">
        <v>147</v>
      </c>
      <c r="J147" s="383" t="s">
        <v>256</v>
      </c>
      <c r="K147" s="383">
        <v>2021</v>
      </c>
      <c r="L147" s="383" t="s">
        <v>65</v>
      </c>
      <c r="M147" s="383">
        <v>8800</v>
      </c>
      <c r="N147" s="383" t="s">
        <v>66</v>
      </c>
      <c r="O147" s="384">
        <v>51</v>
      </c>
      <c r="P147" s="387" t="s">
        <v>146</v>
      </c>
      <c r="Q147" s="388">
        <v>2020</v>
      </c>
      <c r="R147" s="388" t="s">
        <v>65</v>
      </c>
      <c r="S147" s="388">
        <v>7495</v>
      </c>
      <c r="T147" s="388" t="s">
        <v>66</v>
      </c>
      <c r="U147" s="389">
        <v>26</v>
      </c>
      <c r="V147" s="289" t="s">
        <v>143</v>
      </c>
      <c r="W147" s="289">
        <v>2019</v>
      </c>
      <c r="X147" s="289" t="s">
        <v>65</v>
      </c>
      <c r="Y147" s="289">
        <v>14500</v>
      </c>
      <c r="Z147" s="289" t="s">
        <v>72</v>
      </c>
      <c r="AA147" s="289">
        <v>336</v>
      </c>
      <c r="AB147" s="391" t="s">
        <v>141</v>
      </c>
      <c r="AC147" s="392">
        <v>2018</v>
      </c>
      <c r="AD147" s="392" t="s">
        <v>65</v>
      </c>
      <c r="AE147" s="392">
        <v>1600</v>
      </c>
      <c r="AF147" s="392" t="s">
        <v>66</v>
      </c>
      <c r="AG147" s="393">
        <v>14</v>
      </c>
      <c r="AH147" s="290" t="s">
        <v>141</v>
      </c>
      <c r="AI147" s="290">
        <v>2017</v>
      </c>
      <c r="AJ147" s="290" t="s">
        <v>65</v>
      </c>
      <c r="AK147" s="290">
        <v>1600</v>
      </c>
      <c r="AL147" s="290" t="s">
        <v>66</v>
      </c>
      <c r="AM147" s="290">
        <v>13</v>
      </c>
      <c r="AN147" s="394" t="s">
        <v>140</v>
      </c>
      <c r="AO147" s="395">
        <v>2016</v>
      </c>
      <c r="AP147" s="395" t="s">
        <v>65</v>
      </c>
      <c r="AQ147" s="395">
        <v>1650</v>
      </c>
      <c r="AR147" s="395" t="s">
        <v>66</v>
      </c>
      <c r="AS147" s="396">
        <v>3</v>
      </c>
      <c r="AT147" s="397" t="s">
        <v>264</v>
      </c>
      <c r="AU147" s="398">
        <v>2015</v>
      </c>
      <c r="AV147" s="398" t="s">
        <v>65</v>
      </c>
      <c r="AW147" s="398">
        <v>27099</v>
      </c>
      <c r="AX147" s="398" t="s">
        <v>66</v>
      </c>
      <c r="AY147" s="399">
        <v>1</v>
      </c>
    </row>
    <row r="148" spans="1:51" x14ac:dyDescent="0.3">
      <c r="A148" s="350" t="s">
        <v>147</v>
      </c>
      <c r="B148" s="350" t="s">
        <v>205</v>
      </c>
      <c r="C148" s="350">
        <v>2014</v>
      </c>
      <c r="D148" s="350" t="s">
        <v>65</v>
      </c>
      <c r="E148" s="350">
        <v>84500</v>
      </c>
      <c r="F148" s="353" t="s">
        <v>72</v>
      </c>
      <c r="G148" s="353">
        <v>8</v>
      </c>
      <c r="I148" s="382" t="s">
        <v>147</v>
      </c>
      <c r="J148" s="383" t="s">
        <v>259</v>
      </c>
      <c r="K148" s="383">
        <v>2021</v>
      </c>
      <c r="L148" s="383" t="s">
        <v>65</v>
      </c>
      <c r="M148" s="383">
        <v>2700</v>
      </c>
      <c r="N148" s="383" t="s">
        <v>66</v>
      </c>
      <c r="O148" s="384">
        <v>2</v>
      </c>
      <c r="P148" s="387" t="s">
        <v>268</v>
      </c>
      <c r="Q148" s="388">
        <v>2020</v>
      </c>
      <c r="R148" s="388" t="s">
        <v>65</v>
      </c>
      <c r="S148" s="388">
        <v>7394</v>
      </c>
      <c r="T148" s="388" t="s">
        <v>66</v>
      </c>
      <c r="U148" s="389">
        <v>25</v>
      </c>
      <c r="V148" s="289" t="s">
        <v>266</v>
      </c>
      <c r="W148" s="289">
        <v>2019</v>
      </c>
      <c r="X148" s="289" t="s">
        <v>65</v>
      </c>
      <c r="Y148" s="289">
        <v>4300</v>
      </c>
      <c r="Z148" s="289" t="s">
        <v>66</v>
      </c>
      <c r="AA148" s="289">
        <v>1</v>
      </c>
      <c r="AB148" s="391" t="s">
        <v>261</v>
      </c>
      <c r="AC148" s="392">
        <v>2018</v>
      </c>
      <c r="AD148" s="392" t="s">
        <v>65</v>
      </c>
      <c r="AE148" s="392">
        <v>15100</v>
      </c>
      <c r="AF148" s="392" t="s">
        <v>66</v>
      </c>
      <c r="AG148" s="393">
        <v>16</v>
      </c>
      <c r="AH148" s="290" t="s">
        <v>261</v>
      </c>
      <c r="AI148" s="290">
        <v>2017</v>
      </c>
      <c r="AJ148" s="290" t="s">
        <v>65</v>
      </c>
      <c r="AK148" s="290">
        <v>15100</v>
      </c>
      <c r="AL148" s="290" t="s">
        <v>66</v>
      </c>
      <c r="AM148" s="290">
        <v>8</v>
      </c>
      <c r="AN148" s="394" t="s">
        <v>141</v>
      </c>
      <c r="AO148" s="395">
        <v>2016</v>
      </c>
      <c r="AP148" s="395" t="s">
        <v>65</v>
      </c>
      <c r="AQ148" s="395">
        <v>1600</v>
      </c>
      <c r="AR148" s="395" t="s">
        <v>66</v>
      </c>
      <c r="AS148" s="396">
        <v>2</v>
      </c>
      <c r="AT148" s="397" t="s">
        <v>142</v>
      </c>
      <c r="AU148" s="398">
        <v>2015</v>
      </c>
      <c r="AV148" s="398" t="s">
        <v>65</v>
      </c>
      <c r="AW148" s="398">
        <v>3000</v>
      </c>
      <c r="AX148" s="398" t="s">
        <v>66</v>
      </c>
      <c r="AY148" s="399">
        <v>30</v>
      </c>
    </row>
    <row r="149" spans="1:51" x14ac:dyDescent="0.3">
      <c r="A149" s="350" t="s">
        <v>147</v>
      </c>
      <c r="B149" s="350" t="s">
        <v>110</v>
      </c>
      <c r="C149" s="350">
        <v>2021</v>
      </c>
      <c r="D149" s="350" t="s">
        <v>65</v>
      </c>
      <c r="E149" s="350">
        <v>80500</v>
      </c>
      <c r="F149" s="353" t="s">
        <v>72</v>
      </c>
      <c r="G149" s="353">
        <v>1</v>
      </c>
      <c r="I149" s="382" t="s">
        <v>147</v>
      </c>
      <c r="J149" s="383" t="s">
        <v>260</v>
      </c>
      <c r="K149" s="383">
        <v>2021</v>
      </c>
      <c r="L149" s="383" t="s">
        <v>65</v>
      </c>
      <c r="M149" s="383">
        <v>1320</v>
      </c>
      <c r="N149" s="383" t="s">
        <v>66</v>
      </c>
      <c r="O149" s="384">
        <v>1</v>
      </c>
      <c r="P149" s="387" t="s">
        <v>269</v>
      </c>
      <c r="Q149" s="388">
        <v>2020</v>
      </c>
      <c r="R149" s="388" t="s">
        <v>65</v>
      </c>
      <c r="S149" s="388">
        <v>6500</v>
      </c>
      <c r="T149" s="388" t="s">
        <v>66</v>
      </c>
      <c r="U149" s="389">
        <v>35</v>
      </c>
      <c r="V149" s="289" t="s">
        <v>144</v>
      </c>
      <c r="W149" s="289">
        <v>2019</v>
      </c>
      <c r="X149" s="289" t="s">
        <v>65</v>
      </c>
      <c r="Y149" s="289">
        <v>5617</v>
      </c>
      <c r="Z149" s="289" t="s">
        <v>66</v>
      </c>
      <c r="AA149" s="289">
        <v>3</v>
      </c>
      <c r="AB149" s="391" t="s">
        <v>263</v>
      </c>
      <c r="AC149" s="392">
        <v>2018</v>
      </c>
      <c r="AD149" s="392" t="s">
        <v>65</v>
      </c>
      <c r="AE149" s="392">
        <v>6000</v>
      </c>
      <c r="AF149" s="392" t="s">
        <v>66</v>
      </c>
      <c r="AG149" s="393">
        <v>11</v>
      </c>
      <c r="AH149" s="290" t="s">
        <v>263</v>
      </c>
      <c r="AI149" s="290">
        <v>2017</v>
      </c>
      <c r="AJ149" s="290" t="s">
        <v>65</v>
      </c>
      <c r="AK149" s="290">
        <v>6000</v>
      </c>
      <c r="AL149" s="290" t="s">
        <v>66</v>
      </c>
      <c r="AM149" s="290">
        <v>2</v>
      </c>
      <c r="AN149" s="394" t="s">
        <v>261</v>
      </c>
      <c r="AO149" s="395">
        <v>2016</v>
      </c>
      <c r="AP149" s="395" t="s">
        <v>65</v>
      </c>
      <c r="AQ149" s="395">
        <v>15100</v>
      </c>
      <c r="AR149" s="395" t="s">
        <v>66</v>
      </c>
      <c r="AS149" s="396">
        <v>4</v>
      </c>
      <c r="AT149" s="397" t="s">
        <v>265</v>
      </c>
      <c r="AU149" s="398">
        <v>2015</v>
      </c>
      <c r="AV149" s="398" t="s">
        <v>65</v>
      </c>
      <c r="AW149" s="398">
        <v>3368</v>
      </c>
      <c r="AX149" s="398" t="s">
        <v>66</v>
      </c>
      <c r="AY149" s="399">
        <v>6</v>
      </c>
    </row>
    <row r="150" spans="1:51" x14ac:dyDescent="0.3">
      <c r="A150" s="350" t="s">
        <v>147</v>
      </c>
      <c r="B150" s="350" t="s">
        <v>232</v>
      </c>
      <c r="C150" s="350">
        <v>2021</v>
      </c>
      <c r="D150" s="350" t="s">
        <v>65</v>
      </c>
      <c r="E150" s="350">
        <v>73200</v>
      </c>
      <c r="F150" s="353" t="s">
        <v>72</v>
      </c>
      <c r="G150" s="353">
        <v>7</v>
      </c>
      <c r="I150" s="382" t="s">
        <v>147</v>
      </c>
      <c r="J150" s="383" t="s">
        <v>140</v>
      </c>
      <c r="K150" s="383">
        <v>2021</v>
      </c>
      <c r="L150" s="383" t="s">
        <v>65</v>
      </c>
      <c r="M150" s="383">
        <v>1650</v>
      </c>
      <c r="N150" s="383" t="s">
        <v>66</v>
      </c>
      <c r="O150" s="384">
        <v>8</v>
      </c>
      <c r="P150" s="387" t="s">
        <v>270</v>
      </c>
      <c r="Q150" s="388">
        <v>2020</v>
      </c>
      <c r="R150" s="388" t="s">
        <v>65</v>
      </c>
      <c r="S150" s="388">
        <v>-1</v>
      </c>
      <c r="T150" s="388" t="s">
        <v>270</v>
      </c>
      <c r="U150" s="389">
        <v>2081</v>
      </c>
      <c r="V150" s="289" t="s">
        <v>145</v>
      </c>
      <c r="W150" s="289">
        <v>2019</v>
      </c>
      <c r="X150" s="289" t="s">
        <v>65</v>
      </c>
      <c r="Y150" s="289">
        <v>6613</v>
      </c>
      <c r="Z150" s="289" t="s">
        <v>66</v>
      </c>
      <c r="AA150" s="289">
        <v>23</v>
      </c>
      <c r="AB150" s="391" t="s">
        <v>142</v>
      </c>
      <c r="AC150" s="392">
        <v>2018</v>
      </c>
      <c r="AD150" s="392" t="s">
        <v>65</v>
      </c>
      <c r="AE150" s="392">
        <v>3000</v>
      </c>
      <c r="AF150" s="392" t="s">
        <v>66</v>
      </c>
      <c r="AG150" s="393">
        <v>36</v>
      </c>
      <c r="AH150" s="290" t="s">
        <v>142</v>
      </c>
      <c r="AI150" s="290">
        <v>2017</v>
      </c>
      <c r="AJ150" s="290" t="s">
        <v>65</v>
      </c>
      <c r="AK150" s="290">
        <v>3000</v>
      </c>
      <c r="AL150" s="290" t="s">
        <v>66</v>
      </c>
      <c r="AM150" s="290">
        <v>20</v>
      </c>
      <c r="AN150" s="394" t="s">
        <v>142</v>
      </c>
      <c r="AO150" s="395">
        <v>2016</v>
      </c>
      <c r="AP150" s="395" t="s">
        <v>65</v>
      </c>
      <c r="AQ150" s="395">
        <v>3000</v>
      </c>
      <c r="AR150" s="395" t="s">
        <v>66</v>
      </c>
      <c r="AS150" s="396">
        <v>31</v>
      </c>
      <c r="AT150" s="397" t="s">
        <v>143</v>
      </c>
      <c r="AU150" s="398">
        <v>2015</v>
      </c>
      <c r="AV150" s="398" t="s">
        <v>65</v>
      </c>
      <c r="AW150" s="398">
        <v>14500</v>
      </c>
      <c r="AX150" s="398" t="s">
        <v>72</v>
      </c>
      <c r="AY150" s="399">
        <v>336</v>
      </c>
    </row>
    <row r="151" spans="1:51" x14ac:dyDescent="0.3">
      <c r="A151" s="350" t="s">
        <v>147</v>
      </c>
      <c r="B151" s="350" t="s">
        <v>232</v>
      </c>
      <c r="C151" s="350">
        <v>2020</v>
      </c>
      <c r="D151" s="350" t="s">
        <v>65</v>
      </c>
      <c r="E151" s="350">
        <v>73200</v>
      </c>
      <c r="F151" s="353" t="s">
        <v>72</v>
      </c>
      <c r="G151" s="353">
        <v>6</v>
      </c>
      <c r="I151" s="382" t="s">
        <v>147</v>
      </c>
      <c r="J151" s="383" t="s">
        <v>141</v>
      </c>
      <c r="K151" s="383">
        <v>2021</v>
      </c>
      <c r="L151" s="383" t="s">
        <v>65</v>
      </c>
      <c r="M151" s="383">
        <v>1600</v>
      </c>
      <c r="N151" s="383" t="s">
        <v>66</v>
      </c>
      <c r="O151" s="384">
        <v>2</v>
      </c>
      <c r="V151" s="289" t="s">
        <v>146</v>
      </c>
      <c r="W151" s="289">
        <v>2019</v>
      </c>
      <c r="X151" s="289" t="s">
        <v>65</v>
      </c>
      <c r="Y151" s="289">
        <v>7495</v>
      </c>
      <c r="Z151" s="289" t="s">
        <v>66</v>
      </c>
      <c r="AA151" s="289">
        <v>26</v>
      </c>
      <c r="AB151" s="391" t="s">
        <v>143</v>
      </c>
      <c r="AC151" s="392">
        <v>2018</v>
      </c>
      <c r="AD151" s="392" t="s">
        <v>65</v>
      </c>
      <c r="AE151" s="392">
        <v>14500</v>
      </c>
      <c r="AF151" s="392" t="s">
        <v>72</v>
      </c>
      <c r="AG151" s="393">
        <v>319</v>
      </c>
      <c r="AH151" s="290" t="s">
        <v>265</v>
      </c>
      <c r="AI151" s="290">
        <v>2017</v>
      </c>
      <c r="AJ151" s="290" t="s">
        <v>65</v>
      </c>
      <c r="AK151" s="290">
        <v>3368</v>
      </c>
      <c r="AL151" s="290" t="s">
        <v>66</v>
      </c>
      <c r="AM151" s="290">
        <v>3</v>
      </c>
      <c r="AN151" s="394" t="s">
        <v>265</v>
      </c>
      <c r="AO151" s="395">
        <v>2016</v>
      </c>
      <c r="AP151" s="395" t="s">
        <v>65</v>
      </c>
      <c r="AQ151" s="395">
        <v>3368</v>
      </c>
      <c r="AR151" s="395" t="s">
        <v>66</v>
      </c>
      <c r="AS151" s="396">
        <v>4</v>
      </c>
      <c r="AT151" s="397" t="s">
        <v>267</v>
      </c>
      <c r="AU151" s="398">
        <v>2015</v>
      </c>
      <c r="AV151" s="398" t="s">
        <v>65</v>
      </c>
      <c r="AW151" s="398">
        <v>12093</v>
      </c>
      <c r="AX151" s="398" t="s">
        <v>66</v>
      </c>
      <c r="AY151" s="399">
        <v>1</v>
      </c>
    </row>
    <row r="152" spans="1:51" x14ac:dyDescent="0.3">
      <c r="A152" s="350" t="s">
        <v>147</v>
      </c>
      <c r="B152" s="350" t="s">
        <v>232</v>
      </c>
      <c r="C152" s="350">
        <v>2019</v>
      </c>
      <c r="D152" s="350" t="s">
        <v>65</v>
      </c>
      <c r="E152" s="350">
        <v>73200</v>
      </c>
      <c r="F152" s="353" t="s">
        <v>72</v>
      </c>
      <c r="G152" s="353">
        <v>2</v>
      </c>
      <c r="I152" s="382" t="s">
        <v>147</v>
      </c>
      <c r="J152" s="383" t="s">
        <v>261</v>
      </c>
      <c r="K152" s="383">
        <v>2021</v>
      </c>
      <c r="L152" s="383" t="s">
        <v>65</v>
      </c>
      <c r="M152" s="383">
        <v>15100</v>
      </c>
      <c r="N152" s="383" t="s">
        <v>66</v>
      </c>
      <c r="O152" s="384">
        <v>41</v>
      </c>
      <c r="V152" s="289" t="s">
        <v>268</v>
      </c>
      <c r="W152" s="289">
        <v>2019</v>
      </c>
      <c r="X152" s="289" t="s">
        <v>65</v>
      </c>
      <c r="Y152" s="289">
        <v>7394</v>
      </c>
      <c r="Z152" s="289" t="s">
        <v>66</v>
      </c>
      <c r="AA152" s="289">
        <v>21</v>
      </c>
      <c r="AB152" s="391" t="s">
        <v>267</v>
      </c>
      <c r="AC152" s="392">
        <v>2018</v>
      </c>
      <c r="AD152" s="392" t="s">
        <v>65</v>
      </c>
      <c r="AE152" s="392">
        <v>12093</v>
      </c>
      <c r="AF152" s="392" t="s">
        <v>66</v>
      </c>
      <c r="AG152" s="393">
        <v>2</v>
      </c>
      <c r="AH152" s="290" t="s">
        <v>143</v>
      </c>
      <c r="AI152" s="290">
        <v>2017</v>
      </c>
      <c r="AJ152" s="290" t="s">
        <v>65</v>
      </c>
      <c r="AK152" s="290">
        <v>14500</v>
      </c>
      <c r="AL152" s="290" t="s">
        <v>72</v>
      </c>
      <c r="AM152" s="290">
        <v>294</v>
      </c>
      <c r="AN152" s="394" t="s">
        <v>143</v>
      </c>
      <c r="AO152" s="395">
        <v>2016</v>
      </c>
      <c r="AP152" s="395" t="s">
        <v>65</v>
      </c>
      <c r="AQ152" s="395">
        <v>14500</v>
      </c>
      <c r="AR152" s="395" t="s">
        <v>72</v>
      </c>
      <c r="AS152" s="396">
        <v>320</v>
      </c>
      <c r="AT152" s="397" t="s">
        <v>144</v>
      </c>
      <c r="AU152" s="398">
        <v>2015</v>
      </c>
      <c r="AV152" s="398" t="s">
        <v>65</v>
      </c>
      <c r="AW152" s="398">
        <v>5617</v>
      </c>
      <c r="AX152" s="398" t="s">
        <v>66</v>
      </c>
      <c r="AY152" s="399">
        <v>4</v>
      </c>
    </row>
    <row r="153" spans="1:51" x14ac:dyDescent="0.3">
      <c r="A153" s="350" t="s">
        <v>147</v>
      </c>
      <c r="B153" s="350" t="s">
        <v>232</v>
      </c>
      <c r="C153" s="350">
        <v>2018</v>
      </c>
      <c r="D153" s="350" t="s">
        <v>65</v>
      </c>
      <c r="E153" s="350">
        <v>73200</v>
      </c>
      <c r="F153" s="353" t="s">
        <v>72</v>
      </c>
      <c r="G153" s="353">
        <v>6</v>
      </c>
      <c r="I153" s="382" t="s">
        <v>147</v>
      </c>
      <c r="J153" s="383" t="s">
        <v>262</v>
      </c>
      <c r="K153" s="383">
        <v>2021</v>
      </c>
      <c r="L153" s="383" t="s">
        <v>65</v>
      </c>
      <c r="M153" s="383">
        <v>29000</v>
      </c>
      <c r="N153" s="383" t="s">
        <v>72</v>
      </c>
      <c r="O153" s="384">
        <v>1</v>
      </c>
      <c r="V153" s="289" t="s">
        <v>269</v>
      </c>
      <c r="W153" s="289">
        <v>2019</v>
      </c>
      <c r="X153" s="289" t="s">
        <v>65</v>
      </c>
      <c r="Y153" s="289">
        <v>6500</v>
      </c>
      <c r="Z153" s="289" t="s">
        <v>66</v>
      </c>
      <c r="AA153" s="289">
        <v>81</v>
      </c>
      <c r="AB153" s="391" t="s">
        <v>144</v>
      </c>
      <c r="AC153" s="392">
        <v>2018</v>
      </c>
      <c r="AD153" s="392" t="s">
        <v>65</v>
      </c>
      <c r="AE153" s="392">
        <v>5617</v>
      </c>
      <c r="AF153" s="392" t="s">
        <v>66</v>
      </c>
      <c r="AG153" s="393">
        <v>8</v>
      </c>
      <c r="AH153" s="290" t="s">
        <v>267</v>
      </c>
      <c r="AI153" s="290">
        <v>2017</v>
      </c>
      <c r="AJ153" s="290" t="s">
        <v>65</v>
      </c>
      <c r="AK153" s="290">
        <v>12093</v>
      </c>
      <c r="AL153" s="290" t="s">
        <v>66</v>
      </c>
      <c r="AM153" s="290">
        <v>1</v>
      </c>
      <c r="AN153" s="394" t="s">
        <v>267</v>
      </c>
      <c r="AO153" s="395">
        <v>2016</v>
      </c>
      <c r="AP153" s="395" t="s">
        <v>65</v>
      </c>
      <c r="AQ153" s="395">
        <v>12093</v>
      </c>
      <c r="AR153" s="395" t="s">
        <v>66</v>
      </c>
      <c r="AS153" s="396">
        <v>1</v>
      </c>
      <c r="AT153" s="397" t="s">
        <v>145</v>
      </c>
      <c r="AU153" s="398">
        <v>2015</v>
      </c>
      <c r="AV153" s="398" t="s">
        <v>65</v>
      </c>
      <c r="AW153" s="398">
        <v>6613</v>
      </c>
      <c r="AX153" s="398" t="s">
        <v>66</v>
      </c>
      <c r="AY153" s="399">
        <v>17</v>
      </c>
    </row>
    <row r="154" spans="1:51" x14ac:dyDescent="0.3">
      <c r="A154" s="350" t="s">
        <v>147</v>
      </c>
      <c r="B154" s="350" t="s">
        <v>232</v>
      </c>
      <c r="C154" s="350">
        <v>2017</v>
      </c>
      <c r="D154" s="350" t="s">
        <v>65</v>
      </c>
      <c r="E154" s="350">
        <v>73200</v>
      </c>
      <c r="F154" s="353" t="s">
        <v>72</v>
      </c>
      <c r="G154" s="353">
        <v>2</v>
      </c>
      <c r="I154" s="382" t="s">
        <v>147</v>
      </c>
      <c r="J154" s="383" t="s">
        <v>263</v>
      </c>
      <c r="K154" s="383">
        <v>2021</v>
      </c>
      <c r="L154" s="383" t="s">
        <v>65</v>
      </c>
      <c r="M154" s="383">
        <v>6000</v>
      </c>
      <c r="N154" s="383" t="s">
        <v>66</v>
      </c>
      <c r="O154" s="384">
        <v>56</v>
      </c>
      <c r="V154" s="289" t="s">
        <v>270</v>
      </c>
      <c r="W154" s="289">
        <v>2019</v>
      </c>
      <c r="X154" s="289" t="s">
        <v>65</v>
      </c>
      <c r="Y154" s="289">
        <v>-1</v>
      </c>
      <c r="Z154" s="289" t="s">
        <v>270</v>
      </c>
      <c r="AA154" s="289">
        <v>1517</v>
      </c>
      <c r="AB154" s="391" t="s">
        <v>145</v>
      </c>
      <c r="AC154" s="392">
        <v>2018</v>
      </c>
      <c r="AD154" s="392" t="s">
        <v>65</v>
      </c>
      <c r="AE154" s="392">
        <v>6613</v>
      </c>
      <c r="AF154" s="392" t="s">
        <v>66</v>
      </c>
      <c r="AG154" s="393">
        <v>20</v>
      </c>
      <c r="AH154" s="290" t="s">
        <v>144</v>
      </c>
      <c r="AI154" s="290">
        <v>2017</v>
      </c>
      <c r="AJ154" s="290" t="s">
        <v>65</v>
      </c>
      <c r="AK154" s="290">
        <v>5617</v>
      </c>
      <c r="AL154" s="290" t="s">
        <v>66</v>
      </c>
      <c r="AM154" s="290">
        <v>5</v>
      </c>
      <c r="AN154" s="394" t="s">
        <v>144</v>
      </c>
      <c r="AO154" s="395">
        <v>2016</v>
      </c>
      <c r="AP154" s="395" t="s">
        <v>65</v>
      </c>
      <c r="AQ154" s="395">
        <v>5617</v>
      </c>
      <c r="AR154" s="395" t="s">
        <v>66</v>
      </c>
      <c r="AS154" s="396">
        <v>1</v>
      </c>
      <c r="AT154" s="397" t="s">
        <v>146</v>
      </c>
      <c r="AU154" s="398">
        <v>2015</v>
      </c>
      <c r="AV154" s="398" t="s">
        <v>65</v>
      </c>
      <c r="AW154" s="398">
        <v>7495</v>
      </c>
      <c r="AX154" s="398" t="s">
        <v>66</v>
      </c>
      <c r="AY154" s="399">
        <v>23</v>
      </c>
    </row>
    <row r="155" spans="1:51" x14ac:dyDescent="0.3">
      <c r="A155" s="350" t="s">
        <v>147</v>
      </c>
      <c r="B155" s="350" t="s">
        <v>232</v>
      </c>
      <c r="C155" s="350">
        <v>2016</v>
      </c>
      <c r="D155" s="350" t="s">
        <v>65</v>
      </c>
      <c r="E155" s="350">
        <v>73200</v>
      </c>
      <c r="F155" s="353" t="s">
        <v>72</v>
      </c>
      <c r="G155" s="353">
        <v>7</v>
      </c>
      <c r="I155" s="382" t="s">
        <v>147</v>
      </c>
      <c r="J155" s="383" t="s">
        <v>142</v>
      </c>
      <c r="K155" s="383">
        <v>2021</v>
      </c>
      <c r="L155" s="383" t="s">
        <v>65</v>
      </c>
      <c r="M155" s="383">
        <v>3000</v>
      </c>
      <c r="N155" s="383" t="s">
        <v>66</v>
      </c>
      <c r="O155" s="384">
        <v>58</v>
      </c>
      <c r="AB155" s="391" t="s">
        <v>146</v>
      </c>
      <c r="AC155" s="392">
        <v>2018</v>
      </c>
      <c r="AD155" s="392" t="s">
        <v>65</v>
      </c>
      <c r="AE155" s="392">
        <v>7495</v>
      </c>
      <c r="AF155" s="392" t="s">
        <v>66</v>
      </c>
      <c r="AG155" s="393">
        <v>21</v>
      </c>
      <c r="AH155" s="290" t="s">
        <v>145</v>
      </c>
      <c r="AI155" s="290">
        <v>2017</v>
      </c>
      <c r="AJ155" s="290" t="s">
        <v>65</v>
      </c>
      <c r="AK155" s="290">
        <v>6613</v>
      </c>
      <c r="AL155" s="290" t="s">
        <v>66</v>
      </c>
      <c r="AM155" s="290">
        <v>28</v>
      </c>
      <c r="AN155" s="394" t="s">
        <v>145</v>
      </c>
      <c r="AO155" s="395">
        <v>2016</v>
      </c>
      <c r="AP155" s="395" t="s">
        <v>65</v>
      </c>
      <c r="AQ155" s="395">
        <v>6613</v>
      </c>
      <c r="AR155" s="395" t="s">
        <v>66</v>
      </c>
      <c r="AS155" s="396">
        <v>19</v>
      </c>
      <c r="AT155" s="397" t="s">
        <v>269</v>
      </c>
      <c r="AU155" s="398">
        <v>2015</v>
      </c>
      <c r="AV155" s="398" t="s">
        <v>65</v>
      </c>
      <c r="AW155" s="398">
        <v>6500</v>
      </c>
      <c r="AX155" s="398" t="s">
        <v>66</v>
      </c>
      <c r="AY155" s="399">
        <v>64</v>
      </c>
    </row>
    <row r="156" spans="1:51" x14ac:dyDescent="0.3">
      <c r="A156" s="350" t="s">
        <v>147</v>
      </c>
      <c r="B156" s="350" t="s">
        <v>232</v>
      </c>
      <c r="C156" s="350">
        <v>2015</v>
      </c>
      <c r="D156" s="350" t="s">
        <v>65</v>
      </c>
      <c r="E156" s="350">
        <v>73200</v>
      </c>
      <c r="F156" s="353" t="s">
        <v>72</v>
      </c>
      <c r="G156" s="353">
        <v>7</v>
      </c>
      <c r="I156" s="382" t="s">
        <v>147</v>
      </c>
      <c r="J156" s="383" t="s">
        <v>265</v>
      </c>
      <c r="K156" s="383">
        <v>2021</v>
      </c>
      <c r="L156" s="383" t="s">
        <v>65</v>
      </c>
      <c r="M156" s="383">
        <v>3368</v>
      </c>
      <c r="N156" s="383" t="s">
        <v>66</v>
      </c>
      <c r="O156" s="384">
        <v>7</v>
      </c>
      <c r="AB156" s="391" t="s">
        <v>268</v>
      </c>
      <c r="AC156" s="392">
        <v>2018</v>
      </c>
      <c r="AD156" s="392" t="s">
        <v>65</v>
      </c>
      <c r="AE156" s="392">
        <v>7394</v>
      </c>
      <c r="AF156" s="392" t="s">
        <v>66</v>
      </c>
      <c r="AG156" s="393">
        <v>20</v>
      </c>
      <c r="AH156" s="290" t="s">
        <v>146</v>
      </c>
      <c r="AI156" s="290">
        <v>2017</v>
      </c>
      <c r="AJ156" s="290" t="s">
        <v>65</v>
      </c>
      <c r="AK156" s="290">
        <v>7495</v>
      </c>
      <c r="AL156" s="290" t="s">
        <v>66</v>
      </c>
      <c r="AM156" s="290">
        <v>25</v>
      </c>
      <c r="AN156" s="394" t="s">
        <v>146</v>
      </c>
      <c r="AO156" s="395">
        <v>2016</v>
      </c>
      <c r="AP156" s="395" t="s">
        <v>65</v>
      </c>
      <c r="AQ156" s="395">
        <v>7495</v>
      </c>
      <c r="AR156" s="395" t="s">
        <v>66</v>
      </c>
      <c r="AS156" s="396">
        <v>30</v>
      </c>
      <c r="AT156" s="397" t="s">
        <v>270</v>
      </c>
      <c r="AU156" s="398">
        <v>2015</v>
      </c>
      <c r="AV156" s="398" t="s">
        <v>65</v>
      </c>
      <c r="AW156" s="398">
        <v>-1</v>
      </c>
      <c r="AX156" s="398" t="s">
        <v>270</v>
      </c>
      <c r="AY156" s="399">
        <v>339</v>
      </c>
    </row>
    <row r="157" spans="1:51" x14ac:dyDescent="0.3">
      <c r="A157" s="350" t="s">
        <v>147</v>
      </c>
      <c r="B157" s="350" t="s">
        <v>232</v>
      </c>
      <c r="C157" s="350">
        <v>2014</v>
      </c>
      <c r="D157" s="350" t="s">
        <v>65</v>
      </c>
      <c r="E157" s="350">
        <v>73200</v>
      </c>
      <c r="F157" s="353" t="s">
        <v>72</v>
      </c>
      <c r="G157" s="353">
        <v>4</v>
      </c>
      <c r="I157" s="382" t="s">
        <v>147</v>
      </c>
      <c r="J157" s="383" t="s">
        <v>143</v>
      </c>
      <c r="K157" s="383">
        <v>2021</v>
      </c>
      <c r="L157" s="383" t="s">
        <v>65</v>
      </c>
      <c r="M157" s="383">
        <v>14500</v>
      </c>
      <c r="N157" s="383" t="s">
        <v>72</v>
      </c>
      <c r="O157" s="384">
        <v>255</v>
      </c>
      <c r="AB157" s="391" t="s">
        <v>269</v>
      </c>
      <c r="AC157" s="392">
        <v>2018</v>
      </c>
      <c r="AD157" s="392" t="s">
        <v>65</v>
      </c>
      <c r="AE157" s="392">
        <v>6500</v>
      </c>
      <c r="AF157" s="392" t="s">
        <v>66</v>
      </c>
      <c r="AG157" s="393">
        <v>138</v>
      </c>
      <c r="AH157" s="290" t="s">
        <v>268</v>
      </c>
      <c r="AI157" s="290">
        <v>2017</v>
      </c>
      <c r="AJ157" s="290" t="s">
        <v>65</v>
      </c>
      <c r="AK157" s="290">
        <v>7394</v>
      </c>
      <c r="AL157" s="290" t="s">
        <v>66</v>
      </c>
      <c r="AM157" s="290">
        <v>11</v>
      </c>
      <c r="AN157" s="394" t="s">
        <v>268</v>
      </c>
      <c r="AO157" s="395">
        <v>2016</v>
      </c>
      <c r="AP157" s="395" t="s">
        <v>65</v>
      </c>
      <c r="AQ157" s="395">
        <v>7394</v>
      </c>
      <c r="AR157" s="395" t="s">
        <v>66</v>
      </c>
      <c r="AS157" s="396">
        <v>2</v>
      </c>
    </row>
    <row r="158" spans="1:51" x14ac:dyDescent="0.3">
      <c r="A158" s="350" t="s">
        <v>147</v>
      </c>
      <c r="B158" s="350" t="s">
        <v>227</v>
      </c>
      <c r="C158" s="350">
        <v>2021</v>
      </c>
      <c r="D158" s="350" t="s">
        <v>65</v>
      </c>
      <c r="E158" s="350">
        <v>70000</v>
      </c>
      <c r="F158" s="353" t="s">
        <v>72</v>
      </c>
      <c r="G158" s="353">
        <v>2</v>
      </c>
      <c r="I158" s="382" t="s">
        <v>147</v>
      </c>
      <c r="J158" s="383" t="s">
        <v>266</v>
      </c>
      <c r="K158" s="383">
        <v>2021</v>
      </c>
      <c r="L158" s="383" t="s">
        <v>65</v>
      </c>
      <c r="M158" s="383">
        <v>4300</v>
      </c>
      <c r="N158" s="383" t="s">
        <v>66</v>
      </c>
      <c r="O158" s="384">
        <v>1</v>
      </c>
      <c r="AB158" s="391" t="s">
        <v>270</v>
      </c>
      <c r="AC158" s="392">
        <v>2018</v>
      </c>
      <c r="AD158" s="392" t="s">
        <v>65</v>
      </c>
      <c r="AE158" s="392">
        <v>-1</v>
      </c>
      <c r="AF158" s="392" t="s">
        <v>270</v>
      </c>
      <c r="AG158" s="393">
        <v>1186</v>
      </c>
      <c r="AH158" s="290" t="s">
        <v>269</v>
      </c>
      <c r="AI158" s="290">
        <v>2017</v>
      </c>
      <c r="AJ158" s="290" t="s">
        <v>65</v>
      </c>
      <c r="AK158" s="290">
        <v>6500</v>
      </c>
      <c r="AL158" s="290" t="s">
        <v>66</v>
      </c>
      <c r="AM158" s="290">
        <v>115</v>
      </c>
      <c r="AN158" s="394" t="s">
        <v>269</v>
      </c>
      <c r="AO158" s="395">
        <v>2016</v>
      </c>
      <c r="AP158" s="395" t="s">
        <v>65</v>
      </c>
      <c r="AQ158" s="395">
        <v>6500</v>
      </c>
      <c r="AR158" s="395" t="s">
        <v>66</v>
      </c>
      <c r="AS158" s="396">
        <v>73</v>
      </c>
    </row>
    <row r="159" spans="1:51" x14ac:dyDescent="0.3">
      <c r="A159" s="350" t="s">
        <v>147</v>
      </c>
      <c r="B159" s="350" t="s">
        <v>227</v>
      </c>
      <c r="C159" s="350">
        <v>2019</v>
      </c>
      <c r="D159" s="350" t="s">
        <v>65</v>
      </c>
      <c r="E159" s="350">
        <v>70000</v>
      </c>
      <c r="F159" s="353" t="s">
        <v>72</v>
      </c>
      <c r="G159" s="353">
        <v>1</v>
      </c>
      <c r="I159" s="382" t="s">
        <v>147</v>
      </c>
      <c r="J159" s="383" t="s">
        <v>144</v>
      </c>
      <c r="K159" s="383">
        <v>2021</v>
      </c>
      <c r="L159" s="383" t="s">
        <v>65</v>
      </c>
      <c r="M159" s="383">
        <v>5617</v>
      </c>
      <c r="N159" s="383" t="s">
        <v>66</v>
      </c>
      <c r="O159" s="384">
        <v>3</v>
      </c>
      <c r="AH159" s="290" t="s">
        <v>270</v>
      </c>
      <c r="AI159" s="290">
        <v>2017</v>
      </c>
      <c r="AJ159" s="290" t="s">
        <v>65</v>
      </c>
      <c r="AK159" s="290">
        <v>-1</v>
      </c>
      <c r="AL159" s="290" t="s">
        <v>270</v>
      </c>
      <c r="AM159" s="290">
        <v>930</v>
      </c>
      <c r="AN159" s="394" t="s">
        <v>270</v>
      </c>
      <c r="AO159" s="395">
        <v>2016</v>
      </c>
      <c r="AP159" s="395" t="s">
        <v>65</v>
      </c>
      <c r="AQ159" s="395">
        <v>-1</v>
      </c>
      <c r="AR159" s="395" t="s">
        <v>270</v>
      </c>
      <c r="AS159" s="396">
        <v>312</v>
      </c>
    </row>
    <row r="160" spans="1:51" x14ac:dyDescent="0.3">
      <c r="A160" s="350" t="s">
        <v>147</v>
      </c>
      <c r="B160" s="350" t="s">
        <v>227</v>
      </c>
      <c r="C160" s="350">
        <v>2018</v>
      </c>
      <c r="D160" s="350" t="s">
        <v>65</v>
      </c>
      <c r="E160" s="350">
        <v>70000</v>
      </c>
      <c r="F160" s="353" t="s">
        <v>72</v>
      </c>
      <c r="G160" s="353">
        <v>1</v>
      </c>
      <c r="I160" s="382" t="s">
        <v>147</v>
      </c>
      <c r="J160" s="383" t="s">
        <v>145</v>
      </c>
      <c r="K160" s="383">
        <v>2021</v>
      </c>
      <c r="L160" s="383" t="s">
        <v>65</v>
      </c>
      <c r="M160" s="383">
        <v>6613</v>
      </c>
      <c r="N160" s="383" t="s">
        <v>66</v>
      </c>
      <c r="O160" s="384">
        <v>21</v>
      </c>
    </row>
    <row r="161" spans="1:15" x14ac:dyDescent="0.3">
      <c r="A161" s="350" t="s">
        <v>147</v>
      </c>
      <c r="B161" s="350" t="s">
        <v>227</v>
      </c>
      <c r="C161" s="350">
        <v>2016</v>
      </c>
      <c r="D161" s="350" t="s">
        <v>65</v>
      </c>
      <c r="E161" s="350">
        <v>70000</v>
      </c>
      <c r="F161" s="353" t="s">
        <v>72</v>
      </c>
      <c r="G161" s="353">
        <v>1</v>
      </c>
      <c r="I161" s="382" t="s">
        <v>147</v>
      </c>
      <c r="J161" s="383" t="s">
        <v>146</v>
      </c>
      <c r="K161" s="383">
        <v>2021</v>
      </c>
      <c r="L161" s="383" t="s">
        <v>65</v>
      </c>
      <c r="M161" s="383">
        <v>7495</v>
      </c>
      <c r="N161" s="383" t="s">
        <v>66</v>
      </c>
      <c r="O161" s="384">
        <v>29</v>
      </c>
    </row>
    <row r="162" spans="1:15" x14ac:dyDescent="0.3">
      <c r="A162" s="350" t="s">
        <v>147</v>
      </c>
      <c r="B162" s="350" t="s">
        <v>227</v>
      </c>
      <c r="C162" s="350">
        <v>2015</v>
      </c>
      <c r="D162" s="350" t="s">
        <v>65</v>
      </c>
      <c r="E162" s="350">
        <v>70000</v>
      </c>
      <c r="F162" s="353" t="s">
        <v>72</v>
      </c>
      <c r="G162" s="353">
        <v>1</v>
      </c>
      <c r="I162" s="382" t="s">
        <v>147</v>
      </c>
      <c r="J162" s="383" t="s">
        <v>268</v>
      </c>
      <c r="K162" s="383">
        <v>2021</v>
      </c>
      <c r="L162" s="383" t="s">
        <v>65</v>
      </c>
      <c r="M162" s="383">
        <v>7394</v>
      </c>
      <c r="N162" s="383" t="s">
        <v>66</v>
      </c>
      <c r="O162" s="384">
        <v>33</v>
      </c>
    </row>
    <row r="163" spans="1:15" x14ac:dyDescent="0.3">
      <c r="A163" s="350" t="s">
        <v>147</v>
      </c>
      <c r="B163" s="350" t="s">
        <v>211</v>
      </c>
      <c r="C163" s="350">
        <v>2015</v>
      </c>
      <c r="D163" s="350" t="s">
        <v>65</v>
      </c>
      <c r="E163" s="350">
        <v>63052</v>
      </c>
      <c r="F163" s="353" t="s">
        <v>72</v>
      </c>
      <c r="G163" s="353">
        <v>5</v>
      </c>
      <c r="I163" s="382" t="s">
        <v>147</v>
      </c>
      <c r="J163" s="383" t="s">
        <v>269</v>
      </c>
      <c r="K163" s="383">
        <v>2021</v>
      </c>
      <c r="L163" s="383" t="s">
        <v>65</v>
      </c>
      <c r="M163" s="383">
        <v>6500</v>
      </c>
      <c r="N163" s="383" t="s">
        <v>66</v>
      </c>
      <c r="O163" s="384">
        <v>79</v>
      </c>
    </row>
    <row r="164" spans="1:15" x14ac:dyDescent="0.3">
      <c r="A164" s="350" t="s">
        <v>147</v>
      </c>
      <c r="B164" s="350" t="s">
        <v>211</v>
      </c>
      <c r="C164" s="350">
        <v>2014</v>
      </c>
      <c r="D164" s="350" t="s">
        <v>65</v>
      </c>
      <c r="E164" s="350">
        <v>63052</v>
      </c>
      <c r="F164" s="353" t="s">
        <v>72</v>
      </c>
      <c r="G164" s="353">
        <v>2</v>
      </c>
      <c r="I164" s="382" t="s">
        <v>147</v>
      </c>
      <c r="J164" s="383" t="s">
        <v>270</v>
      </c>
      <c r="K164" s="383">
        <v>2021</v>
      </c>
      <c r="L164" s="383" t="s">
        <v>65</v>
      </c>
      <c r="M164" s="383">
        <v>-1</v>
      </c>
      <c r="N164" s="383" t="s">
        <v>270</v>
      </c>
      <c r="O164" s="384">
        <v>2083</v>
      </c>
    </row>
    <row r="165" spans="1:15" x14ac:dyDescent="0.3">
      <c r="A165" s="350" t="s">
        <v>147</v>
      </c>
      <c r="B165" s="350" t="s">
        <v>223</v>
      </c>
      <c r="C165" s="350">
        <v>2021</v>
      </c>
      <c r="D165" s="350" t="s">
        <v>65</v>
      </c>
      <c r="E165" s="350">
        <v>55997</v>
      </c>
      <c r="F165" s="353" t="s">
        <v>66</v>
      </c>
      <c r="G165" s="353">
        <v>44</v>
      </c>
    </row>
    <row r="166" spans="1:15" x14ac:dyDescent="0.3">
      <c r="A166" s="350" t="s">
        <v>147</v>
      </c>
      <c r="B166" s="350" t="s">
        <v>223</v>
      </c>
      <c r="C166" s="350">
        <v>2020</v>
      </c>
      <c r="D166" s="350" t="s">
        <v>65</v>
      </c>
      <c r="E166" s="350">
        <v>55997</v>
      </c>
      <c r="F166" s="353" t="s">
        <v>66</v>
      </c>
      <c r="G166" s="353">
        <v>16</v>
      </c>
    </row>
    <row r="167" spans="1:15" x14ac:dyDescent="0.3">
      <c r="A167" s="350" t="s">
        <v>147</v>
      </c>
      <c r="B167" s="350" t="s">
        <v>223</v>
      </c>
      <c r="C167" s="350">
        <v>2019</v>
      </c>
      <c r="D167" s="350" t="s">
        <v>65</v>
      </c>
      <c r="E167" s="350">
        <v>55997</v>
      </c>
      <c r="F167" s="353" t="s">
        <v>66</v>
      </c>
      <c r="G167" s="353">
        <v>48</v>
      </c>
    </row>
    <row r="168" spans="1:15" x14ac:dyDescent="0.3">
      <c r="A168" s="350" t="s">
        <v>147</v>
      </c>
      <c r="B168" s="350" t="s">
        <v>223</v>
      </c>
      <c r="C168" s="350">
        <v>2018</v>
      </c>
      <c r="D168" s="350" t="s">
        <v>65</v>
      </c>
      <c r="E168" s="350">
        <v>55997</v>
      </c>
      <c r="F168" s="353" t="s">
        <v>66</v>
      </c>
      <c r="G168" s="353">
        <v>6</v>
      </c>
    </row>
    <row r="169" spans="1:15" x14ac:dyDescent="0.3">
      <c r="A169" s="350" t="s">
        <v>147</v>
      </c>
      <c r="B169" s="350" t="s">
        <v>223</v>
      </c>
      <c r="C169" s="350">
        <v>2017</v>
      </c>
      <c r="D169" s="350" t="s">
        <v>65</v>
      </c>
      <c r="E169" s="350">
        <v>55997</v>
      </c>
      <c r="F169" s="353" t="s">
        <v>66</v>
      </c>
      <c r="G169" s="353">
        <v>12</v>
      </c>
    </row>
    <row r="170" spans="1:15" x14ac:dyDescent="0.3">
      <c r="A170" s="350" t="s">
        <v>147</v>
      </c>
      <c r="B170" s="350" t="s">
        <v>223</v>
      </c>
      <c r="C170" s="350">
        <v>2016</v>
      </c>
      <c r="D170" s="350" t="s">
        <v>65</v>
      </c>
      <c r="E170" s="350">
        <v>55997</v>
      </c>
      <c r="F170" s="353" t="s">
        <v>66</v>
      </c>
      <c r="G170" s="353">
        <v>2</v>
      </c>
    </row>
    <row r="171" spans="1:15" x14ac:dyDescent="0.3">
      <c r="A171" s="350" t="s">
        <v>147</v>
      </c>
      <c r="B171" s="350" t="s">
        <v>214</v>
      </c>
      <c r="C171" s="350">
        <v>2021</v>
      </c>
      <c r="D171" s="350" t="s">
        <v>65</v>
      </c>
      <c r="E171" s="350">
        <v>53131</v>
      </c>
      <c r="F171" s="353" t="s">
        <v>72</v>
      </c>
      <c r="G171" s="353">
        <v>2</v>
      </c>
    </row>
    <row r="172" spans="1:15" x14ac:dyDescent="0.3">
      <c r="A172" s="350" t="s">
        <v>147</v>
      </c>
      <c r="B172" s="350" t="s">
        <v>214</v>
      </c>
      <c r="C172" s="350">
        <v>2019</v>
      </c>
      <c r="D172" s="350" t="s">
        <v>65</v>
      </c>
      <c r="E172" s="350">
        <v>53131</v>
      </c>
      <c r="F172" s="353" t="s">
        <v>72</v>
      </c>
      <c r="G172" s="353">
        <v>8</v>
      </c>
    </row>
    <row r="173" spans="1:15" x14ac:dyDescent="0.3">
      <c r="A173" s="350" t="s">
        <v>147</v>
      </c>
      <c r="B173" s="350" t="s">
        <v>214</v>
      </c>
      <c r="C173" s="350">
        <v>2018</v>
      </c>
      <c r="D173" s="350" t="s">
        <v>65</v>
      </c>
      <c r="E173" s="350">
        <v>53131</v>
      </c>
      <c r="F173" s="353" t="s">
        <v>72</v>
      </c>
      <c r="G173" s="353">
        <v>1</v>
      </c>
    </row>
    <row r="174" spans="1:15" x14ac:dyDescent="0.3">
      <c r="A174" s="350" t="s">
        <v>147</v>
      </c>
      <c r="B174" s="350" t="s">
        <v>214</v>
      </c>
      <c r="C174" s="350">
        <v>2017</v>
      </c>
      <c r="D174" s="350" t="s">
        <v>65</v>
      </c>
      <c r="E174" s="350">
        <v>53131</v>
      </c>
      <c r="F174" s="353" t="s">
        <v>72</v>
      </c>
      <c r="G174" s="353">
        <v>5</v>
      </c>
    </row>
    <row r="175" spans="1:15" x14ac:dyDescent="0.3">
      <c r="A175" s="350" t="s">
        <v>147</v>
      </c>
      <c r="B175" s="350" t="s">
        <v>214</v>
      </c>
      <c r="C175" s="350">
        <v>2016</v>
      </c>
      <c r="D175" s="350" t="s">
        <v>65</v>
      </c>
      <c r="E175" s="350">
        <v>53131</v>
      </c>
      <c r="F175" s="353" t="s">
        <v>72</v>
      </c>
      <c r="G175" s="353">
        <v>8</v>
      </c>
    </row>
    <row r="176" spans="1:15" x14ac:dyDescent="0.3">
      <c r="A176" s="350" t="s">
        <v>147</v>
      </c>
      <c r="B176" s="350" t="s">
        <v>214</v>
      </c>
      <c r="C176" s="350">
        <v>2015</v>
      </c>
      <c r="D176" s="350" t="s">
        <v>65</v>
      </c>
      <c r="E176" s="350">
        <v>53131</v>
      </c>
      <c r="F176" s="353" t="s">
        <v>72</v>
      </c>
      <c r="G176" s="353">
        <v>6</v>
      </c>
    </row>
    <row r="177" spans="1:7" x14ac:dyDescent="0.3">
      <c r="A177" s="350" t="s">
        <v>147</v>
      </c>
      <c r="B177" s="350" t="s">
        <v>214</v>
      </c>
      <c r="C177" s="350">
        <v>2014</v>
      </c>
      <c r="D177" s="350" t="s">
        <v>65</v>
      </c>
      <c r="E177" s="350">
        <v>53131</v>
      </c>
      <c r="F177" s="353" t="s">
        <v>72</v>
      </c>
      <c r="G177" s="353">
        <v>2</v>
      </c>
    </row>
    <row r="178" spans="1:7" x14ac:dyDescent="0.3">
      <c r="A178" s="350" t="s">
        <v>147</v>
      </c>
      <c r="B178" s="350" t="s">
        <v>217</v>
      </c>
      <c r="C178" s="350">
        <v>2021</v>
      </c>
      <c r="D178" s="350" t="s">
        <v>65</v>
      </c>
      <c r="E178" s="350">
        <v>53131</v>
      </c>
      <c r="F178" s="353" t="s">
        <v>72</v>
      </c>
      <c r="G178" s="353">
        <v>4</v>
      </c>
    </row>
    <row r="179" spans="1:7" x14ac:dyDescent="0.3">
      <c r="A179" s="350" t="s">
        <v>147</v>
      </c>
      <c r="B179" s="350" t="s">
        <v>217</v>
      </c>
      <c r="C179" s="350">
        <v>2015</v>
      </c>
      <c r="D179" s="350" t="s">
        <v>65</v>
      </c>
      <c r="E179" s="350">
        <v>53131</v>
      </c>
      <c r="F179" s="353" t="s">
        <v>72</v>
      </c>
      <c r="G179" s="353">
        <v>4</v>
      </c>
    </row>
    <row r="180" spans="1:7" x14ac:dyDescent="0.3">
      <c r="A180" s="350" t="s">
        <v>147</v>
      </c>
      <c r="B180" s="350" t="s">
        <v>217</v>
      </c>
      <c r="C180" s="350">
        <v>2014</v>
      </c>
      <c r="D180" s="350" t="s">
        <v>65</v>
      </c>
      <c r="E180" s="350">
        <v>53131</v>
      </c>
      <c r="F180" s="353" t="s">
        <v>72</v>
      </c>
      <c r="G180" s="353">
        <v>7</v>
      </c>
    </row>
    <row r="181" spans="1:7" x14ac:dyDescent="0.3">
      <c r="A181" s="350" t="s">
        <v>147</v>
      </c>
      <c r="B181" s="350" t="s">
        <v>204</v>
      </c>
      <c r="C181" s="350">
        <v>2021</v>
      </c>
      <c r="D181" s="350" t="s">
        <v>65</v>
      </c>
      <c r="E181" s="350">
        <v>53000</v>
      </c>
      <c r="F181" s="353" t="s">
        <v>72</v>
      </c>
      <c r="G181" s="353">
        <v>425</v>
      </c>
    </row>
    <row r="182" spans="1:7" x14ac:dyDescent="0.3">
      <c r="A182" s="350" t="s">
        <v>147</v>
      </c>
      <c r="B182" s="350" t="s">
        <v>204</v>
      </c>
      <c r="C182" s="350">
        <v>2020</v>
      </c>
      <c r="D182" s="350" t="s">
        <v>65</v>
      </c>
      <c r="E182" s="350">
        <v>53000</v>
      </c>
      <c r="F182" s="353" t="s">
        <v>72</v>
      </c>
      <c r="G182" s="353">
        <v>616</v>
      </c>
    </row>
    <row r="183" spans="1:7" x14ac:dyDescent="0.3">
      <c r="A183" s="350" t="s">
        <v>147</v>
      </c>
      <c r="B183" s="350" t="s">
        <v>204</v>
      </c>
      <c r="C183" s="350">
        <v>2019</v>
      </c>
      <c r="D183" s="350" t="s">
        <v>65</v>
      </c>
      <c r="E183" s="350">
        <v>53000</v>
      </c>
      <c r="F183" s="353" t="s">
        <v>72</v>
      </c>
      <c r="G183" s="353">
        <v>793</v>
      </c>
    </row>
    <row r="184" spans="1:7" x14ac:dyDescent="0.3">
      <c r="A184" s="350" t="s">
        <v>147</v>
      </c>
      <c r="B184" s="350" t="s">
        <v>204</v>
      </c>
      <c r="C184" s="350">
        <v>2018</v>
      </c>
      <c r="D184" s="350" t="s">
        <v>65</v>
      </c>
      <c r="E184" s="350">
        <v>53000</v>
      </c>
      <c r="F184" s="353" t="s">
        <v>72</v>
      </c>
      <c r="G184" s="353">
        <v>775</v>
      </c>
    </row>
    <row r="185" spans="1:7" x14ac:dyDescent="0.3">
      <c r="A185" s="350" t="s">
        <v>147</v>
      </c>
      <c r="B185" s="350" t="s">
        <v>204</v>
      </c>
      <c r="C185" s="350">
        <v>2017</v>
      </c>
      <c r="D185" s="350" t="s">
        <v>65</v>
      </c>
      <c r="E185" s="350">
        <v>53000</v>
      </c>
      <c r="F185" s="353" t="s">
        <v>72</v>
      </c>
      <c r="G185" s="353">
        <v>31</v>
      </c>
    </row>
    <row r="186" spans="1:7" x14ac:dyDescent="0.3">
      <c r="A186" s="350" t="s">
        <v>147</v>
      </c>
      <c r="B186" s="350" t="s">
        <v>204</v>
      </c>
      <c r="C186" s="350">
        <v>2016</v>
      </c>
      <c r="D186" s="350" t="s">
        <v>65</v>
      </c>
      <c r="E186" s="350">
        <v>53000</v>
      </c>
      <c r="F186" s="353" t="s">
        <v>72</v>
      </c>
      <c r="G186" s="353">
        <v>7</v>
      </c>
    </row>
    <row r="187" spans="1:7" x14ac:dyDescent="0.3">
      <c r="A187" s="350" t="s">
        <v>147</v>
      </c>
      <c r="B187" s="350" t="s">
        <v>204</v>
      </c>
      <c r="C187" s="350">
        <v>2015</v>
      </c>
      <c r="D187" s="350" t="s">
        <v>65</v>
      </c>
      <c r="E187" s="350">
        <v>53000</v>
      </c>
      <c r="F187" s="353" t="s">
        <v>72</v>
      </c>
      <c r="G187" s="353">
        <v>191</v>
      </c>
    </row>
    <row r="188" spans="1:7" x14ac:dyDescent="0.3">
      <c r="A188" s="350" t="s">
        <v>147</v>
      </c>
      <c r="B188" s="350" t="s">
        <v>204</v>
      </c>
      <c r="C188" s="350">
        <v>2014</v>
      </c>
      <c r="D188" s="350" t="s">
        <v>65</v>
      </c>
      <c r="E188" s="350">
        <v>53000</v>
      </c>
      <c r="F188" s="353" t="s">
        <v>72</v>
      </c>
      <c r="G188" s="353">
        <v>3</v>
      </c>
    </row>
    <row r="189" spans="1:7" x14ac:dyDescent="0.3">
      <c r="A189" s="350" t="s">
        <v>147</v>
      </c>
      <c r="B189" s="350" t="s">
        <v>222</v>
      </c>
      <c r="C189" s="350">
        <v>2021</v>
      </c>
      <c r="D189" s="350" t="s">
        <v>65</v>
      </c>
      <c r="E189" s="350">
        <v>51900</v>
      </c>
      <c r="F189" s="353" t="s">
        <v>66</v>
      </c>
      <c r="G189" s="353">
        <v>2</v>
      </c>
    </row>
    <row r="190" spans="1:7" x14ac:dyDescent="0.3">
      <c r="A190" s="350" t="s">
        <v>147</v>
      </c>
      <c r="B190" s="350" t="s">
        <v>222</v>
      </c>
      <c r="C190" s="350">
        <v>2016</v>
      </c>
      <c r="D190" s="350" t="s">
        <v>65</v>
      </c>
      <c r="E190" s="350">
        <v>51900</v>
      </c>
      <c r="F190" s="353" t="s">
        <v>66</v>
      </c>
      <c r="G190" s="353">
        <v>3</v>
      </c>
    </row>
    <row r="191" spans="1:7" x14ac:dyDescent="0.3">
      <c r="A191" s="350" t="s">
        <v>147</v>
      </c>
      <c r="B191" s="350" t="s">
        <v>222</v>
      </c>
      <c r="C191" s="350">
        <v>2015</v>
      </c>
      <c r="D191" s="350" t="s">
        <v>65</v>
      </c>
      <c r="E191" s="350">
        <v>51900</v>
      </c>
      <c r="F191" s="353" t="s">
        <v>66</v>
      </c>
      <c r="G191" s="353">
        <v>8</v>
      </c>
    </row>
    <row r="192" spans="1:7" x14ac:dyDescent="0.3">
      <c r="A192" s="350" t="s">
        <v>147</v>
      </c>
      <c r="B192" s="350" t="s">
        <v>222</v>
      </c>
      <c r="C192" s="350">
        <v>2014</v>
      </c>
      <c r="D192" s="350" t="s">
        <v>65</v>
      </c>
      <c r="E192" s="350">
        <v>51900</v>
      </c>
      <c r="F192" s="353" t="s">
        <v>66</v>
      </c>
      <c r="G192" s="353">
        <v>2</v>
      </c>
    </row>
    <row r="193" spans="1:7" x14ac:dyDescent="0.3">
      <c r="A193" s="354" t="s">
        <v>147</v>
      </c>
      <c r="B193" s="354" t="s">
        <v>62</v>
      </c>
      <c r="C193" s="354">
        <v>2021</v>
      </c>
      <c r="D193" s="354" t="s">
        <v>65</v>
      </c>
      <c r="E193" s="354">
        <v>50044</v>
      </c>
      <c r="F193" s="355" t="s">
        <v>66</v>
      </c>
      <c r="G193" s="355">
        <v>4</v>
      </c>
    </row>
    <row r="194" spans="1:7" x14ac:dyDescent="0.3">
      <c r="A194" s="354" t="s">
        <v>147</v>
      </c>
      <c r="B194" s="354" t="s">
        <v>62</v>
      </c>
      <c r="C194" s="354">
        <v>2020</v>
      </c>
      <c r="D194" s="354" t="s">
        <v>65</v>
      </c>
      <c r="E194" s="354">
        <v>50044</v>
      </c>
      <c r="F194" s="355" t="s">
        <v>66</v>
      </c>
      <c r="G194" s="355">
        <v>2</v>
      </c>
    </row>
    <row r="195" spans="1:7" x14ac:dyDescent="0.3">
      <c r="A195" s="354" t="s">
        <v>147</v>
      </c>
      <c r="B195" s="354" t="s">
        <v>62</v>
      </c>
      <c r="C195" s="354">
        <v>2019</v>
      </c>
      <c r="D195" s="354" t="s">
        <v>65</v>
      </c>
      <c r="E195" s="354">
        <v>50044</v>
      </c>
      <c r="F195" s="355" t="s">
        <v>66</v>
      </c>
      <c r="G195" s="355">
        <v>2</v>
      </c>
    </row>
    <row r="196" spans="1:7" x14ac:dyDescent="0.3">
      <c r="A196" s="354" t="s">
        <v>147</v>
      </c>
      <c r="B196" s="354" t="s">
        <v>62</v>
      </c>
      <c r="C196" s="354">
        <v>2016</v>
      </c>
      <c r="D196" s="354" t="s">
        <v>65</v>
      </c>
      <c r="E196" s="354">
        <v>50044</v>
      </c>
      <c r="F196" s="355" t="s">
        <v>66</v>
      </c>
      <c r="G196" s="355">
        <v>1</v>
      </c>
    </row>
    <row r="197" spans="1:7" x14ac:dyDescent="0.3">
      <c r="A197" s="354" t="s">
        <v>147</v>
      </c>
      <c r="B197" s="354" t="s">
        <v>62</v>
      </c>
      <c r="C197" s="354">
        <v>2015</v>
      </c>
      <c r="D197" s="354" t="s">
        <v>65</v>
      </c>
      <c r="E197" s="354">
        <v>50044</v>
      </c>
      <c r="F197" s="355" t="s">
        <v>66</v>
      </c>
      <c r="G197" s="355">
        <v>1</v>
      </c>
    </row>
    <row r="198" spans="1:7" x14ac:dyDescent="0.3">
      <c r="A198" s="350" t="s">
        <v>147</v>
      </c>
      <c r="B198" s="350" t="s">
        <v>203</v>
      </c>
      <c r="C198" s="350">
        <v>2021</v>
      </c>
      <c r="D198" s="350" t="s">
        <v>65</v>
      </c>
      <c r="E198" s="350">
        <v>48200</v>
      </c>
      <c r="F198" s="353" t="s">
        <v>72</v>
      </c>
      <c r="G198" s="353">
        <v>17</v>
      </c>
    </row>
    <row r="199" spans="1:7" x14ac:dyDescent="0.3">
      <c r="A199" s="350" t="s">
        <v>147</v>
      </c>
      <c r="B199" s="350" t="s">
        <v>203</v>
      </c>
      <c r="C199" s="350">
        <v>2020</v>
      </c>
      <c r="D199" s="350" t="s">
        <v>65</v>
      </c>
      <c r="E199" s="350">
        <v>48200</v>
      </c>
      <c r="F199" s="353" t="s">
        <v>72</v>
      </c>
      <c r="G199" s="353">
        <v>12</v>
      </c>
    </row>
    <row r="200" spans="1:7" x14ac:dyDescent="0.3">
      <c r="A200" s="350" t="s">
        <v>147</v>
      </c>
      <c r="B200" s="350" t="s">
        <v>203</v>
      </c>
      <c r="C200" s="350">
        <v>2019</v>
      </c>
      <c r="D200" s="350" t="s">
        <v>65</v>
      </c>
      <c r="E200" s="350">
        <v>48200</v>
      </c>
      <c r="F200" s="353" t="s">
        <v>72</v>
      </c>
      <c r="G200" s="353">
        <v>11</v>
      </c>
    </row>
    <row r="201" spans="1:7" x14ac:dyDescent="0.3">
      <c r="A201" s="350" t="s">
        <v>147</v>
      </c>
      <c r="B201" s="350" t="s">
        <v>203</v>
      </c>
      <c r="C201" s="350">
        <v>2018</v>
      </c>
      <c r="D201" s="350" t="s">
        <v>65</v>
      </c>
      <c r="E201" s="350">
        <v>48200</v>
      </c>
      <c r="F201" s="353" t="s">
        <v>72</v>
      </c>
      <c r="G201" s="353">
        <v>13</v>
      </c>
    </row>
    <row r="202" spans="1:7" x14ac:dyDescent="0.3">
      <c r="A202" s="350" t="s">
        <v>147</v>
      </c>
      <c r="B202" s="350" t="s">
        <v>203</v>
      </c>
      <c r="C202" s="350">
        <v>2017</v>
      </c>
      <c r="D202" s="350" t="s">
        <v>65</v>
      </c>
      <c r="E202" s="350">
        <v>48200</v>
      </c>
      <c r="F202" s="353" t="s">
        <v>72</v>
      </c>
      <c r="G202" s="353">
        <v>12</v>
      </c>
    </row>
    <row r="203" spans="1:7" x14ac:dyDescent="0.3">
      <c r="A203" s="350" t="s">
        <v>147</v>
      </c>
      <c r="B203" s="350" t="s">
        <v>203</v>
      </c>
      <c r="C203" s="350">
        <v>2016</v>
      </c>
      <c r="D203" s="350" t="s">
        <v>65</v>
      </c>
      <c r="E203" s="350">
        <v>48200</v>
      </c>
      <c r="F203" s="353" t="s">
        <v>72</v>
      </c>
      <c r="G203" s="353">
        <v>16</v>
      </c>
    </row>
    <row r="204" spans="1:7" x14ac:dyDescent="0.3">
      <c r="A204" s="350" t="s">
        <v>147</v>
      </c>
      <c r="B204" s="350" t="s">
        <v>203</v>
      </c>
      <c r="C204" s="350">
        <v>2015</v>
      </c>
      <c r="D204" s="350" t="s">
        <v>65</v>
      </c>
      <c r="E204" s="350">
        <v>48200</v>
      </c>
      <c r="F204" s="353" t="s">
        <v>72</v>
      </c>
      <c r="G204" s="353">
        <v>12</v>
      </c>
    </row>
    <row r="205" spans="1:7" x14ac:dyDescent="0.3">
      <c r="A205" s="350" t="s">
        <v>147</v>
      </c>
      <c r="B205" s="350" t="s">
        <v>203</v>
      </c>
      <c r="C205" s="350">
        <v>2014</v>
      </c>
      <c r="D205" s="350" t="s">
        <v>65</v>
      </c>
      <c r="E205" s="350">
        <v>48200</v>
      </c>
      <c r="F205" s="353" t="s">
        <v>72</v>
      </c>
      <c r="G205" s="353">
        <v>7</v>
      </c>
    </row>
    <row r="206" spans="1:7" x14ac:dyDescent="0.3">
      <c r="A206" s="350" t="s">
        <v>147</v>
      </c>
      <c r="B206" s="350" t="s">
        <v>224</v>
      </c>
      <c r="C206" s="350">
        <v>2021</v>
      </c>
      <c r="D206" s="350" t="s">
        <v>65</v>
      </c>
      <c r="E206" s="350">
        <v>45503</v>
      </c>
      <c r="F206" s="353" t="s">
        <v>72</v>
      </c>
      <c r="G206" s="353">
        <v>2</v>
      </c>
    </row>
    <row r="207" spans="1:7" x14ac:dyDescent="0.3">
      <c r="A207" s="350" t="s">
        <v>147</v>
      </c>
      <c r="B207" s="350" t="s">
        <v>224</v>
      </c>
      <c r="C207" s="350">
        <v>2020</v>
      </c>
      <c r="D207" s="350" t="s">
        <v>65</v>
      </c>
      <c r="E207" s="350">
        <v>45503</v>
      </c>
      <c r="F207" s="353" t="s">
        <v>72</v>
      </c>
      <c r="G207" s="353">
        <v>4</v>
      </c>
    </row>
    <row r="208" spans="1:7" x14ac:dyDescent="0.3">
      <c r="A208" s="350" t="s">
        <v>147</v>
      </c>
      <c r="B208" s="350" t="s">
        <v>224</v>
      </c>
      <c r="C208" s="350">
        <v>2019</v>
      </c>
      <c r="D208" s="350" t="s">
        <v>65</v>
      </c>
      <c r="E208" s="350">
        <v>45503</v>
      </c>
      <c r="F208" s="353" t="s">
        <v>72</v>
      </c>
      <c r="G208" s="353">
        <v>6</v>
      </c>
    </row>
    <row r="209" spans="1:7" x14ac:dyDescent="0.3">
      <c r="A209" s="350" t="s">
        <v>147</v>
      </c>
      <c r="B209" s="350" t="s">
        <v>224</v>
      </c>
      <c r="C209" s="350">
        <v>2018</v>
      </c>
      <c r="D209" s="350" t="s">
        <v>65</v>
      </c>
      <c r="E209" s="350">
        <v>45503</v>
      </c>
      <c r="F209" s="353" t="s">
        <v>72</v>
      </c>
      <c r="G209" s="353">
        <v>15</v>
      </c>
    </row>
    <row r="210" spans="1:7" x14ac:dyDescent="0.3">
      <c r="A210" s="350" t="s">
        <v>147</v>
      </c>
      <c r="B210" s="350" t="s">
        <v>224</v>
      </c>
      <c r="C210" s="350">
        <v>2017</v>
      </c>
      <c r="D210" s="350" t="s">
        <v>65</v>
      </c>
      <c r="E210" s="350">
        <v>45503</v>
      </c>
      <c r="F210" s="353" t="s">
        <v>72</v>
      </c>
      <c r="G210" s="353">
        <v>3</v>
      </c>
    </row>
    <row r="211" spans="1:7" x14ac:dyDescent="0.3">
      <c r="A211" s="350" t="s">
        <v>147</v>
      </c>
      <c r="B211" s="350" t="s">
        <v>224</v>
      </c>
      <c r="C211" s="350">
        <v>2016</v>
      </c>
      <c r="D211" s="350" t="s">
        <v>65</v>
      </c>
      <c r="E211" s="350">
        <v>45503</v>
      </c>
      <c r="F211" s="353" t="s">
        <v>72</v>
      </c>
      <c r="G211" s="353">
        <v>7</v>
      </c>
    </row>
    <row r="212" spans="1:7" x14ac:dyDescent="0.3">
      <c r="A212" s="350" t="s">
        <v>147</v>
      </c>
      <c r="B212" s="350" t="s">
        <v>224</v>
      </c>
      <c r="C212" s="350">
        <v>2015</v>
      </c>
      <c r="D212" s="350" t="s">
        <v>65</v>
      </c>
      <c r="E212" s="350">
        <v>45503</v>
      </c>
      <c r="F212" s="353" t="s">
        <v>72</v>
      </c>
      <c r="G212" s="353">
        <v>3</v>
      </c>
    </row>
    <row r="213" spans="1:7" x14ac:dyDescent="0.3">
      <c r="A213" s="350" t="s">
        <v>147</v>
      </c>
      <c r="B213" s="350" t="s">
        <v>213</v>
      </c>
      <c r="C213" s="350">
        <v>2021</v>
      </c>
      <c r="D213" s="350" t="s">
        <v>65</v>
      </c>
      <c r="E213" s="350">
        <v>44070</v>
      </c>
      <c r="F213" s="353" t="s">
        <v>72</v>
      </c>
      <c r="G213" s="353">
        <v>4</v>
      </c>
    </row>
    <row r="214" spans="1:7" x14ac:dyDescent="0.3">
      <c r="A214" s="350" t="s">
        <v>147</v>
      </c>
      <c r="B214" s="350" t="s">
        <v>213</v>
      </c>
      <c r="C214" s="350">
        <v>2020</v>
      </c>
      <c r="D214" s="350" t="s">
        <v>65</v>
      </c>
      <c r="E214" s="350">
        <v>44070</v>
      </c>
      <c r="F214" s="353" t="s">
        <v>72</v>
      </c>
      <c r="G214" s="353">
        <v>2</v>
      </c>
    </row>
    <row r="215" spans="1:7" x14ac:dyDescent="0.3">
      <c r="A215" s="350" t="s">
        <v>147</v>
      </c>
      <c r="B215" s="350" t="s">
        <v>213</v>
      </c>
      <c r="C215" s="350">
        <v>2019</v>
      </c>
      <c r="D215" s="350" t="s">
        <v>65</v>
      </c>
      <c r="E215" s="350">
        <v>44070</v>
      </c>
      <c r="F215" s="353" t="s">
        <v>72</v>
      </c>
      <c r="G215" s="353">
        <v>3</v>
      </c>
    </row>
    <row r="216" spans="1:7" x14ac:dyDescent="0.3">
      <c r="A216" s="350" t="s">
        <v>147</v>
      </c>
      <c r="B216" s="350" t="s">
        <v>213</v>
      </c>
      <c r="C216" s="350">
        <v>2018</v>
      </c>
      <c r="D216" s="350" t="s">
        <v>65</v>
      </c>
      <c r="E216" s="350">
        <v>44070</v>
      </c>
      <c r="F216" s="353" t="s">
        <v>72</v>
      </c>
      <c r="G216" s="353">
        <v>7</v>
      </c>
    </row>
    <row r="217" spans="1:7" x14ac:dyDescent="0.3">
      <c r="A217" s="350" t="s">
        <v>147</v>
      </c>
      <c r="B217" s="350" t="s">
        <v>213</v>
      </c>
      <c r="C217" s="350">
        <v>2017</v>
      </c>
      <c r="D217" s="350" t="s">
        <v>65</v>
      </c>
      <c r="E217" s="350">
        <v>44070</v>
      </c>
      <c r="F217" s="353" t="s">
        <v>72</v>
      </c>
      <c r="G217" s="353">
        <v>2</v>
      </c>
    </row>
    <row r="218" spans="1:7" x14ac:dyDescent="0.3">
      <c r="A218" s="350" t="s">
        <v>147</v>
      </c>
      <c r="B218" s="350" t="s">
        <v>213</v>
      </c>
      <c r="C218" s="350">
        <v>2016</v>
      </c>
      <c r="D218" s="350" t="s">
        <v>65</v>
      </c>
      <c r="E218" s="350">
        <v>44070</v>
      </c>
      <c r="F218" s="353" t="s">
        <v>72</v>
      </c>
      <c r="G218" s="353">
        <v>3</v>
      </c>
    </row>
    <row r="219" spans="1:7" x14ac:dyDescent="0.3">
      <c r="A219" s="350" t="s">
        <v>147</v>
      </c>
      <c r="B219" s="350" t="s">
        <v>213</v>
      </c>
      <c r="C219" s="350">
        <v>2014</v>
      </c>
      <c r="D219" s="350" t="s">
        <v>65</v>
      </c>
      <c r="E219" s="350">
        <v>44070</v>
      </c>
      <c r="F219" s="353" t="s">
        <v>72</v>
      </c>
      <c r="G219" s="353">
        <v>1</v>
      </c>
    </row>
    <row r="220" spans="1:7" x14ac:dyDescent="0.3">
      <c r="A220" s="350" t="s">
        <v>147</v>
      </c>
      <c r="B220" s="350" t="s">
        <v>197</v>
      </c>
      <c r="C220" s="350">
        <v>2021</v>
      </c>
      <c r="D220" s="350" t="s">
        <v>65</v>
      </c>
      <c r="E220" s="350">
        <v>42300</v>
      </c>
      <c r="F220" s="353" t="s">
        <v>66</v>
      </c>
      <c r="G220" s="353">
        <v>11</v>
      </c>
    </row>
    <row r="221" spans="1:7" x14ac:dyDescent="0.3">
      <c r="A221" s="350" t="s">
        <v>147</v>
      </c>
      <c r="B221" s="350" t="s">
        <v>197</v>
      </c>
      <c r="C221" s="350">
        <v>2020</v>
      </c>
      <c r="D221" s="350" t="s">
        <v>65</v>
      </c>
      <c r="E221" s="350">
        <v>42300</v>
      </c>
      <c r="F221" s="353" t="s">
        <v>66</v>
      </c>
      <c r="G221" s="353">
        <v>11</v>
      </c>
    </row>
    <row r="222" spans="1:7" x14ac:dyDescent="0.3">
      <c r="A222" s="350" t="s">
        <v>147</v>
      </c>
      <c r="B222" s="350" t="s">
        <v>197</v>
      </c>
      <c r="C222" s="350">
        <v>2018</v>
      </c>
      <c r="D222" s="350" t="s">
        <v>65</v>
      </c>
      <c r="E222" s="350">
        <v>42300</v>
      </c>
      <c r="F222" s="353" t="s">
        <v>66</v>
      </c>
      <c r="G222" s="353">
        <v>2</v>
      </c>
    </row>
    <row r="223" spans="1:7" x14ac:dyDescent="0.3">
      <c r="A223" s="350" t="s">
        <v>147</v>
      </c>
      <c r="B223" s="350" t="s">
        <v>202</v>
      </c>
      <c r="C223" s="350">
        <v>2021</v>
      </c>
      <c r="D223" s="350" t="s">
        <v>65</v>
      </c>
      <c r="E223" s="350">
        <v>40600</v>
      </c>
      <c r="F223" s="353" t="s">
        <v>72</v>
      </c>
      <c r="G223" s="353">
        <v>11</v>
      </c>
    </row>
    <row r="224" spans="1:7" x14ac:dyDescent="0.3">
      <c r="A224" s="350" t="s">
        <v>147</v>
      </c>
      <c r="B224" s="350" t="s">
        <v>202</v>
      </c>
      <c r="C224" s="350">
        <v>2020</v>
      </c>
      <c r="D224" s="350" t="s">
        <v>65</v>
      </c>
      <c r="E224" s="350">
        <v>40600</v>
      </c>
      <c r="F224" s="353" t="s">
        <v>72</v>
      </c>
      <c r="G224" s="353">
        <v>19</v>
      </c>
    </row>
    <row r="225" spans="1:7" x14ac:dyDescent="0.3">
      <c r="A225" s="350" t="s">
        <v>147</v>
      </c>
      <c r="B225" s="350" t="s">
        <v>202</v>
      </c>
      <c r="C225" s="350">
        <v>2019</v>
      </c>
      <c r="D225" s="350" t="s">
        <v>65</v>
      </c>
      <c r="E225" s="350">
        <v>40600</v>
      </c>
      <c r="F225" s="353" t="s">
        <v>72</v>
      </c>
      <c r="G225" s="353">
        <v>19</v>
      </c>
    </row>
    <row r="226" spans="1:7" x14ac:dyDescent="0.3">
      <c r="A226" s="350" t="s">
        <v>147</v>
      </c>
      <c r="B226" s="350" t="s">
        <v>202</v>
      </c>
      <c r="C226" s="350">
        <v>2018</v>
      </c>
      <c r="D226" s="350" t="s">
        <v>65</v>
      </c>
      <c r="E226" s="350">
        <v>40600</v>
      </c>
      <c r="F226" s="353" t="s">
        <v>72</v>
      </c>
      <c r="G226" s="353">
        <v>10</v>
      </c>
    </row>
    <row r="227" spans="1:7" x14ac:dyDescent="0.3">
      <c r="A227" s="350" t="s">
        <v>147</v>
      </c>
      <c r="B227" s="350" t="s">
        <v>202</v>
      </c>
      <c r="C227" s="350">
        <v>2017</v>
      </c>
      <c r="D227" s="350" t="s">
        <v>65</v>
      </c>
      <c r="E227" s="350">
        <v>40600</v>
      </c>
      <c r="F227" s="353" t="s">
        <v>72</v>
      </c>
      <c r="G227" s="353">
        <v>8</v>
      </c>
    </row>
    <row r="228" spans="1:7" x14ac:dyDescent="0.3">
      <c r="A228" s="350" t="s">
        <v>147</v>
      </c>
      <c r="B228" s="350" t="s">
        <v>202</v>
      </c>
      <c r="C228" s="350">
        <v>2016</v>
      </c>
      <c r="D228" s="350" t="s">
        <v>65</v>
      </c>
      <c r="E228" s="350">
        <v>40600</v>
      </c>
      <c r="F228" s="353" t="s">
        <v>72</v>
      </c>
      <c r="G228" s="353">
        <v>4</v>
      </c>
    </row>
    <row r="229" spans="1:7" x14ac:dyDescent="0.3">
      <c r="A229" s="350" t="s">
        <v>147</v>
      </c>
      <c r="B229" s="350" t="s">
        <v>117</v>
      </c>
      <c r="C229" s="350">
        <v>2021</v>
      </c>
      <c r="D229" s="350" t="s">
        <v>65</v>
      </c>
      <c r="E229" s="350">
        <v>39595</v>
      </c>
      <c r="F229" s="353" t="s">
        <v>66</v>
      </c>
      <c r="G229" s="353">
        <v>27</v>
      </c>
    </row>
    <row r="230" spans="1:7" x14ac:dyDescent="0.3">
      <c r="A230" s="350" t="s">
        <v>147</v>
      </c>
      <c r="B230" s="350" t="s">
        <v>117</v>
      </c>
      <c r="C230" s="350">
        <v>2020</v>
      </c>
      <c r="D230" s="350" t="s">
        <v>65</v>
      </c>
      <c r="E230" s="350">
        <v>39595</v>
      </c>
      <c r="F230" s="353" t="s">
        <v>66</v>
      </c>
      <c r="G230" s="353">
        <v>32</v>
      </c>
    </row>
    <row r="231" spans="1:7" x14ac:dyDescent="0.3">
      <c r="A231" s="350" t="s">
        <v>147</v>
      </c>
      <c r="B231" s="350" t="s">
        <v>117</v>
      </c>
      <c r="C231" s="350">
        <v>2019</v>
      </c>
      <c r="D231" s="350" t="s">
        <v>65</v>
      </c>
      <c r="E231" s="350">
        <v>39595</v>
      </c>
      <c r="F231" s="353" t="s">
        <v>66</v>
      </c>
      <c r="G231" s="353">
        <v>33</v>
      </c>
    </row>
    <row r="232" spans="1:7" x14ac:dyDescent="0.3">
      <c r="A232" s="350" t="s">
        <v>147</v>
      </c>
      <c r="B232" s="350" t="s">
        <v>117</v>
      </c>
      <c r="C232" s="350">
        <v>2018</v>
      </c>
      <c r="D232" s="350" t="s">
        <v>65</v>
      </c>
      <c r="E232" s="350">
        <v>39595</v>
      </c>
      <c r="F232" s="353" t="s">
        <v>66</v>
      </c>
      <c r="G232" s="353">
        <v>44</v>
      </c>
    </row>
    <row r="233" spans="1:7" x14ac:dyDescent="0.3">
      <c r="A233" s="350" t="s">
        <v>147</v>
      </c>
      <c r="B233" s="350" t="s">
        <v>117</v>
      </c>
      <c r="C233" s="350">
        <v>2017</v>
      </c>
      <c r="D233" s="350" t="s">
        <v>65</v>
      </c>
      <c r="E233" s="350">
        <v>39595</v>
      </c>
      <c r="F233" s="353" t="s">
        <v>66</v>
      </c>
      <c r="G233" s="353">
        <v>43</v>
      </c>
    </row>
    <row r="234" spans="1:7" x14ac:dyDescent="0.3">
      <c r="A234" s="350" t="s">
        <v>147</v>
      </c>
      <c r="B234" s="350" t="s">
        <v>117</v>
      </c>
      <c r="C234" s="350">
        <v>2016</v>
      </c>
      <c r="D234" s="350" t="s">
        <v>65</v>
      </c>
      <c r="E234" s="350">
        <v>39595</v>
      </c>
      <c r="F234" s="353" t="s">
        <v>66</v>
      </c>
      <c r="G234" s="353">
        <v>51</v>
      </c>
    </row>
    <row r="235" spans="1:7" x14ac:dyDescent="0.3">
      <c r="A235" s="350" t="s">
        <v>147</v>
      </c>
      <c r="B235" s="350" t="s">
        <v>117</v>
      </c>
      <c r="C235" s="350">
        <v>2015</v>
      </c>
      <c r="D235" s="350" t="s">
        <v>65</v>
      </c>
      <c r="E235" s="350">
        <v>39595</v>
      </c>
      <c r="F235" s="353" t="s">
        <v>66</v>
      </c>
      <c r="G235" s="353">
        <v>35</v>
      </c>
    </row>
    <row r="236" spans="1:7" x14ac:dyDescent="0.3">
      <c r="A236" s="350" t="s">
        <v>147</v>
      </c>
      <c r="B236" s="350" t="s">
        <v>117</v>
      </c>
      <c r="C236" s="350">
        <v>2014</v>
      </c>
      <c r="D236" s="350" t="s">
        <v>65</v>
      </c>
      <c r="E236" s="350">
        <v>39595</v>
      </c>
      <c r="F236" s="353" t="s">
        <v>66</v>
      </c>
      <c r="G236" s="353">
        <v>20</v>
      </c>
    </row>
    <row r="237" spans="1:7" x14ac:dyDescent="0.3">
      <c r="A237" s="350" t="s">
        <v>147</v>
      </c>
      <c r="B237" s="350" t="s">
        <v>235</v>
      </c>
      <c r="C237" s="350">
        <v>2019</v>
      </c>
      <c r="D237" s="350" t="s">
        <v>65</v>
      </c>
      <c r="E237" s="350">
        <v>39500</v>
      </c>
      <c r="F237" s="353" t="s">
        <v>72</v>
      </c>
      <c r="G237" s="353">
        <v>2</v>
      </c>
    </row>
    <row r="238" spans="1:7" x14ac:dyDescent="0.3">
      <c r="A238" s="350" t="s">
        <v>147</v>
      </c>
      <c r="B238" s="350" t="s">
        <v>235</v>
      </c>
      <c r="C238" s="350">
        <v>2018</v>
      </c>
      <c r="D238" s="350" t="s">
        <v>65</v>
      </c>
      <c r="E238" s="350">
        <v>39500</v>
      </c>
      <c r="F238" s="353" t="s">
        <v>72</v>
      </c>
      <c r="G238" s="353">
        <v>3</v>
      </c>
    </row>
    <row r="239" spans="1:7" x14ac:dyDescent="0.3">
      <c r="A239" s="350" t="s">
        <v>147</v>
      </c>
      <c r="B239" s="350" t="s">
        <v>226</v>
      </c>
      <c r="C239" s="350">
        <v>2021</v>
      </c>
      <c r="D239" s="350" t="s">
        <v>65</v>
      </c>
      <c r="E239" s="350">
        <v>38801</v>
      </c>
      <c r="F239" s="353" t="s">
        <v>66</v>
      </c>
      <c r="G239" s="353">
        <v>5</v>
      </c>
    </row>
    <row r="240" spans="1:7" x14ac:dyDescent="0.3">
      <c r="A240" s="350" t="s">
        <v>147</v>
      </c>
      <c r="B240" s="350" t="s">
        <v>226</v>
      </c>
      <c r="C240" s="350">
        <v>2020</v>
      </c>
      <c r="D240" s="350" t="s">
        <v>65</v>
      </c>
      <c r="E240" s="350">
        <v>38801</v>
      </c>
      <c r="F240" s="353" t="s">
        <v>66</v>
      </c>
      <c r="G240" s="353">
        <v>3</v>
      </c>
    </row>
    <row r="241" spans="1:7" x14ac:dyDescent="0.3">
      <c r="A241" s="350" t="s">
        <v>147</v>
      </c>
      <c r="B241" s="350" t="s">
        <v>226</v>
      </c>
      <c r="C241" s="350">
        <v>2019</v>
      </c>
      <c r="D241" s="350" t="s">
        <v>65</v>
      </c>
      <c r="E241" s="350">
        <v>38801</v>
      </c>
      <c r="F241" s="353" t="s">
        <v>66</v>
      </c>
      <c r="G241" s="353">
        <v>3</v>
      </c>
    </row>
    <row r="242" spans="1:7" x14ac:dyDescent="0.3">
      <c r="A242" s="350" t="s">
        <v>147</v>
      </c>
      <c r="B242" s="350" t="s">
        <v>226</v>
      </c>
      <c r="C242" s="350">
        <v>2018</v>
      </c>
      <c r="D242" s="350" t="s">
        <v>65</v>
      </c>
      <c r="E242" s="350">
        <v>38801</v>
      </c>
      <c r="F242" s="353" t="s">
        <v>66</v>
      </c>
      <c r="G242" s="353">
        <v>1</v>
      </c>
    </row>
    <row r="243" spans="1:7" x14ac:dyDescent="0.3">
      <c r="A243" s="350" t="s">
        <v>147</v>
      </c>
      <c r="B243" s="350" t="s">
        <v>226</v>
      </c>
      <c r="C243" s="350">
        <v>2017</v>
      </c>
      <c r="D243" s="350" t="s">
        <v>65</v>
      </c>
      <c r="E243" s="350">
        <v>38801</v>
      </c>
      <c r="F243" s="353" t="s">
        <v>66</v>
      </c>
      <c r="G243" s="353">
        <v>1</v>
      </c>
    </row>
    <row r="244" spans="1:7" x14ac:dyDescent="0.3">
      <c r="A244" s="350" t="s">
        <v>147</v>
      </c>
      <c r="B244" s="350" t="s">
        <v>226</v>
      </c>
      <c r="C244" s="350">
        <v>2016</v>
      </c>
      <c r="D244" s="350" t="s">
        <v>65</v>
      </c>
      <c r="E244" s="350">
        <v>38801</v>
      </c>
      <c r="F244" s="353" t="s">
        <v>66</v>
      </c>
      <c r="G244" s="353">
        <v>5</v>
      </c>
    </row>
    <row r="245" spans="1:7" x14ac:dyDescent="0.3">
      <c r="A245" s="350" t="s">
        <v>147</v>
      </c>
      <c r="B245" s="350" t="s">
        <v>226</v>
      </c>
      <c r="C245" s="350">
        <v>2015</v>
      </c>
      <c r="D245" s="350" t="s">
        <v>65</v>
      </c>
      <c r="E245" s="350">
        <v>38801</v>
      </c>
      <c r="F245" s="353" t="s">
        <v>66</v>
      </c>
      <c r="G245" s="353">
        <v>1</v>
      </c>
    </row>
    <row r="246" spans="1:7" x14ac:dyDescent="0.3">
      <c r="A246" s="350" t="s">
        <v>147</v>
      </c>
      <c r="B246" s="350" t="s">
        <v>226</v>
      </c>
      <c r="C246" s="350">
        <v>2014</v>
      </c>
      <c r="D246" s="350" t="s">
        <v>65</v>
      </c>
      <c r="E246" s="350">
        <v>38801</v>
      </c>
      <c r="F246" s="353" t="s">
        <v>66</v>
      </c>
      <c r="G246" s="353">
        <v>1</v>
      </c>
    </row>
    <row r="247" spans="1:7" x14ac:dyDescent="0.3">
      <c r="A247" s="350" t="s">
        <v>147</v>
      </c>
      <c r="B247" s="350" t="s">
        <v>108</v>
      </c>
      <c r="C247" s="350">
        <v>2021</v>
      </c>
      <c r="D247" s="350" t="s">
        <v>65</v>
      </c>
      <c r="E247" s="350">
        <v>37478</v>
      </c>
      <c r="F247" s="353" t="s">
        <v>72</v>
      </c>
      <c r="G247" s="353">
        <v>9</v>
      </c>
    </row>
    <row r="248" spans="1:7" x14ac:dyDescent="0.3">
      <c r="A248" s="350" t="s">
        <v>147</v>
      </c>
      <c r="B248" s="350" t="s">
        <v>108</v>
      </c>
      <c r="C248" s="350">
        <v>2020</v>
      </c>
      <c r="D248" s="350" t="s">
        <v>65</v>
      </c>
      <c r="E248" s="350">
        <v>37478</v>
      </c>
      <c r="F248" s="353" t="s">
        <v>72</v>
      </c>
      <c r="G248" s="353">
        <v>10</v>
      </c>
    </row>
    <row r="249" spans="1:7" x14ac:dyDescent="0.3">
      <c r="A249" s="350" t="s">
        <v>147</v>
      </c>
      <c r="B249" s="350" t="s">
        <v>108</v>
      </c>
      <c r="C249" s="350">
        <v>2019</v>
      </c>
      <c r="D249" s="350" t="s">
        <v>65</v>
      </c>
      <c r="E249" s="350">
        <v>37478</v>
      </c>
      <c r="F249" s="353" t="s">
        <v>72</v>
      </c>
      <c r="G249" s="353">
        <v>7</v>
      </c>
    </row>
    <row r="250" spans="1:7" x14ac:dyDescent="0.3">
      <c r="A250" s="350" t="s">
        <v>147</v>
      </c>
      <c r="B250" s="350" t="s">
        <v>108</v>
      </c>
      <c r="C250" s="350">
        <v>2018</v>
      </c>
      <c r="D250" s="350" t="s">
        <v>65</v>
      </c>
      <c r="E250" s="350">
        <v>37478</v>
      </c>
      <c r="F250" s="353" t="s">
        <v>72</v>
      </c>
      <c r="G250" s="353">
        <v>5</v>
      </c>
    </row>
    <row r="251" spans="1:7" x14ac:dyDescent="0.3">
      <c r="A251" s="350" t="s">
        <v>147</v>
      </c>
      <c r="B251" s="350" t="s">
        <v>108</v>
      </c>
      <c r="C251" s="350">
        <v>2017</v>
      </c>
      <c r="D251" s="350" t="s">
        <v>65</v>
      </c>
      <c r="E251" s="350">
        <v>37478</v>
      </c>
      <c r="F251" s="353" t="s">
        <v>72</v>
      </c>
      <c r="G251" s="353">
        <v>3</v>
      </c>
    </row>
    <row r="252" spans="1:7" x14ac:dyDescent="0.3">
      <c r="A252" s="350" t="s">
        <v>147</v>
      </c>
      <c r="B252" s="350" t="s">
        <v>108</v>
      </c>
      <c r="C252" s="350">
        <v>2016</v>
      </c>
      <c r="D252" s="350" t="s">
        <v>65</v>
      </c>
      <c r="E252" s="350">
        <v>37478</v>
      </c>
      <c r="F252" s="353" t="s">
        <v>72</v>
      </c>
      <c r="G252" s="353">
        <v>12</v>
      </c>
    </row>
    <row r="253" spans="1:7" x14ac:dyDescent="0.3">
      <c r="A253" s="350" t="s">
        <v>147</v>
      </c>
      <c r="B253" s="350" t="s">
        <v>108</v>
      </c>
      <c r="C253" s="350">
        <v>2015</v>
      </c>
      <c r="D253" s="350" t="s">
        <v>65</v>
      </c>
      <c r="E253" s="350">
        <v>37478</v>
      </c>
      <c r="F253" s="353" t="s">
        <v>72</v>
      </c>
      <c r="G253" s="353">
        <v>11</v>
      </c>
    </row>
    <row r="254" spans="1:7" x14ac:dyDescent="0.3">
      <c r="A254" s="350" t="s">
        <v>147</v>
      </c>
      <c r="B254" s="350" t="s">
        <v>108</v>
      </c>
      <c r="C254" s="350">
        <v>2014</v>
      </c>
      <c r="D254" s="350" t="s">
        <v>65</v>
      </c>
      <c r="E254" s="350">
        <v>37478</v>
      </c>
      <c r="F254" s="353" t="s">
        <v>72</v>
      </c>
      <c r="G254" s="353">
        <v>5</v>
      </c>
    </row>
    <row r="255" spans="1:7" x14ac:dyDescent="0.3">
      <c r="A255" s="350" t="s">
        <v>147</v>
      </c>
      <c r="B255" s="350" t="s">
        <v>200</v>
      </c>
      <c r="C255" s="350">
        <v>2021</v>
      </c>
      <c r="D255" s="350" t="s">
        <v>65</v>
      </c>
      <c r="E255" s="350">
        <v>35699</v>
      </c>
      <c r="F255" s="353" t="s">
        <v>66</v>
      </c>
      <c r="G255" s="353">
        <v>9</v>
      </c>
    </row>
    <row r="256" spans="1:7" x14ac:dyDescent="0.3">
      <c r="A256" s="350" t="s">
        <v>147</v>
      </c>
      <c r="B256" s="350" t="s">
        <v>200</v>
      </c>
      <c r="C256" s="350">
        <v>2020</v>
      </c>
      <c r="D256" s="350" t="s">
        <v>65</v>
      </c>
      <c r="E256" s="350">
        <v>35699</v>
      </c>
      <c r="F256" s="353" t="s">
        <v>66</v>
      </c>
      <c r="G256" s="353">
        <v>3</v>
      </c>
    </row>
    <row r="257" spans="1:7" x14ac:dyDescent="0.3">
      <c r="A257" s="350" t="s">
        <v>147</v>
      </c>
      <c r="B257" s="350" t="s">
        <v>200</v>
      </c>
      <c r="C257" s="350">
        <v>2019</v>
      </c>
      <c r="D257" s="350" t="s">
        <v>65</v>
      </c>
      <c r="E257" s="350">
        <v>35699</v>
      </c>
      <c r="F257" s="353" t="s">
        <v>66</v>
      </c>
      <c r="G257" s="353">
        <v>9</v>
      </c>
    </row>
    <row r="258" spans="1:7" x14ac:dyDescent="0.3">
      <c r="A258" s="350" t="s">
        <v>147</v>
      </c>
      <c r="B258" s="350" t="s">
        <v>200</v>
      </c>
      <c r="C258" s="350">
        <v>2018</v>
      </c>
      <c r="D258" s="350" t="s">
        <v>65</v>
      </c>
      <c r="E258" s="350">
        <v>35699</v>
      </c>
      <c r="F258" s="353" t="s">
        <v>66</v>
      </c>
      <c r="G258" s="353">
        <v>14</v>
      </c>
    </row>
    <row r="259" spans="1:7" x14ac:dyDescent="0.3">
      <c r="A259" s="350" t="s">
        <v>147</v>
      </c>
      <c r="B259" s="350" t="s">
        <v>200</v>
      </c>
      <c r="C259" s="350">
        <v>2017</v>
      </c>
      <c r="D259" s="350" t="s">
        <v>65</v>
      </c>
      <c r="E259" s="350">
        <v>35699</v>
      </c>
      <c r="F259" s="353" t="s">
        <v>66</v>
      </c>
      <c r="G259" s="353">
        <v>26</v>
      </c>
    </row>
    <row r="260" spans="1:7" x14ac:dyDescent="0.3">
      <c r="A260" s="350" t="s">
        <v>147</v>
      </c>
      <c r="B260" s="350" t="s">
        <v>200</v>
      </c>
      <c r="C260" s="350">
        <v>2016</v>
      </c>
      <c r="D260" s="350" t="s">
        <v>65</v>
      </c>
      <c r="E260" s="350">
        <v>35699</v>
      </c>
      <c r="F260" s="353" t="s">
        <v>66</v>
      </c>
      <c r="G260" s="353">
        <v>22</v>
      </c>
    </row>
    <row r="261" spans="1:7" x14ac:dyDescent="0.3">
      <c r="A261" s="350" t="s">
        <v>147</v>
      </c>
      <c r="B261" s="350" t="s">
        <v>200</v>
      </c>
      <c r="C261" s="350">
        <v>2015</v>
      </c>
      <c r="D261" s="350" t="s">
        <v>65</v>
      </c>
      <c r="E261" s="350">
        <v>35699</v>
      </c>
      <c r="F261" s="353" t="s">
        <v>66</v>
      </c>
      <c r="G261" s="353">
        <v>34</v>
      </c>
    </row>
    <row r="262" spans="1:7" x14ac:dyDescent="0.3">
      <c r="A262" s="350" t="s">
        <v>147</v>
      </c>
      <c r="B262" s="350" t="s">
        <v>200</v>
      </c>
      <c r="C262" s="350">
        <v>2014</v>
      </c>
      <c r="D262" s="350" t="s">
        <v>65</v>
      </c>
      <c r="E262" s="350">
        <v>35699</v>
      </c>
      <c r="F262" s="353" t="s">
        <v>66</v>
      </c>
      <c r="G262" s="353">
        <v>15</v>
      </c>
    </row>
    <row r="263" spans="1:7" x14ac:dyDescent="0.3">
      <c r="A263" s="354" t="s">
        <v>147</v>
      </c>
      <c r="B263" s="354" t="s">
        <v>156</v>
      </c>
      <c r="C263" s="354">
        <v>2021</v>
      </c>
      <c r="D263" s="354" t="s">
        <v>65</v>
      </c>
      <c r="E263" s="354">
        <v>35650</v>
      </c>
      <c r="F263" s="355" t="s">
        <v>72</v>
      </c>
      <c r="G263" s="355">
        <v>1</v>
      </c>
    </row>
    <row r="264" spans="1:7" x14ac:dyDescent="0.3">
      <c r="A264" s="354" t="s">
        <v>147</v>
      </c>
      <c r="B264" s="354" t="s">
        <v>156</v>
      </c>
      <c r="C264" s="354">
        <v>2020</v>
      </c>
      <c r="D264" s="354" t="s">
        <v>65</v>
      </c>
      <c r="E264" s="354">
        <v>35650</v>
      </c>
      <c r="F264" s="355" t="s">
        <v>72</v>
      </c>
      <c r="G264" s="355">
        <v>6</v>
      </c>
    </row>
    <row r="265" spans="1:7" x14ac:dyDescent="0.3">
      <c r="A265" s="354" t="s">
        <v>147</v>
      </c>
      <c r="B265" s="354" t="s">
        <v>156</v>
      </c>
      <c r="C265" s="354">
        <v>2019</v>
      </c>
      <c r="D265" s="354" t="s">
        <v>65</v>
      </c>
      <c r="E265" s="354">
        <v>35650</v>
      </c>
      <c r="F265" s="355" t="s">
        <v>72</v>
      </c>
      <c r="G265" s="355">
        <v>5</v>
      </c>
    </row>
    <row r="266" spans="1:7" x14ac:dyDescent="0.3">
      <c r="A266" s="354" t="s">
        <v>147</v>
      </c>
      <c r="B266" s="354" t="s">
        <v>156</v>
      </c>
      <c r="C266" s="354">
        <v>2018</v>
      </c>
      <c r="D266" s="354" t="s">
        <v>65</v>
      </c>
      <c r="E266" s="354">
        <v>35650</v>
      </c>
      <c r="F266" s="355" t="s">
        <v>72</v>
      </c>
      <c r="G266" s="355">
        <v>5</v>
      </c>
    </row>
    <row r="267" spans="1:7" x14ac:dyDescent="0.3">
      <c r="A267" s="354" t="s">
        <v>147</v>
      </c>
      <c r="B267" s="354" t="s">
        <v>156</v>
      </c>
      <c r="C267" s="354">
        <v>2017</v>
      </c>
      <c r="D267" s="354" t="s">
        <v>65</v>
      </c>
      <c r="E267" s="354">
        <v>35650</v>
      </c>
      <c r="F267" s="355" t="s">
        <v>72</v>
      </c>
      <c r="G267" s="355">
        <v>3</v>
      </c>
    </row>
    <row r="268" spans="1:7" x14ac:dyDescent="0.3">
      <c r="A268" s="354" t="s">
        <v>147</v>
      </c>
      <c r="B268" s="354" t="s">
        <v>156</v>
      </c>
      <c r="C268" s="354">
        <v>2016</v>
      </c>
      <c r="D268" s="354" t="s">
        <v>65</v>
      </c>
      <c r="E268" s="354">
        <v>35650</v>
      </c>
      <c r="F268" s="355" t="s">
        <v>72</v>
      </c>
      <c r="G268" s="355">
        <v>3</v>
      </c>
    </row>
    <row r="269" spans="1:7" x14ac:dyDescent="0.3">
      <c r="A269" s="354" t="s">
        <v>147</v>
      </c>
      <c r="B269" s="354" t="s">
        <v>156</v>
      </c>
      <c r="C269" s="354">
        <v>2015</v>
      </c>
      <c r="D269" s="354" t="s">
        <v>65</v>
      </c>
      <c r="E269" s="354">
        <v>35650</v>
      </c>
      <c r="F269" s="355" t="s">
        <v>72</v>
      </c>
      <c r="G269" s="355">
        <v>2</v>
      </c>
    </row>
    <row r="270" spans="1:7" x14ac:dyDescent="0.3">
      <c r="A270" s="350" t="s">
        <v>147</v>
      </c>
      <c r="B270" s="350" t="s">
        <v>119</v>
      </c>
      <c r="C270" s="350">
        <v>2021</v>
      </c>
      <c r="D270" s="350" t="s">
        <v>65</v>
      </c>
      <c r="E270" s="350">
        <v>34833</v>
      </c>
      <c r="F270" s="353" t="s">
        <v>72</v>
      </c>
      <c r="G270" s="353">
        <v>8</v>
      </c>
    </row>
    <row r="271" spans="1:7" x14ac:dyDescent="0.3">
      <c r="A271" s="350" t="s">
        <v>147</v>
      </c>
      <c r="B271" s="350" t="s">
        <v>119</v>
      </c>
      <c r="C271" s="350">
        <v>2020</v>
      </c>
      <c r="D271" s="350" t="s">
        <v>65</v>
      </c>
      <c r="E271" s="350">
        <v>34833</v>
      </c>
      <c r="F271" s="353" t="s">
        <v>72</v>
      </c>
      <c r="G271" s="353">
        <v>11</v>
      </c>
    </row>
    <row r="272" spans="1:7" x14ac:dyDescent="0.3">
      <c r="A272" s="350" t="s">
        <v>147</v>
      </c>
      <c r="B272" s="350" t="s">
        <v>119</v>
      </c>
      <c r="C272" s="350">
        <v>2019</v>
      </c>
      <c r="D272" s="350" t="s">
        <v>65</v>
      </c>
      <c r="E272" s="350">
        <v>34833</v>
      </c>
      <c r="F272" s="353" t="s">
        <v>72</v>
      </c>
      <c r="G272" s="353">
        <v>5</v>
      </c>
    </row>
    <row r="273" spans="1:7" x14ac:dyDescent="0.3">
      <c r="A273" s="350" t="s">
        <v>147</v>
      </c>
      <c r="B273" s="350" t="s">
        <v>119</v>
      </c>
      <c r="C273" s="350">
        <v>2018</v>
      </c>
      <c r="D273" s="350" t="s">
        <v>65</v>
      </c>
      <c r="E273" s="350">
        <v>34833</v>
      </c>
      <c r="F273" s="353" t="s">
        <v>72</v>
      </c>
      <c r="G273" s="353">
        <v>18</v>
      </c>
    </row>
    <row r="274" spans="1:7" x14ac:dyDescent="0.3">
      <c r="A274" s="350" t="s">
        <v>147</v>
      </c>
      <c r="B274" s="350" t="s">
        <v>119</v>
      </c>
      <c r="C274" s="350">
        <v>2017</v>
      </c>
      <c r="D274" s="350" t="s">
        <v>65</v>
      </c>
      <c r="E274" s="350">
        <v>34833</v>
      </c>
      <c r="F274" s="353" t="s">
        <v>72</v>
      </c>
      <c r="G274" s="353">
        <v>12</v>
      </c>
    </row>
    <row r="275" spans="1:7" x14ac:dyDescent="0.3">
      <c r="A275" s="350" t="s">
        <v>147</v>
      </c>
      <c r="B275" s="350" t="s">
        <v>119</v>
      </c>
      <c r="C275" s="350">
        <v>2016</v>
      </c>
      <c r="D275" s="350" t="s">
        <v>65</v>
      </c>
      <c r="E275" s="350">
        <v>34833</v>
      </c>
      <c r="F275" s="353" t="s">
        <v>72</v>
      </c>
      <c r="G275" s="353">
        <v>16</v>
      </c>
    </row>
    <row r="276" spans="1:7" x14ac:dyDescent="0.3">
      <c r="A276" s="350" t="s">
        <v>147</v>
      </c>
      <c r="B276" s="350" t="s">
        <v>119</v>
      </c>
      <c r="C276" s="350">
        <v>2015</v>
      </c>
      <c r="D276" s="350" t="s">
        <v>65</v>
      </c>
      <c r="E276" s="350">
        <v>34833</v>
      </c>
      <c r="F276" s="353" t="s">
        <v>72</v>
      </c>
      <c r="G276" s="353">
        <v>11</v>
      </c>
    </row>
    <row r="277" spans="1:7" x14ac:dyDescent="0.3">
      <c r="A277" s="350" t="s">
        <v>147</v>
      </c>
      <c r="B277" s="350" t="s">
        <v>119</v>
      </c>
      <c r="C277" s="350">
        <v>2014</v>
      </c>
      <c r="D277" s="350" t="s">
        <v>65</v>
      </c>
      <c r="E277" s="350">
        <v>34833</v>
      </c>
      <c r="F277" s="353" t="s">
        <v>72</v>
      </c>
      <c r="G277" s="353">
        <v>4</v>
      </c>
    </row>
    <row r="278" spans="1:7" x14ac:dyDescent="0.3">
      <c r="A278" s="350" t="s">
        <v>147</v>
      </c>
      <c r="B278" s="350" t="s">
        <v>237</v>
      </c>
      <c r="C278" s="350">
        <v>2018</v>
      </c>
      <c r="D278" s="350" t="s">
        <v>65</v>
      </c>
      <c r="E278" s="350">
        <v>34524</v>
      </c>
      <c r="F278" s="353" t="s">
        <v>72</v>
      </c>
      <c r="G278" s="353">
        <v>2</v>
      </c>
    </row>
    <row r="279" spans="1:7" x14ac:dyDescent="0.3">
      <c r="A279" s="350" t="s">
        <v>147</v>
      </c>
      <c r="B279" s="350" t="s">
        <v>237</v>
      </c>
      <c r="C279" s="350">
        <v>2016</v>
      </c>
      <c r="D279" s="350" t="s">
        <v>65</v>
      </c>
      <c r="E279" s="350">
        <v>34524</v>
      </c>
      <c r="F279" s="353" t="s">
        <v>72</v>
      </c>
      <c r="G279" s="353">
        <v>3</v>
      </c>
    </row>
    <row r="280" spans="1:7" x14ac:dyDescent="0.3">
      <c r="A280" s="350" t="s">
        <v>147</v>
      </c>
      <c r="B280" s="350" t="s">
        <v>237</v>
      </c>
      <c r="C280" s="350">
        <v>2015</v>
      </c>
      <c r="D280" s="350" t="s">
        <v>65</v>
      </c>
      <c r="E280" s="350">
        <v>34524</v>
      </c>
      <c r="F280" s="353" t="s">
        <v>72</v>
      </c>
      <c r="G280" s="353">
        <v>4</v>
      </c>
    </row>
    <row r="281" spans="1:7" x14ac:dyDescent="0.3">
      <c r="A281" s="350" t="s">
        <v>147</v>
      </c>
      <c r="B281" s="350" t="s">
        <v>210</v>
      </c>
      <c r="C281" s="350">
        <v>2021</v>
      </c>
      <c r="D281" s="350" t="s">
        <v>65</v>
      </c>
      <c r="E281" s="350">
        <v>34392</v>
      </c>
      <c r="F281" s="353" t="s">
        <v>72</v>
      </c>
      <c r="G281" s="353">
        <v>1</v>
      </c>
    </row>
    <row r="282" spans="1:7" x14ac:dyDescent="0.3">
      <c r="A282" s="350" t="s">
        <v>147</v>
      </c>
      <c r="B282" s="350" t="s">
        <v>210</v>
      </c>
      <c r="C282" s="350">
        <v>2020</v>
      </c>
      <c r="D282" s="350" t="s">
        <v>65</v>
      </c>
      <c r="E282" s="350">
        <v>34392</v>
      </c>
      <c r="F282" s="353" t="s">
        <v>72</v>
      </c>
      <c r="G282" s="353">
        <v>2</v>
      </c>
    </row>
    <row r="283" spans="1:7" x14ac:dyDescent="0.3">
      <c r="A283" s="350" t="s">
        <v>147</v>
      </c>
      <c r="B283" s="350" t="s">
        <v>210</v>
      </c>
      <c r="C283" s="350">
        <v>2016</v>
      </c>
      <c r="D283" s="350" t="s">
        <v>65</v>
      </c>
      <c r="E283" s="350">
        <v>34392</v>
      </c>
      <c r="F283" s="353" t="s">
        <v>72</v>
      </c>
      <c r="G283" s="353">
        <v>2</v>
      </c>
    </row>
    <row r="284" spans="1:7" x14ac:dyDescent="0.3">
      <c r="A284" s="350" t="s">
        <v>147</v>
      </c>
      <c r="B284" s="350" t="s">
        <v>230</v>
      </c>
      <c r="C284" s="350">
        <v>2021</v>
      </c>
      <c r="D284" s="350" t="s">
        <v>65</v>
      </c>
      <c r="E284" s="350">
        <v>33289</v>
      </c>
      <c r="F284" s="353" t="s">
        <v>72</v>
      </c>
      <c r="G284" s="353">
        <v>18</v>
      </c>
    </row>
    <row r="285" spans="1:7" x14ac:dyDescent="0.3">
      <c r="A285" s="350" t="s">
        <v>147</v>
      </c>
      <c r="B285" s="350" t="s">
        <v>230</v>
      </c>
      <c r="C285" s="350">
        <v>2020</v>
      </c>
      <c r="D285" s="350" t="s">
        <v>65</v>
      </c>
      <c r="E285" s="350">
        <v>33289</v>
      </c>
      <c r="F285" s="353" t="s">
        <v>72</v>
      </c>
      <c r="G285" s="353">
        <v>5</v>
      </c>
    </row>
    <row r="286" spans="1:7" x14ac:dyDescent="0.3">
      <c r="A286" s="350" t="s">
        <v>147</v>
      </c>
      <c r="B286" s="350" t="s">
        <v>230</v>
      </c>
      <c r="C286" s="350">
        <v>2019</v>
      </c>
      <c r="D286" s="350" t="s">
        <v>65</v>
      </c>
      <c r="E286" s="350">
        <v>33289</v>
      </c>
      <c r="F286" s="353" t="s">
        <v>72</v>
      </c>
      <c r="G286" s="353">
        <v>5</v>
      </c>
    </row>
    <row r="287" spans="1:7" x14ac:dyDescent="0.3">
      <c r="A287" s="350" t="s">
        <v>147</v>
      </c>
      <c r="B287" s="350" t="s">
        <v>230</v>
      </c>
      <c r="C287" s="350">
        <v>2018</v>
      </c>
      <c r="D287" s="350" t="s">
        <v>65</v>
      </c>
      <c r="E287" s="350">
        <v>33289</v>
      </c>
      <c r="F287" s="353" t="s">
        <v>72</v>
      </c>
      <c r="G287" s="353">
        <v>4</v>
      </c>
    </row>
    <row r="288" spans="1:7" x14ac:dyDescent="0.3">
      <c r="A288" s="350" t="s">
        <v>147</v>
      </c>
      <c r="B288" s="350" t="s">
        <v>230</v>
      </c>
      <c r="C288" s="350">
        <v>2017</v>
      </c>
      <c r="D288" s="350" t="s">
        <v>65</v>
      </c>
      <c r="E288" s="350">
        <v>33289</v>
      </c>
      <c r="F288" s="353" t="s">
        <v>72</v>
      </c>
      <c r="G288" s="353">
        <v>2</v>
      </c>
    </row>
    <row r="289" spans="1:7" x14ac:dyDescent="0.3">
      <c r="A289" s="350" t="s">
        <v>147</v>
      </c>
      <c r="B289" s="350" t="s">
        <v>230</v>
      </c>
      <c r="C289" s="350">
        <v>2016</v>
      </c>
      <c r="D289" s="350" t="s">
        <v>65</v>
      </c>
      <c r="E289" s="350">
        <v>33289</v>
      </c>
      <c r="F289" s="353" t="s">
        <v>72</v>
      </c>
      <c r="G289" s="353">
        <v>5</v>
      </c>
    </row>
    <row r="290" spans="1:7" x14ac:dyDescent="0.3">
      <c r="A290" s="350" t="s">
        <v>147</v>
      </c>
      <c r="B290" s="350" t="s">
        <v>230</v>
      </c>
      <c r="C290" s="350">
        <v>2015</v>
      </c>
      <c r="D290" s="350" t="s">
        <v>65</v>
      </c>
      <c r="E290" s="350">
        <v>33289</v>
      </c>
      <c r="F290" s="353" t="s">
        <v>72</v>
      </c>
      <c r="G290" s="353">
        <v>4</v>
      </c>
    </row>
    <row r="291" spans="1:7" x14ac:dyDescent="0.3">
      <c r="A291" s="350" t="s">
        <v>147</v>
      </c>
      <c r="B291" s="350" t="s">
        <v>230</v>
      </c>
      <c r="C291" s="350">
        <v>2014</v>
      </c>
      <c r="D291" s="350" t="s">
        <v>65</v>
      </c>
      <c r="E291" s="350">
        <v>33289</v>
      </c>
      <c r="F291" s="353" t="s">
        <v>72</v>
      </c>
      <c r="G291" s="353">
        <v>4</v>
      </c>
    </row>
    <row r="292" spans="1:7" x14ac:dyDescent="0.3">
      <c r="A292" s="350" t="s">
        <v>147</v>
      </c>
      <c r="B292" s="350" t="s">
        <v>206</v>
      </c>
      <c r="C292" s="350">
        <v>2019</v>
      </c>
      <c r="D292" s="350" t="s">
        <v>65</v>
      </c>
      <c r="E292" s="350">
        <v>30842</v>
      </c>
      <c r="F292" s="353" t="s">
        <v>72</v>
      </c>
      <c r="G292" s="353">
        <v>1</v>
      </c>
    </row>
    <row r="293" spans="1:7" x14ac:dyDescent="0.3">
      <c r="A293" s="350" t="s">
        <v>147</v>
      </c>
      <c r="B293" s="350" t="s">
        <v>206</v>
      </c>
      <c r="C293" s="350">
        <v>2018</v>
      </c>
      <c r="D293" s="350" t="s">
        <v>65</v>
      </c>
      <c r="E293" s="350">
        <v>30842</v>
      </c>
      <c r="F293" s="353" t="s">
        <v>72</v>
      </c>
      <c r="G293" s="353">
        <v>2</v>
      </c>
    </row>
    <row r="294" spans="1:7" x14ac:dyDescent="0.3">
      <c r="A294" s="350" t="s">
        <v>147</v>
      </c>
      <c r="B294" s="350" t="s">
        <v>206</v>
      </c>
      <c r="C294" s="350">
        <v>2017</v>
      </c>
      <c r="D294" s="350" t="s">
        <v>65</v>
      </c>
      <c r="E294" s="350">
        <v>30842</v>
      </c>
      <c r="F294" s="353" t="s">
        <v>72</v>
      </c>
      <c r="G294" s="353">
        <v>2</v>
      </c>
    </row>
    <row r="295" spans="1:7" x14ac:dyDescent="0.3">
      <c r="A295" s="350" t="s">
        <v>147</v>
      </c>
      <c r="B295" s="350" t="s">
        <v>206</v>
      </c>
      <c r="C295" s="350">
        <v>2016</v>
      </c>
      <c r="D295" s="350" t="s">
        <v>65</v>
      </c>
      <c r="E295" s="350">
        <v>30842</v>
      </c>
      <c r="F295" s="353" t="s">
        <v>72</v>
      </c>
      <c r="G295" s="353">
        <v>4</v>
      </c>
    </row>
    <row r="296" spans="1:7" x14ac:dyDescent="0.3">
      <c r="A296" s="350" t="s">
        <v>147</v>
      </c>
      <c r="B296" s="350" t="s">
        <v>206</v>
      </c>
      <c r="C296" s="350">
        <v>2015</v>
      </c>
      <c r="D296" s="350" t="s">
        <v>65</v>
      </c>
      <c r="E296" s="350">
        <v>30842</v>
      </c>
      <c r="F296" s="353" t="s">
        <v>72</v>
      </c>
      <c r="G296" s="353">
        <v>9</v>
      </c>
    </row>
    <row r="297" spans="1:7" x14ac:dyDescent="0.3">
      <c r="A297" s="350" t="s">
        <v>147</v>
      </c>
      <c r="B297" s="350" t="s">
        <v>206</v>
      </c>
      <c r="C297" s="350">
        <v>2014</v>
      </c>
      <c r="D297" s="350" t="s">
        <v>65</v>
      </c>
      <c r="E297" s="350">
        <v>30842</v>
      </c>
      <c r="F297" s="353" t="s">
        <v>72</v>
      </c>
      <c r="G297" s="353">
        <v>5</v>
      </c>
    </row>
    <row r="298" spans="1:7" x14ac:dyDescent="0.3">
      <c r="A298" s="350" t="s">
        <v>147</v>
      </c>
      <c r="B298" s="350" t="s">
        <v>199</v>
      </c>
      <c r="C298" s="350">
        <v>2021</v>
      </c>
      <c r="D298" s="350" t="s">
        <v>65</v>
      </c>
      <c r="E298" s="350">
        <v>30800</v>
      </c>
      <c r="F298" s="353" t="s">
        <v>72</v>
      </c>
      <c r="G298" s="353">
        <v>22</v>
      </c>
    </row>
    <row r="299" spans="1:7" x14ac:dyDescent="0.3">
      <c r="A299" s="350" t="s">
        <v>147</v>
      </c>
      <c r="B299" s="350" t="s">
        <v>199</v>
      </c>
      <c r="C299" s="350">
        <v>2020</v>
      </c>
      <c r="D299" s="350" t="s">
        <v>65</v>
      </c>
      <c r="E299" s="350">
        <v>30800</v>
      </c>
      <c r="F299" s="353" t="s">
        <v>72</v>
      </c>
      <c r="G299" s="353">
        <v>14</v>
      </c>
    </row>
    <row r="300" spans="1:7" x14ac:dyDescent="0.3">
      <c r="A300" s="350" t="s">
        <v>147</v>
      </c>
      <c r="B300" s="350" t="s">
        <v>199</v>
      </c>
      <c r="C300" s="350">
        <v>2019</v>
      </c>
      <c r="D300" s="350" t="s">
        <v>65</v>
      </c>
      <c r="E300" s="350">
        <v>30800</v>
      </c>
      <c r="F300" s="353" t="s">
        <v>72</v>
      </c>
      <c r="G300" s="353">
        <v>6</v>
      </c>
    </row>
    <row r="301" spans="1:7" x14ac:dyDescent="0.3">
      <c r="A301" s="350" t="s">
        <v>147</v>
      </c>
      <c r="B301" s="350" t="s">
        <v>199</v>
      </c>
      <c r="C301" s="350">
        <v>2018</v>
      </c>
      <c r="D301" s="350" t="s">
        <v>65</v>
      </c>
      <c r="E301" s="350">
        <v>30800</v>
      </c>
      <c r="F301" s="353" t="s">
        <v>72</v>
      </c>
      <c r="G301" s="353">
        <v>13</v>
      </c>
    </row>
    <row r="302" spans="1:7" x14ac:dyDescent="0.3">
      <c r="A302" s="350" t="s">
        <v>147</v>
      </c>
      <c r="B302" s="350" t="s">
        <v>199</v>
      </c>
      <c r="C302" s="350">
        <v>2017</v>
      </c>
      <c r="D302" s="350" t="s">
        <v>65</v>
      </c>
      <c r="E302" s="350">
        <v>30800</v>
      </c>
      <c r="F302" s="353" t="s">
        <v>72</v>
      </c>
      <c r="G302" s="353">
        <v>9</v>
      </c>
    </row>
    <row r="303" spans="1:7" x14ac:dyDescent="0.3">
      <c r="A303" s="350" t="s">
        <v>147</v>
      </c>
      <c r="B303" s="350" t="s">
        <v>225</v>
      </c>
      <c r="C303" s="350">
        <v>2021</v>
      </c>
      <c r="D303" s="350" t="s">
        <v>65</v>
      </c>
      <c r="E303" s="350">
        <v>30325</v>
      </c>
      <c r="F303" s="353" t="s">
        <v>72</v>
      </c>
      <c r="G303" s="353">
        <v>10</v>
      </c>
    </row>
    <row r="304" spans="1:7" x14ac:dyDescent="0.3">
      <c r="A304" s="350" t="s">
        <v>147</v>
      </c>
      <c r="B304" s="350" t="s">
        <v>225</v>
      </c>
      <c r="C304" s="350">
        <v>2020</v>
      </c>
      <c r="D304" s="350" t="s">
        <v>65</v>
      </c>
      <c r="E304" s="350">
        <v>30325</v>
      </c>
      <c r="F304" s="353" t="s">
        <v>72</v>
      </c>
      <c r="G304" s="353">
        <v>17</v>
      </c>
    </row>
    <row r="305" spans="1:7" x14ac:dyDescent="0.3">
      <c r="A305" s="350" t="s">
        <v>147</v>
      </c>
      <c r="B305" s="350" t="s">
        <v>225</v>
      </c>
      <c r="C305" s="350">
        <v>2019</v>
      </c>
      <c r="D305" s="350" t="s">
        <v>65</v>
      </c>
      <c r="E305" s="350">
        <v>30325</v>
      </c>
      <c r="F305" s="353" t="s">
        <v>72</v>
      </c>
      <c r="G305" s="353">
        <v>9</v>
      </c>
    </row>
    <row r="306" spans="1:7" x14ac:dyDescent="0.3">
      <c r="A306" s="350" t="s">
        <v>147</v>
      </c>
      <c r="B306" s="350" t="s">
        <v>225</v>
      </c>
      <c r="C306" s="350">
        <v>2018</v>
      </c>
      <c r="D306" s="350" t="s">
        <v>65</v>
      </c>
      <c r="E306" s="350">
        <v>30325</v>
      </c>
      <c r="F306" s="353" t="s">
        <v>72</v>
      </c>
      <c r="G306" s="353">
        <v>10</v>
      </c>
    </row>
    <row r="307" spans="1:7" x14ac:dyDescent="0.3">
      <c r="A307" s="350" t="s">
        <v>147</v>
      </c>
      <c r="B307" s="350" t="s">
        <v>225</v>
      </c>
      <c r="C307" s="350">
        <v>2017</v>
      </c>
      <c r="D307" s="350" t="s">
        <v>65</v>
      </c>
      <c r="E307" s="350">
        <v>30325</v>
      </c>
      <c r="F307" s="353" t="s">
        <v>72</v>
      </c>
      <c r="G307" s="353">
        <v>18</v>
      </c>
    </row>
    <row r="308" spans="1:7" x14ac:dyDescent="0.3">
      <c r="A308" s="350" t="s">
        <v>147</v>
      </c>
      <c r="B308" s="350" t="s">
        <v>225</v>
      </c>
      <c r="C308" s="350">
        <v>2016</v>
      </c>
      <c r="D308" s="350" t="s">
        <v>65</v>
      </c>
      <c r="E308" s="350">
        <v>30325</v>
      </c>
      <c r="F308" s="353" t="s">
        <v>72</v>
      </c>
      <c r="G308" s="353">
        <v>19</v>
      </c>
    </row>
    <row r="309" spans="1:7" x14ac:dyDescent="0.3">
      <c r="A309" s="350" t="s">
        <v>147</v>
      </c>
      <c r="B309" s="350" t="s">
        <v>225</v>
      </c>
      <c r="C309" s="350">
        <v>2015</v>
      </c>
      <c r="D309" s="350" t="s">
        <v>65</v>
      </c>
      <c r="E309" s="350">
        <v>30325</v>
      </c>
      <c r="F309" s="353" t="s">
        <v>72</v>
      </c>
      <c r="G309" s="353">
        <v>5</v>
      </c>
    </row>
    <row r="310" spans="1:7" x14ac:dyDescent="0.3">
      <c r="A310" s="350" t="s">
        <v>147</v>
      </c>
      <c r="B310" s="350" t="s">
        <v>225</v>
      </c>
      <c r="C310" s="350">
        <v>2014</v>
      </c>
      <c r="D310" s="350" t="s">
        <v>65</v>
      </c>
      <c r="E310" s="350">
        <v>30325</v>
      </c>
      <c r="F310" s="353" t="s">
        <v>72</v>
      </c>
      <c r="G310" s="353">
        <v>4</v>
      </c>
    </row>
    <row r="311" spans="1:7" x14ac:dyDescent="0.3">
      <c r="A311" s="350" t="s">
        <v>147</v>
      </c>
      <c r="B311" s="350" t="s">
        <v>198</v>
      </c>
      <c r="C311" s="350">
        <v>2021</v>
      </c>
      <c r="D311" s="350" t="s">
        <v>65</v>
      </c>
      <c r="E311" s="350">
        <v>30000</v>
      </c>
      <c r="F311" s="353" t="s">
        <v>72</v>
      </c>
      <c r="G311" s="353">
        <v>9</v>
      </c>
    </row>
    <row r="312" spans="1:7" x14ac:dyDescent="0.3">
      <c r="A312" s="350" t="s">
        <v>147</v>
      </c>
      <c r="B312" s="350" t="s">
        <v>198</v>
      </c>
      <c r="C312" s="350">
        <v>2020</v>
      </c>
      <c r="D312" s="350" t="s">
        <v>65</v>
      </c>
      <c r="E312" s="350">
        <v>30000</v>
      </c>
      <c r="F312" s="353" t="s">
        <v>72</v>
      </c>
      <c r="G312" s="353">
        <v>7</v>
      </c>
    </row>
    <row r="313" spans="1:7" x14ac:dyDescent="0.3">
      <c r="A313" s="350" t="s">
        <v>147</v>
      </c>
      <c r="B313" s="350" t="s">
        <v>198</v>
      </c>
      <c r="C313" s="350">
        <v>2019</v>
      </c>
      <c r="D313" s="350" t="s">
        <v>65</v>
      </c>
      <c r="E313" s="350">
        <v>30000</v>
      </c>
      <c r="F313" s="353" t="s">
        <v>72</v>
      </c>
      <c r="G313" s="353">
        <v>8</v>
      </c>
    </row>
    <row r="314" spans="1:7" x14ac:dyDescent="0.3">
      <c r="A314" s="350" t="s">
        <v>147</v>
      </c>
      <c r="B314" s="350" t="s">
        <v>198</v>
      </c>
      <c r="C314" s="350">
        <v>2018</v>
      </c>
      <c r="D314" s="350" t="s">
        <v>65</v>
      </c>
      <c r="E314" s="350">
        <v>30000</v>
      </c>
      <c r="F314" s="353" t="s">
        <v>72</v>
      </c>
      <c r="G314" s="353">
        <v>24</v>
      </c>
    </row>
    <row r="315" spans="1:7" x14ac:dyDescent="0.3">
      <c r="A315" s="350" t="s">
        <v>147</v>
      </c>
      <c r="B315" s="350" t="s">
        <v>198</v>
      </c>
      <c r="C315" s="350">
        <v>2017</v>
      </c>
      <c r="D315" s="350" t="s">
        <v>65</v>
      </c>
      <c r="E315" s="350">
        <v>30000</v>
      </c>
      <c r="F315" s="353" t="s">
        <v>72</v>
      </c>
      <c r="G315" s="353">
        <v>22</v>
      </c>
    </row>
    <row r="316" spans="1:7" x14ac:dyDescent="0.3">
      <c r="A316" s="350" t="s">
        <v>147</v>
      </c>
      <c r="B316" s="350" t="s">
        <v>198</v>
      </c>
      <c r="C316" s="350">
        <v>2016</v>
      </c>
      <c r="D316" s="350" t="s">
        <v>65</v>
      </c>
      <c r="E316" s="350">
        <v>30000</v>
      </c>
      <c r="F316" s="353" t="s">
        <v>72</v>
      </c>
      <c r="G316" s="353">
        <v>27</v>
      </c>
    </row>
    <row r="317" spans="1:7" x14ac:dyDescent="0.3">
      <c r="A317" s="350" t="s">
        <v>147</v>
      </c>
      <c r="B317" s="350" t="s">
        <v>198</v>
      </c>
      <c r="C317" s="350">
        <v>2015</v>
      </c>
      <c r="D317" s="350" t="s">
        <v>65</v>
      </c>
      <c r="E317" s="350">
        <v>30000</v>
      </c>
      <c r="F317" s="353" t="s">
        <v>72</v>
      </c>
      <c r="G317" s="353">
        <v>18</v>
      </c>
    </row>
    <row r="318" spans="1:7" x14ac:dyDescent="0.3">
      <c r="A318" s="350" t="s">
        <v>147</v>
      </c>
      <c r="B318" s="350" t="s">
        <v>198</v>
      </c>
      <c r="C318" s="350">
        <v>2014</v>
      </c>
      <c r="D318" s="350" t="s">
        <v>65</v>
      </c>
      <c r="E318" s="350">
        <v>30000</v>
      </c>
      <c r="F318" s="353" t="s">
        <v>72</v>
      </c>
      <c r="G318" s="353">
        <v>15</v>
      </c>
    </row>
    <row r="319" spans="1:7" x14ac:dyDescent="0.3">
      <c r="A319" s="350" t="s">
        <v>147</v>
      </c>
      <c r="B319" s="350" t="s">
        <v>262</v>
      </c>
      <c r="C319" s="350">
        <v>2021</v>
      </c>
      <c r="D319" s="350" t="s">
        <v>65</v>
      </c>
      <c r="E319" s="350">
        <v>29000</v>
      </c>
      <c r="F319" s="353" t="s">
        <v>72</v>
      </c>
      <c r="G319" s="353">
        <v>1</v>
      </c>
    </row>
    <row r="320" spans="1:7" x14ac:dyDescent="0.3">
      <c r="A320" s="350" t="s">
        <v>147</v>
      </c>
      <c r="B320" s="350" t="s">
        <v>120</v>
      </c>
      <c r="C320" s="350">
        <v>2021</v>
      </c>
      <c r="D320" s="350" t="s">
        <v>65</v>
      </c>
      <c r="E320" s="350">
        <v>28000</v>
      </c>
      <c r="F320" s="353" t="s">
        <v>72</v>
      </c>
      <c r="G320" s="353">
        <v>15</v>
      </c>
    </row>
    <row r="321" spans="1:7" x14ac:dyDescent="0.3">
      <c r="A321" s="350" t="s">
        <v>147</v>
      </c>
      <c r="B321" s="350" t="s">
        <v>120</v>
      </c>
      <c r="C321" s="350">
        <v>2020</v>
      </c>
      <c r="D321" s="350" t="s">
        <v>65</v>
      </c>
      <c r="E321" s="350">
        <v>28000</v>
      </c>
      <c r="F321" s="353" t="s">
        <v>72</v>
      </c>
      <c r="G321" s="353">
        <v>19</v>
      </c>
    </row>
    <row r="322" spans="1:7" x14ac:dyDescent="0.3">
      <c r="A322" s="350" t="s">
        <v>147</v>
      </c>
      <c r="B322" s="350" t="s">
        <v>120</v>
      </c>
      <c r="C322" s="350">
        <v>2019</v>
      </c>
      <c r="D322" s="350" t="s">
        <v>65</v>
      </c>
      <c r="E322" s="350">
        <v>28000</v>
      </c>
      <c r="F322" s="353" t="s">
        <v>72</v>
      </c>
      <c r="G322" s="353">
        <v>39</v>
      </c>
    </row>
    <row r="323" spans="1:7" x14ac:dyDescent="0.3">
      <c r="A323" s="350" t="s">
        <v>147</v>
      </c>
      <c r="B323" s="350" t="s">
        <v>120</v>
      </c>
      <c r="C323" s="350">
        <v>2018</v>
      </c>
      <c r="D323" s="350" t="s">
        <v>65</v>
      </c>
      <c r="E323" s="350">
        <v>28000</v>
      </c>
      <c r="F323" s="353" t="s">
        <v>72</v>
      </c>
      <c r="G323" s="353">
        <v>38</v>
      </c>
    </row>
    <row r="324" spans="1:7" x14ac:dyDescent="0.3">
      <c r="A324" s="350" t="s">
        <v>147</v>
      </c>
      <c r="B324" s="350" t="s">
        <v>120</v>
      </c>
      <c r="C324" s="350">
        <v>2017</v>
      </c>
      <c r="D324" s="350" t="s">
        <v>65</v>
      </c>
      <c r="E324" s="350">
        <v>28000</v>
      </c>
      <c r="F324" s="353" t="s">
        <v>72</v>
      </c>
      <c r="G324" s="353">
        <v>50</v>
      </c>
    </row>
    <row r="325" spans="1:7" x14ac:dyDescent="0.3">
      <c r="A325" s="350" t="s">
        <v>147</v>
      </c>
      <c r="B325" s="350" t="s">
        <v>120</v>
      </c>
      <c r="C325" s="350">
        <v>2016</v>
      </c>
      <c r="D325" s="350" t="s">
        <v>65</v>
      </c>
      <c r="E325" s="350">
        <v>28000</v>
      </c>
      <c r="F325" s="353" t="s">
        <v>72</v>
      </c>
      <c r="G325" s="353">
        <v>55</v>
      </c>
    </row>
    <row r="326" spans="1:7" x14ac:dyDescent="0.3">
      <c r="A326" s="350" t="s">
        <v>147</v>
      </c>
      <c r="B326" s="350" t="s">
        <v>120</v>
      </c>
      <c r="C326" s="350">
        <v>2015</v>
      </c>
      <c r="D326" s="350" t="s">
        <v>65</v>
      </c>
      <c r="E326" s="350">
        <v>28000</v>
      </c>
      <c r="F326" s="353" t="s">
        <v>72</v>
      </c>
      <c r="G326" s="353">
        <v>55</v>
      </c>
    </row>
    <row r="327" spans="1:7" x14ac:dyDescent="0.3">
      <c r="A327" s="350" t="s">
        <v>147</v>
      </c>
      <c r="B327" s="350" t="s">
        <v>120</v>
      </c>
      <c r="C327" s="350">
        <v>2014</v>
      </c>
      <c r="D327" s="350" t="s">
        <v>65</v>
      </c>
      <c r="E327" s="350">
        <v>28000</v>
      </c>
      <c r="F327" s="353" t="s">
        <v>72</v>
      </c>
      <c r="G327" s="353">
        <v>22</v>
      </c>
    </row>
    <row r="328" spans="1:7" x14ac:dyDescent="0.3">
      <c r="A328" s="350" t="s">
        <v>147</v>
      </c>
      <c r="B328" s="350" t="s">
        <v>264</v>
      </c>
      <c r="C328" s="350">
        <v>2020</v>
      </c>
      <c r="D328" s="350" t="s">
        <v>65</v>
      </c>
      <c r="E328" s="350">
        <v>27099</v>
      </c>
      <c r="F328" s="353" t="s">
        <v>66</v>
      </c>
      <c r="G328" s="353">
        <v>3</v>
      </c>
    </row>
    <row r="329" spans="1:7" x14ac:dyDescent="0.3">
      <c r="A329" s="350" t="s">
        <v>147</v>
      </c>
      <c r="B329" s="350" t="s">
        <v>264</v>
      </c>
      <c r="C329" s="350">
        <v>2015</v>
      </c>
      <c r="D329" s="350" t="s">
        <v>65</v>
      </c>
      <c r="E329" s="350">
        <v>27099</v>
      </c>
      <c r="F329" s="353" t="s">
        <v>66</v>
      </c>
      <c r="G329" s="353">
        <v>1</v>
      </c>
    </row>
    <row r="330" spans="1:7" x14ac:dyDescent="0.3">
      <c r="A330" s="350" t="s">
        <v>147</v>
      </c>
      <c r="B330" s="350" t="s">
        <v>228</v>
      </c>
      <c r="C330" s="350">
        <v>2021</v>
      </c>
      <c r="D330" s="350" t="s">
        <v>65</v>
      </c>
      <c r="E330" s="350">
        <v>26100</v>
      </c>
      <c r="F330" s="353" t="s">
        <v>72</v>
      </c>
      <c r="G330" s="353">
        <v>2</v>
      </c>
    </row>
    <row r="331" spans="1:7" x14ac:dyDescent="0.3">
      <c r="A331" s="350" t="s">
        <v>147</v>
      </c>
      <c r="B331" s="350" t="s">
        <v>228</v>
      </c>
      <c r="C331" s="350">
        <v>2020</v>
      </c>
      <c r="D331" s="350" t="s">
        <v>65</v>
      </c>
      <c r="E331" s="350">
        <v>26100</v>
      </c>
      <c r="F331" s="353" t="s">
        <v>72</v>
      </c>
      <c r="G331" s="353">
        <v>5</v>
      </c>
    </row>
    <row r="332" spans="1:7" x14ac:dyDescent="0.3">
      <c r="A332" s="350" t="s">
        <v>147</v>
      </c>
      <c r="B332" s="350" t="s">
        <v>228</v>
      </c>
      <c r="C332" s="350">
        <v>2019</v>
      </c>
      <c r="D332" s="350" t="s">
        <v>65</v>
      </c>
      <c r="E332" s="350">
        <v>26100</v>
      </c>
      <c r="F332" s="353" t="s">
        <v>72</v>
      </c>
      <c r="G332" s="353">
        <v>2</v>
      </c>
    </row>
    <row r="333" spans="1:7" x14ac:dyDescent="0.3">
      <c r="A333" s="350" t="s">
        <v>147</v>
      </c>
      <c r="B333" s="350" t="s">
        <v>228</v>
      </c>
      <c r="C333" s="350">
        <v>2018</v>
      </c>
      <c r="D333" s="350" t="s">
        <v>65</v>
      </c>
      <c r="E333" s="350">
        <v>26100</v>
      </c>
      <c r="F333" s="353" t="s">
        <v>72</v>
      </c>
      <c r="G333" s="353">
        <v>1</v>
      </c>
    </row>
    <row r="334" spans="1:7" x14ac:dyDescent="0.3">
      <c r="A334" s="350" t="s">
        <v>147</v>
      </c>
      <c r="B334" s="350" t="s">
        <v>228</v>
      </c>
      <c r="C334" s="350">
        <v>2017</v>
      </c>
      <c r="D334" s="350" t="s">
        <v>65</v>
      </c>
      <c r="E334" s="350">
        <v>26100</v>
      </c>
      <c r="F334" s="353" t="s">
        <v>72</v>
      </c>
      <c r="G334" s="353">
        <v>6</v>
      </c>
    </row>
    <row r="335" spans="1:7" x14ac:dyDescent="0.3">
      <c r="A335" s="350" t="s">
        <v>147</v>
      </c>
      <c r="B335" s="350" t="s">
        <v>228</v>
      </c>
      <c r="C335" s="350">
        <v>2015</v>
      </c>
      <c r="D335" s="350" t="s">
        <v>65</v>
      </c>
      <c r="E335" s="350">
        <v>26100</v>
      </c>
      <c r="F335" s="353" t="s">
        <v>72</v>
      </c>
      <c r="G335" s="353">
        <v>4</v>
      </c>
    </row>
    <row r="336" spans="1:7" x14ac:dyDescent="0.3">
      <c r="A336" s="350" t="s">
        <v>147</v>
      </c>
      <c r="B336" s="350" t="s">
        <v>228</v>
      </c>
      <c r="C336" s="350">
        <v>2014</v>
      </c>
      <c r="D336" s="350" t="s">
        <v>65</v>
      </c>
      <c r="E336" s="350">
        <v>26100</v>
      </c>
      <c r="F336" s="353" t="s">
        <v>72</v>
      </c>
      <c r="G336" s="353">
        <v>1</v>
      </c>
    </row>
    <row r="337" spans="1:7" x14ac:dyDescent="0.3">
      <c r="A337" s="350" t="s">
        <v>147</v>
      </c>
      <c r="B337" s="350" t="s">
        <v>212</v>
      </c>
      <c r="C337" s="350">
        <v>2021</v>
      </c>
      <c r="D337" s="350" t="s">
        <v>65</v>
      </c>
      <c r="E337" s="350">
        <v>25353</v>
      </c>
      <c r="F337" s="353" t="s">
        <v>72</v>
      </c>
      <c r="G337" s="353">
        <v>1</v>
      </c>
    </row>
    <row r="338" spans="1:7" x14ac:dyDescent="0.3">
      <c r="A338" s="350" t="s">
        <v>147</v>
      </c>
      <c r="B338" s="350" t="s">
        <v>212</v>
      </c>
      <c r="C338" s="350">
        <v>2019</v>
      </c>
      <c r="D338" s="350" t="s">
        <v>65</v>
      </c>
      <c r="E338" s="350">
        <v>25353</v>
      </c>
      <c r="F338" s="353" t="s">
        <v>72</v>
      </c>
      <c r="G338" s="353">
        <v>3</v>
      </c>
    </row>
    <row r="339" spans="1:7" x14ac:dyDescent="0.3">
      <c r="A339" s="350" t="s">
        <v>147</v>
      </c>
      <c r="B339" s="350" t="s">
        <v>212</v>
      </c>
      <c r="C339" s="350">
        <v>2018</v>
      </c>
      <c r="D339" s="350" t="s">
        <v>65</v>
      </c>
      <c r="E339" s="350">
        <v>25353</v>
      </c>
      <c r="F339" s="353" t="s">
        <v>72</v>
      </c>
      <c r="G339" s="353">
        <v>3</v>
      </c>
    </row>
    <row r="340" spans="1:7" x14ac:dyDescent="0.3">
      <c r="A340" s="350" t="s">
        <v>147</v>
      </c>
      <c r="B340" s="350" t="s">
        <v>212</v>
      </c>
      <c r="C340" s="350">
        <v>2017</v>
      </c>
      <c r="D340" s="350" t="s">
        <v>65</v>
      </c>
      <c r="E340" s="350">
        <v>25353</v>
      </c>
      <c r="F340" s="353" t="s">
        <v>72</v>
      </c>
      <c r="G340" s="353">
        <v>63</v>
      </c>
    </row>
    <row r="341" spans="1:7" x14ac:dyDescent="0.3">
      <c r="A341" s="350" t="s">
        <v>147</v>
      </c>
      <c r="B341" s="350" t="s">
        <v>212</v>
      </c>
      <c r="C341" s="350">
        <v>2016</v>
      </c>
      <c r="D341" s="350" t="s">
        <v>65</v>
      </c>
      <c r="E341" s="350">
        <v>25353</v>
      </c>
      <c r="F341" s="353" t="s">
        <v>72</v>
      </c>
      <c r="G341" s="353">
        <v>358</v>
      </c>
    </row>
    <row r="342" spans="1:7" x14ac:dyDescent="0.3">
      <c r="A342" s="350" t="s">
        <v>147</v>
      </c>
      <c r="B342" s="350" t="s">
        <v>212</v>
      </c>
      <c r="C342" s="350">
        <v>2015</v>
      </c>
      <c r="D342" s="350" t="s">
        <v>65</v>
      </c>
      <c r="E342" s="350">
        <v>25353</v>
      </c>
      <c r="F342" s="353" t="s">
        <v>72</v>
      </c>
      <c r="G342" s="353">
        <v>69</v>
      </c>
    </row>
    <row r="343" spans="1:7" x14ac:dyDescent="0.3">
      <c r="A343" s="350" t="s">
        <v>147</v>
      </c>
      <c r="B343" s="350" t="s">
        <v>212</v>
      </c>
      <c r="C343" s="350">
        <v>2014</v>
      </c>
      <c r="D343" s="350" t="s">
        <v>65</v>
      </c>
      <c r="E343" s="350">
        <v>25353</v>
      </c>
      <c r="F343" s="353" t="s">
        <v>72</v>
      </c>
      <c r="G343" s="353">
        <v>288</v>
      </c>
    </row>
    <row r="344" spans="1:7" x14ac:dyDescent="0.3">
      <c r="A344" s="350" t="s">
        <v>147</v>
      </c>
      <c r="B344" s="350" t="s">
        <v>243</v>
      </c>
      <c r="C344" s="350">
        <v>2021</v>
      </c>
      <c r="D344" s="350" t="s">
        <v>65</v>
      </c>
      <c r="E344" s="350">
        <v>23500</v>
      </c>
      <c r="F344" s="353" t="s">
        <v>72</v>
      </c>
      <c r="G344" s="353">
        <v>14</v>
      </c>
    </row>
    <row r="345" spans="1:7" x14ac:dyDescent="0.3">
      <c r="A345" s="350" t="s">
        <v>147</v>
      </c>
      <c r="B345" s="350" t="s">
        <v>243</v>
      </c>
      <c r="C345" s="350">
        <v>2020</v>
      </c>
      <c r="D345" s="350" t="s">
        <v>65</v>
      </c>
      <c r="E345" s="350">
        <v>23500</v>
      </c>
      <c r="F345" s="353" t="s">
        <v>72</v>
      </c>
      <c r="G345" s="353">
        <v>20</v>
      </c>
    </row>
    <row r="346" spans="1:7" x14ac:dyDescent="0.3">
      <c r="A346" s="350" t="s">
        <v>147</v>
      </c>
      <c r="B346" s="350" t="s">
        <v>243</v>
      </c>
      <c r="C346" s="350">
        <v>2019</v>
      </c>
      <c r="D346" s="350" t="s">
        <v>65</v>
      </c>
      <c r="E346" s="350">
        <v>23500</v>
      </c>
      <c r="F346" s="353" t="s">
        <v>72</v>
      </c>
      <c r="G346" s="353">
        <v>15</v>
      </c>
    </row>
    <row r="347" spans="1:7" x14ac:dyDescent="0.3">
      <c r="A347" s="350" t="s">
        <v>147</v>
      </c>
      <c r="B347" s="350" t="s">
        <v>243</v>
      </c>
      <c r="C347" s="350">
        <v>2018</v>
      </c>
      <c r="D347" s="350" t="s">
        <v>65</v>
      </c>
      <c r="E347" s="350">
        <v>23500</v>
      </c>
      <c r="F347" s="353" t="s">
        <v>72</v>
      </c>
      <c r="G347" s="353">
        <v>27</v>
      </c>
    </row>
    <row r="348" spans="1:7" x14ac:dyDescent="0.3">
      <c r="A348" s="350" t="s">
        <v>147</v>
      </c>
      <c r="B348" s="350" t="s">
        <v>243</v>
      </c>
      <c r="C348" s="350">
        <v>2017</v>
      </c>
      <c r="D348" s="350" t="s">
        <v>65</v>
      </c>
      <c r="E348" s="350">
        <v>23500</v>
      </c>
      <c r="F348" s="353" t="s">
        <v>72</v>
      </c>
      <c r="G348" s="353">
        <v>17</v>
      </c>
    </row>
    <row r="349" spans="1:7" x14ac:dyDescent="0.3">
      <c r="A349" s="350" t="s">
        <v>147</v>
      </c>
      <c r="B349" s="350" t="s">
        <v>243</v>
      </c>
      <c r="C349" s="350">
        <v>2016</v>
      </c>
      <c r="D349" s="350" t="s">
        <v>65</v>
      </c>
      <c r="E349" s="350">
        <v>23500</v>
      </c>
      <c r="F349" s="353" t="s">
        <v>72</v>
      </c>
      <c r="G349" s="353">
        <v>29</v>
      </c>
    </row>
    <row r="350" spans="1:7" x14ac:dyDescent="0.3">
      <c r="A350" s="350" t="s">
        <v>147</v>
      </c>
      <c r="B350" s="350" t="s">
        <v>243</v>
      </c>
      <c r="C350" s="350">
        <v>2015</v>
      </c>
      <c r="D350" s="350" t="s">
        <v>65</v>
      </c>
      <c r="E350" s="350">
        <v>23500</v>
      </c>
      <c r="F350" s="353" t="s">
        <v>72</v>
      </c>
      <c r="G350" s="353">
        <v>23</v>
      </c>
    </row>
    <row r="351" spans="1:7" x14ac:dyDescent="0.3">
      <c r="A351" s="350" t="s">
        <v>147</v>
      </c>
      <c r="B351" s="350" t="s">
        <v>243</v>
      </c>
      <c r="C351" s="350">
        <v>2014</v>
      </c>
      <c r="D351" s="350" t="s">
        <v>65</v>
      </c>
      <c r="E351" s="350">
        <v>23500</v>
      </c>
      <c r="F351" s="353" t="s">
        <v>72</v>
      </c>
      <c r="G351" s="353">
        <v>22</v>
      </c>
    </row>
    <row r="352" spans="1:7" x14ac:dyDescent="0.3">
      <c r="A352" s="350" t="s">
        <v>147</v>
      </c>
      <c r="B352" s="350" t="s">
        <v>107</v>
      </c>
      <c r="C352" s="350">
        <v>2021</v>
      </c>
      <c r="D352" s="350" t="s">
        <v>65</v>
      </c>
      <c r="E352" s="350">
        <v>22002</v>
      </c>
      <c r="F352" s="353" t="s">
        <v>72</v>
      </c>
      <c r="G352" s="353">
        <v>28</v>
      </c>
    </row>
    <row r="353" spans="1:7" x14ac:dyDescent="0.3">
      <c r="A353" s="350" t="s">
        <v>147</v>
      </c>
      <c r="B353" s="350" t="s">
        <v>107</v>
      </c>
      <c r="C353" s="350">
        <v>2020</v>
      </c>
      <c r="D353" s="350" t="s">
        <v>65</v>
      </c>
      <c r="E353" s="350">
        <v>22002</v>
      </c>
      <c r="F353" s="353" t="s">
        <v>72</v>
      </c>
      <c r="G353" s="353">
        <v>22</v>
      </c>
    </row>
    <row r="354" spans="1:7" x14ac:dyDescent="0.3">
      <c r="A354" s="350" t="s">
        <v>147</v>
      </c>
      <c r="B354" s="350" t="s">
        <v>107</v>
      </c>
      <c r="C354" s="350">
        <v>2019</v>
      </c>
      <c r="D354" s="350" t="s">
        <v>65</v>
      </c>
      <c r="E354" s="350">
        <v>22002</v>
      </c>
      <c r="F354" s="353" t="s">
        <v>72</v>
      </c>
      <c r="G354" s="353">
        <v>39</v>
      </c>
    </row>
    <row r="355" spans="1:7" x14ac:dyDescent="0.3">
      <c r="A355" s="350" t="s">
        <v>147</v>
      </c>
      <c r="B355" s="350" t="s">
        <v>107</v>
      </c>
      <c r="C355" s="350">
        <v>2018</v>
      </c>
      <c r="D355" s="350" t="s">
        <v>65</v>
      </c>
      <c r="E355" s="350">
        <v>22002</v>
      </c>
      <c r="F355" s="353" t="s">
        <v>72</v>
      </c>
      <c r="G355" s="353">
        <v>29</v>
      </c>
    </row>
    <row r="356" spans="1:7" x14ac:dyDescent="0.3">
      <c r="A356" s="350" t="s">
        <v>147</v>
      </c>
      <c r="B356" s="350" t="s">
        <v>107</v>
      </c>
      <c r="C356" s="350">
        <v>2017</v>
      </c>
      <c r="D356" s="350" t="s">
        <v>65</v>
      </c>
      <c r="E356" s="350">
        <v>22002</v>
      </c>
      <c r="F356" s="353" t="s">
        <v>72</v>
      </c>
      <c r="G356" s="353">
        <v>30</v>
      </c>
    </row>
    <row r="357" spans="1:7" x14ac:dyDescent="0.3">
      <c r="A357" s="350" t="s">
        <v>147</v>
      </c>
      <c r="B357" s="350" t="s">
        <v>107</v>
      </c>
      <c r="C357" s="350">
        <v>2016</v>
      </c>
      <c r="D357" s="350" t="s">
        <v>65</v>
      </c>
      <c r="E357" s="350">
        <v>22002</v>
      </c>
      <c r="F357" s="353" t="s">
        <v>72</v>
      </c>
      <c r="G357" s="353">
        <v>38</v>
      </c>
    </row>
    <row r="358" spans="1:7" x14ac:dyDescent="0.3">
      <c r="A358" s="350" t="s">
        <v>147</v>
      </c>
      <c r="B358" s="350" t="s">
        <v>107</v>
      </c>
      <c r="C358" s="350">
        <v>2015</v>
      </c>
      <c r="D358" s="350" t="s">
        <v>65</v>
      </c>
      <c r="E358" s="350">
        <v>22002</v>
      </c>
      <c r="F358" s="353" t="s">
        <v>72</v>
      </c>
      <c r="G358" s="353">
        <v>39</v>
      </c>
    </row>
    <row r="359" spans="1:7" x14ac:dyDescent="0.3">
      <c r="A359" s="350" t="s">
        <v>147</v>
      </c>
      <c r="B359" s="350" t="s">
        <v>107</v>
      </c>
      <c r="C359" s="350">
        <v>2014</v>
      </c>
      <c r="D359" s="350" t="s">
        <v>65</v>
      </c>
      <c r="E359" s="350">
        <v>22002</v>
      </c>
      <c r="F359" s="353" t="s">
        <v>72</v>
      </c>
      <c r="G359" s="353">
        <v>25</v>
      </c>
    </row>
    <row r="360" spans="1:7" x14ac:dyDescent="0.3">
      <c r="A360" s="350" t="s">
        <v>147</v>
      </c>
      <c r="B360" s="350" t="s">
        <v>121</v>
      </c>
      <c r="C360" s="350">
        <v>2021</v>
      </c>
      <c r="D360" s="350" t="s">
        <v>65</v>
      </c>
      <c r="E360" s="350">
        <v>21500</v>
      </c>
      <c r="F360" s="353" t="s">
        <v>72</v>
      </c>
      <c r="G360" s="353">
        <v>47</v>
      </c>
    </row>
    <row r="361" spans="1:7" x14ac:dyDescent="0.3">
      <c r="A361" s="350" t="s">
        <v>147</v>
      </c>
      <c r="B361" s="350" t="s">
        <v>121</v>
      </c>
      <c r="C361" s="350">
        <v>2020</v>
      </c>
      <c r="D361" s="350" t="s">
        <v>65</v>
      </c>
      <c r="E361" s="350">
        <v>21500</v>
      </c>
      <c r="F361" s="353" t="s">
        <v>72</v>
      </c>
      <c r="G361" s="353">
        <v>57</v>
      </c>
    </row>
    <row r="362" spans="1:7" x14ac:dyDescent="0.3">
      <c r="A362" s="350" t="s">
        <v>147</v>
      </c>
      <c r="B362" s="350" t="s">
        <v>121</v>
      </c>
      <c r="C362" s="350">
        <v>2019</v>
      </c>
      <c r="D362" s="350" t="s">
        <v>65</v>
      </c>
      <c r="E362" s="350">
        <v>21500</v>
      </c>
      <c r="F362" s="353" t="s">
        <v>72</v>
      </c>
      <c r="G362" s="353">
        <v>77</v>
      </c>
    </row>
    <row r="363" spans="1:7" x14ac:dyDescent="0.3">
      <c r="A363" s="350" t="s">
        <v>147</v>
      </c>
      <c r="B363" s="350" t="s">
        <v>121</v>
      </c>
      <c r="C363" s="350">
        <v>2018</v>
      </c>
      <c r="D363" s="350" t="s">
        <v>65</v>
      </c>
      <c r="E363" s="350">
        <v>21500</v>
      </c>
      <c r="F363" s="353" t="s">
        <v>72</v>
      </c>
      <c r="G363" s="353">
        <v>82</v>
      </c>
    </row>
    <row r="364" spans="1:7" x14ac:dyDescent="0.3">
      <c r="A364" s="350" t="s">
        <v>147</v>
      </c>
      <c r="B364" s="350" t="s">
        <v>121</v>
      </c>
      <c r="C364" s="350">
        <v>2017</v>
      </c>
      <c r="D364" s="350" t="s">
        <v>65</v>
      </c>
      <c r="E364" s="350">
        <v>21500</v>
      </c>
      <c r="F364" s="353" t="s">
        <v>72</v>
      </c>
      <c r="G364" s="353">
        <v>110</v>
      </c>
    </row>
    <row r="365" spans="1:7" x14ac:dyDescent="0.3">
      <c r="A365" s="350" t="s">
        <v>147</v>
      </c>
      <c r="B365" s="350" t="s">
        <v>121</v>
      </c>
      <c r="C365" s="350">
        <v>2016</v>
      </c>
      <c r="D365" s="350" t="s">
        <v>65</v>
      </c>
      <c r="E365" s="350">
        <v>21500</v>
      </c>
      <c r="F365" s="353" t="s">
        <v>72</v>
      </c>
      <c r="G365" s="353">
        <v>77</v>
      </c>
    </row>
    <row r="366" spans="1:7" x14ac:dyDescent="0.3">
      <c r="A366" s="350" t="s">
        <v>147</v>
      </c>
      <c r="B366" s="350" t="s">
        <v>121</v>
      </c>
      <c r="C366" s="350">
        <v>2015</v>
      </c>
      <c r="D366" s="350" t="s">
        <v>65</v>
      </c>
      <c r="E366" s="350">
        <v>21500</v>
      </c>
      <c r="F366" s="353" t="s">
        <v>72</v>
      </c>
      <c r="G366" s="353">
        <v>113</v>
      </c>
    </row>
    <row r="367" spans="1:7" x14ac:dyDescent="0.3">
      <c r="A367" s="350" t="s">
        <v>147</v>
      </c>
      <c r="B367" s="350" t="s">
        <v>121</v>
      </c>
      <c r="C367" s="350">
        <v>2014</v>
      </c>
      <c r="D367" s="350" t="s">
        <v>65</v>
      </c>
      <c r="E367" s="350">
        <v>21500</v>
      </c>
      <c r="F367" s="353" t="s">
        <v>72</v>
      </c>
      <c r="G367" s="353">
        <v>51</v>
      </c>
    </row>
    <row r="368" spans="1:7" x14ac:dyDescent="0.3">
      <c r="A368" s="350" t="s">
        <v>147</v>
      </c>
      <c r="B368" s="350" t="s">
        <v>255</v>
      </c>
      <c r="C368" s="350">
        <v>2021</v>
      </c>
      <c r="D368" s="350" t="s">
        <v>65</v>
      </c>
      <c r="E368" s="350">
        <v>18300</v>
      </c>
      <c r="F368" s="353" t="s">
        <v>72</v>
      </c>
      <c r="G368" s="353">
        <v>17</v>
      </c>
    </row>
    <row r="369" spans="1:7" x14ac:dyDescent="0.3">
      <c r="A369" s="350" t="s">
        <v>147</v>
      </c>
      <c r="B369" s="350" t="s">
        <v>255</v>
      </c>
      <c r="C369" s="350">
        <v>2020</v>
      </c>
      <c r="D369" s="350" t="s">
        <v>65</v>
      </c>
      <c r="E369" s="350">
        <v>18300</v>
      </c>
      <c r="F369" s="353" t="s">
        <v>72</v>
      </c>
      <c r="G369" s="353">
        <v>13</v>
      </c>
    </row>
    <row r="370" spans="1:7" x14ac:dyDescent="0.3">
      <c r="A370" s="350" t="s">
        <v>147</v>
      </c>
      <c r="B370" s="350" t="s">
        <v>255</v>
      </c>
      <c r="C370" s="350">
        <v>2019</v>
      </c>
      <c r="D370" s="350" t="s">
        <v>65</v>
      </c>
      <c r="E370" s="350">
        <v>18300</v>
      </c>
      <c r="F370" s="353" t="s">
        <v>72</v>
      </c>
      <c r="G370" s="353">
        <v>2</v>
      </c>
    </row>
    <row r="371" spans="1:7" x14ac:dyDescent="0.3">
      <c r="A371" s="350" t="s">
        <v>147</v>
      </c>
      <c r="B371" s="350" t="s">
        <v>242</v>
      </c>
      <c r="C371" s="350">
        <v>2021</v>
      </c>
      <c r="D371" s="350" t="s">
        <v>65</v>
      </c>
      <c r="E371" s="350">
        <v>18000</v>
      </c>
      <c r="F371" s="353" t="s">
        <v>72</v>
      </c>
      <c r="G371" s="353">
        <v>26</v>
      </c>
    </row>
    <row r="372" spans="1:7" x14ac:dyDescent="0.3">
      <c r="A372" s="350" t="s">
        <v>147</v>
      </c>
      <c r="B372" s="350" t="s">
        <v>242</v>
      </c>
      <c r="C372" s="350">
        <v>2020</v>
      </c>
      <c r="D372" s="350" t="s">
        <v>65</v>
      </c>
      <c r="E372" s="350">
        <v>18000</v>
      </c>
      <c r="F372" s="353" t="s">
        <v>72</v>
      </c>
      <c r="G372" s="353">
        <v>14</v>
      </c>
    </row>
    <row r="373" spans="1:7" x14ac:dyDescent="0.3">
      <c r="A373" s="350" t="s">
        <v>147</v>
      </c>
      <c r="B373" s="350" t="s">
        <v>242</v>
      </c>
      <c r="C373" s="350">
        <v>2019</v>
      </c>
      <c r="D373" s="350" t="s">
        <v>65</v>
      </c>
      <c r="E373" s="350">
        <v>18000</v>
      </c>
      <c r="F373" s="353" t="s">
        <v>72</v>
      </c>
      <c r="G373" s="353">
        <v>29</v>
      </c>
    </row>
    <row r="374" spans="1:7" x14ac:dyDescent="0.3">
      <c r="A374" s="350" t="s">
        <v>147</v>
      </c>
      <c r="B374" s="350" t="s">
        <v>242</v>
      </c>
      <c r="C374" s="350">
        <v>2018</v>
      </c>
      <c r="D374" s="350" t="s">
        <v>65</v>
      </c>
      <c r="E374" s="350">
        <v>18000</v>
      </c>
      <c r="F374" s="353" t="s">
        <v>72</v>
      </c>
      <c r="G374" s="353">
        <v>35</v>
      </c>
    </row>
    <row r="375" spans="1:7" x14ac:dyDescent="0.3">
      <c r="A375" s="350" t="s">
        <v>147</v>
      </c>
      <c r="B375" s="350" t="s">
        <v>242</v>
      </c>
      <c r="C375" s="350">
        <v>2017</v>
      </c>
      <c r="D375" s="350" t="s">
        <v>65</v>
      </c>
      <c r="E375" s="350">
        <v>18000</v>
      </c>
      <c r="F375" s="353" t="s">
        <v>72</v>
      </c>
      <c r="G375" s="353">
        <v>62</v>
      </c>
    </row>
    <row r="376" spans="1:7" x14ac:dyDescent="0.3">
      <c r="A376" s="350" t="s">
        <v>147</v>
      </c>
      <c r="B376" s="350" t="s">
        <v>242</v>
      </c>
      <c r="C376" s="350">
        <v>2016</v>
      </c>
      <c r="D376" s="350" t="s">
        <v>65</v>
      </c>
      <c r="E376" s="350">
        <v>18000</v>
      </c>
      <c r="F376" s="353" t="s">
        <v>72</v>
      </c>
      <c r="G376" s="353">
        <v>59</v>
      </c>
    </row>
    <row r="377" spans="1:7" x14ac:dyDescent="0.3">
      <c r="A377" s="350" t="s">
        <v>147</v>
      </c>
      <c r="B377" s="350" t="s">
        <v>242</v>
      </c>
      <c r="C377" s="350">
        <v>2015</v>
      </c>
      <c r="D377" s="350" t="s">
        <v>65</v>
      </c>
      <c r="E377" s="350">
        <v>18000</v>
      </c>
      <c r="F377" s="353" t="s">
        <v>72</v>
      </c>
      <c r="G377" s="353">
        <v>98</v>
      </c>
    </row>
    <row r="378" spans="1:7" x14ac:dyDescent="0.3">
      <c r="A378" s="350" t="s">
        <v>147</v>
      </c>
      <c r="B378" s="350" t="s">
        <v>242</v>
      </c>
      <c r="C378" s="350">
        <v>2014</v>
      </c>
      <c r="D378" s="350" t="s">
        <v>65</v>
      </c>
      <c r="E378" s="350">
        <v>18000</v>
      </c>
      <c r="F378" s="353" t="s">
        <v>72</v>
      </c>
      <c r="G378" s="353">
        <v>65</v>
      </c>
    </row>
    <row r="379" spans="1:7" x14ac:dyDescent="0.3">
      <c r="A379" s="350" t="s">
        <v>147</v>
      </c>
      <c r="B379" s="350" t="s">
        <v>241</v>
      </c>
      <c r="C379" s="350">
        <v>2021</v>
      </c>
      <c r="D379" s="350" t="s">
        <v>65</v>
      </c>
      <c r="E379" s="350">
        <v>17698</v>
      </c>
      <c r="F379" s="353" t="s">
        <v>72</v>
      </c>
      <c r="G379" s="353">
        <v>5</v>
      </c>
    </row>
    <row r="380" spans="1:7" x14ac:dyDescent="0.3">
      <c r="A380" s="350" t="s">
        <v>147</v>
      </c>
      <c r="B380" s="350" t="s">
        <v>241</v>
      </c>
      <c r="C380" s="350">
        <v>2020</v>
      </c>
      <c r="D380" s="350" t="s">
        <v>65</v>
      </c>
      <c r="E380" s="350">
        <v>17698</v>
      </c>
      <c r="F380" s="353" t="s">
        <v>72</v>
      </c>
      <c r="G380" s="353">
        <v>6</v>
      </c>
    </row>
    <row r="381" spans="1:7" x14ac:dyDescent="0.3">
      <c r="A381" s="350" t="s">
        <v>147</v>
      </c>
      <c r="B381" s="350" t="s">
        <v>241</v>
      </c>
      <c r="C381" s="350">
        <v>2019</v>
      </c>
      <c r="D381" s="350" t="s">
        <v>65</v>
      </c>
      <c r="E381" s="350">
        <v>17698</v>
      </c>
      <c r="F381" s="353" t="s">
        <v>72</v>
      </c>
      <c r="G381" s="353">
        <v>15</v>
      </c>
    </row>
    <row r="382" spans="1:7" x14ac:dyDescent="0.3">
      <c r="A382" s="350" t="s">
        <v>147</v>
      </c>
      <c r="B382" s="350" t="s">
        <v>241</v>
      </c>
      <c r="C382" s="350">
        <v>2018</v>
      </c>
      <c r="D382" s="350" t="s">
        <v>65</v>
      </c>
      <c r="E382" s="350">
        <v>17698</v>
      </c>
      <c r="F382" s="353" t="s">
        <v>72</v>
      </c>
      <c r="G382" s="353">
        <v>7</v>
      </c>
    </row>
    <row r="383" spans="1:7" x14ac:dyDescent="0.3">
      <c r="A383" s="350" t="s">
        <v>147</v>
      </c>
      <c r="B383" s="350" t="s">
        <v>241</v>
      </c>
      <c r="C383" s="350">
        <v>2017</v>
      </c>
      <c r="D383" s="350" t="s">
        <v>65</v>
      </c>
      <c r="E383" s="350">
        <v>17698</v>
      </c>
      <c r="F383" s="353" t="s">
        <v>72</v>
      </c>
      <c r="G383" s="353">
        <v>24</v>
      </c>
    </row>
    <row r="384" spans="1:7" x14ac:dyDescent="0.3">
      <c r="A384" s="350" t="s">
        <v>147</v>
      </c>
      <c r="B384" s="350" t="s">
        <v>241</v>
      </c>
      <c r="C384" s="350">
        <v>2016</v>
      </c>
      <c r="D384" s="350" t="s">
        <v>65</v>
      </c>
      <c r="E384" s="350">
        <v>17698</v>
      </c>
      <c r="F384" s="353" t="s">
        <v>72</v>
      </c>
      <c r="G384" s="353">
        <v>27</v>
      </c>
    </row>
    <row r="385" spans="1:7" x14ac:dyDescent="0.3">
      <c r="A385" s="350" t="s">
        <v>147</v>
      </c>
      <c r="B385" s="350" t="s">
        <v>241</v>
      </c>
      <c r="C385" s="350">
        <v>2015</v>
      </c>
      <c r="D385" s="350" t="s">
        <v>65</v>
      </c>
      <c r="E385" s="350">
        <v>17698</v>
      </c>
      <c r="F385" s="353" t="s">
        <v>72</v>
      </c>
      <c r="G385" s="353">
        <v>18</v>
      </c>
    </row>
    <row r="386" spans="1:7" x14ac:dyDescent="0.3">
      <c r="A386" s="350" t="s">
        <v>147</v>
      </c>
      <c r="B386" s="350" t="s">
        <v>241</v>
      </c>
      <c r="C386" s="350">
        <v>2014</v>
      </c>
      <c r="D386" s="350" t="s">
        <v>65</v>
      </c>
      <c r="E386" s="350">
        <v>17698</v>
      </c>
      <c r="F386" s="353" t="s">
        <v>72</v>
      </c>
      <c r="G386" s="353">
        <v>14</v>
      </c>
    </row>
    <row r="387" spans="1:7" x14ac:dyDescent="0.3">
      <c r="A387" s="350" t="s">
        <v>147</v>
      </c>
      <c r="B387" s="350" t="s">
        <v>218</v>
      </c>
      <c r="C387" s="350">
        <v>2021</v>
      </c>
      <c r="D387" s="350" t="s">
        <v>65</v>
      </c>
      <c r="E387" s="350">
        <v>17528</v>
      </c>
      <c r="F387" s="353" t="s">
        <v>66</v>
      </c>
      <c r="G387" s="353">
        <v>49</v>
      </c>
    </row>
    <row r="388" spans="1:7" x14ac:dyDescent="0.3">
      <c r="A388" s="350" t="s">
        <v>147</v>
      </c>
      <c r="B388" s="350" t="s">
        <v>218</v>
      </c>
      <c r="C388" s="350">
        <v>2020</v>
      </c>
      <c r="D388" s="350" t="s">
        <v>65</v>
      </c>
      <c r="E388" s="350">
        <v>17528</v>
      </c>
      <c r="F388" s="353" t="s">
        <v>66</v>
      </c>
      <c r="G388" s="353">
        <v>38</v>
      </c>
    </row>
    <row r="389" spans="1:7" x14ac:dyDescent="0.3">
      <c r="A389" s="350" t="s">
        <v>147</v>
      </c>
      <c r="B389" s="350" t="s">
        <v>218</v>
      </c>
      <c r="C389" s="350">
        <v>2019</v>
      </c>
      <c r="D389" s="350" t="s">
        <v>65</v>
      </c>
      <c r="E389" s="350">
        <v>17528</v>
      </c>
      <c r="F389" s="353" t="s">
        <v>66</v>
      </c>
      <c r="G389" s="353">
        <v>41</v>
      </c>
    </row>
    <row r="390" spans="1:7" x14ac:dyDescent="0.3">
      <c r="A390" s="350" t="s">
        <v>147</v>
      </c>
      <c r="B390" s="350" t="s">
        <v>218</v>
      </c>
      <c r="C390" s="350">
        <v>2018</v>
      </c>
      <c r="D390" s="350" t="s">
        <v>65</v>
      </c>
      <c r="E390" s="350">
        <v>17528</v>
      </c>
      <c r="F390" s="353" t="s">
        <v>66</v>
      </c>
      <c r="G390" s="353">
        <v>39</v>
      </c>
    </row>
    <row r="391" spans="1:7" x14ac:dyDescent="0.3">
      <c r="A391" s="350" t="s">
        <v>147</v>
      </c>
      <c r="B391" s="350" t="s">
        <v>218</v>
      </c>
      <c r="C391" s="350">
        <v>2017</v>
      </c>
      <c r="D391" s="350" t="s">
        <v>65</v>
      </c>
      <c r="E391" s="350">
        <v>17528</v>
      </c>
      <c r="F391" s="353" t="s">
        <v>66</v>
      </c>
      <c r="G391" s="353">
        <v>36</v>
      </c>
    </row>
    <row r="392" spans="1:7" x14ac:dyDescent="0.3">
      <c r="A392" s="350" t="s">
        <v>147</v>
      </c>
      <c r="B392" s="350" t="s">
        <v>218</v>
      </c>
      <c r="C392" s="350">
        <v>2016</v>
      </c>
      <c r="D392" s="350" t="s">
        <v>65</v>
      </c>
      <c r="E392" s="350">
        <v>17528</v>
      </c>
      <c r="F392" s="353" t="s">
        <v>66</v>
      </c>
      <c r="G392" s="353">
        <v>30</v>
      </c>
    </row>
    <row r="393" spans="1:7" x14ac:dyDescent="0.3">
      <c r="A393" s="350" t="s">
        <v>147</v>
      </c>
      <c r="B393" s="350" t="s">
        <v>218</v>
      </c>
      <c r="C393" s="350">
        <v>2015</v>
      </c>
      <c r="D393" s="350" t="s">
        <v>65</v>
      </c>
      <c r="E393" s="350">
        <v>17528</v>
      </c>
      <c r="F393" s="353" t="s">
        <v>66</v>
      </c>
      <c r="G393" s="353">
        <v>26</v>
      </c>
    </row>
    <row r="394" spans="1:7" x14ac:dyDescent="0.3">
      <c r="A394" s="350" t="s">
        <v>147</v>
      </c>
      <c r="B394" s="350" t="s">
        <v>218</v>
      </c>
      <c r="C394" s="350">
        <v>2014</v>
      </c>
      <c r="D394" s="350" t="s">
        <v>65</v>
      </c>
      <c r="E394" s="350">
        <v>17528</v>
      </c>
      <c r="F394" s="353" t="s">
        <v>66</v>
      </c>
      <c r="G394" s="353">
        <v>13</v>
      </c>
    </row>
    <row r="395" spans="1:7" x14ac:dyDescent="0.3">
      <c r="A395" s="350" t="s">
        <v>147</v>
      </c>
      <c r="B395" s="350" t="s">
        <v>159</v>
      </c>
      <c r="C395" s="350">
        <v>2021</v>
      </c>
      <c r="D395" s="350" t="s">
        <v>65</v>
      </c>
      <c r="E395" s="350">
        <v>17120</v>
      </c>
      <c r="F395" s="353" t="s">
        <v>72</v>
      </c>
      <c r="G395" s="353">
        <v>2</v>
      </c>
    </row>
    <row r="396" spans="1:7" x14ac:dyDescent="0.3">
      <c r="A396" s="350" t="s">
        <v>147</v>
      </c>
      <c r="B396" s="350" t="s">
        <v>159</v>
      </c>
      <c r="C396" s="350">
        <v>2020</v>
      </c>
      <c r="D396" s="350" t="s">
        <v>65</v>
      </c>
      <c r="E396" s="350">
        <v>17120</v>
      </c>
      <c r="F396" s="353" t="s">
        <v>72</v>
      </c>
      <c r="G396" s="353">
        <v>7</v>
      </c>
    </row>
    <row r="397" spans="1:7" x14ac:dyDescent="0.3">
      <c r="A397" s="350" t="s">
        <v>147</v>
      </c>
      <c r="B397" s="350" t="s">
        <v>159</v>
      </c>
      <c r="C397" s="350">
        <v>2019</v>
      </c>
      <c r="D397" s="350" t="s">
        <v>65</v>
      </c>
      <c r="E397" s="350">
        <v>17120</v>
      </c>
      <c r="F397" s="353" t="s">
        <v>72</v>
      </c>
      <c r="G397" s="353">
        <v>4</v>
      </c>
    </row>
    <row r="398" spans="1:7" x14ac:dyDescent="0.3">
      <c r="A398" s="350" t="s">
        <v>147</v>
      </c>
      <c r="B398" s="350" t="s">
        <v>159</v>
      </c>
      <c r="C398" s="350">
        <v>2018</v>
      </c>
      <c r="D398" s="350" t="s">
        <v>65</v>
      </c>
      <c r="E398" s="350">
        <v>17120</v>
      </c>
      <c r="F398" s="353" t="s">
        <v>72</v>
      </c>
      <c r="G398" s="353">
        <v>18</v>
      </c>
    </row>
    <row r="399" spans="1:7" x14ac:dyDescent="0.3">
      <c r="A399" s="350" t="s">
        <v>147</v>
      </c>
      <c r="B399" s="350" t="s">
        <v>159</v>
      </c>
      <c r="C399" s="350">
        <v>2017</v>
      </c>
      <c r="D399" s="350" t="s">
        <v>65</v>
      </c>
      <c r="E399" s="350">
        <v>17120</v>
      </c>
      <c r="F399" s="353" t="s">
        <v>72</v>
      </c>
      <c r="G399" s="353">
        <v>696</v>
      </c>
    </row>
    <row r="400" spans="1:7" x14ac:dyDescent="0.3">
      <c r="A400" s="350" t="s">
        <v>147</v>
      </c>
      <c r="B400" s="350" t="s">
        <v>159</v>
      </c>
      <c r="C400" s="350">
        <v>2016</v>
      </c>
      <c r="D400" s="350" t="s">
        <v>65</v>
      </c>
      <c r="E400" s="350">
        <v>17120</v>
      </c>
      <c r="F400" s="353" t="s">
        <v>72</v>
      </c>
      <c r="G400" s="353">
        <v>169</v>
      </c>
    </row>
    <row r="401" spans="1:7" x14ac:dyDescent="0.3">
      <c r="A401" s="350" t="s">
        <v>147</v>
      </c>
      <c r="B401" s="350" t="s">
        <v>159</v>
      </c>
      <c r="C401" s="350">
        <v>2015</v>
      </c>
      <c r="D401" s="350" t="s">
        <v>65</v>
      </c>
      <c r="E401" s="350">
        <v>17120</v>
      </c>
      <c r="F401" s="353" t="s">
        <v>72</v>
      </c>
      <c r="G401" s="353">
        <v>23</v>
      </c>
    </row>
    <row r="402" spans="1:7" x14ac:dyDescent="0.3">
      <c r="A402" s="350" t="s">
        <v>147</v>
      </c>
      <c r="B402" s="350" t="s">
        <v>159</v>
      </c>
      <c r="C402" s="350">
        <v>2014</v>
      </c>
      <c r="D402" s="350" t="s">
        <v>65</v>
      </c>
      <c r="E402" s="350">
        <v>17120</v>
      </c>
      <c r="F402" s="353" t="s">
        <v>72</v>
      </c>
      <c r="G402" s="353">
        <v>5</v>
      </c>
    </row>
    <row r="403" spans="1:7" x14ac:dyDescent="0.3">
      <c r="A403" s="350" t="s">
        <v>147</v>
      </c>
      <c r="B403" s="350" t="s">
        <v>175</v>
      </c>
      <c r="C403" s="350">
        <v>2017</v>
      </c>
      <c r="D403" s="350" t="s">
        <v>65</v>
      </c>
      <c r="E403" s="350">
        <v>17120</v>
      </c>
      <c r="F403" s="353" t="s">
        <v>72</v>
      </c>
      <c r="G403" s="353">
        <v>1</v>
      </c>
    </row>
    <row r="404" spans="1:7" x14ac:dyDescent="0.3">
      <c r="A404" s="350" t="s">
        <v>147</v>
      </c>
      <c r="B404" s="350" t="s">
        <v>175</v>
      </c>
      <c r="C404" s="350">
        <v>2015</v>
      </c>
      <c r="D404" s="350" t="s">
        <v>65</v>
      </c>
      <c r="E404" s="350">
        <v>17120</v>
      </c>
      <c r="F404" s="353" t="s">
        <v>72</v>
      </c>
      <c r="G404" s="353">
        <v>1</v>
      </c>
    </row>
    <row r="405" spans="1:7" x14ac:dyDescent="0.3">
      <c r="A405" s="354" t="s">
        <v>147</v>
      </c>
      <c r="B405" s="354" t="s">
        <v>160</v>
      </c>
      <c r="C405" s="354">
        <v>2021</v>
      </c>
      <c r="D405" s="354" t="s">
        <v>65</v>
      </c>
      <c r="E405" s="354">
        <v>16500</v>
      </c>
      <c r="F405" s="355" t="s">
        <v>72</v>
      </c>
      <c r="G405" s="355">
        <v>39</v>
      </c>
    </row>
    <row r="406" spans="1:7" x14ac:dyDescent="0.3">
      <c r="A406" s="354" t="s">
        <v>147</v>
      </c>
      <c r="B406" s="354" t="s">
        <v>160</v>
      </c>
      <c r="C406" s="354">
        <v>2020</v>
      </c>
      <c r="D406" s="354" t="s">
        <v>65</v>
      </c>
      <c r="E406" s="354">
        <v>16500</v>
      </c>
      <c r="F406" s="355" t="s">
        <v>72</v>
      </c>
      <c r="G406" s="355">
        <v>28</v>
      </c>
    </row>
    <row r="407" spans="1:7" x14ac:dyDescent="0.3">
      <c r="A407" s="354" t="s">
        <v>147</v>
      </c>
      <c r="B407" s="354" t="s">
        <v>160</v>
      </c>
      <c r="C407" s="354">
        <v>2019</v>
      </c>
      <c r="D407" s="354" t="s">
        <v>65</v>
      </c>
      <c r="E407" s="354">
        <v>16500</v>
      </c>
      <c r="F407" s="355" t="s">
        <v>72</v>
      </c>
      <c r="G407" s="355">
        <v>36</v>
      </c>
    </row>
    <row r="408" spans="1:7" x14ac:dyDescent="0.3">
      <c r="A408" s="354" t="s">
        <v>147</v>
      </c>
      <c r="B408" s="354" t="s">
        <v>160</v>
      </c>
      <c r="C408" s="354">
        <v>2018</v>
      </c>
      <c r="D408" s="354" t="s">
        <v>65</v>
      </c>
      <c r="E408" s="354">
        <v>16500</v>
      </c>
      <c r="F408" s="355" t="s">
        <v>72</v>
      </c>
      <c r="G408" s="355">
        <v>36</v>
      </c>
    </row>
    <row r="409" spans="1:7" x14ac:dyDescent="0.3">
      <c r="A409" s="354" t="s">
        <v>147</v>
      </c>
      <c r="B409" s="354" t="s">
        <v>160</v>
      </c>
      <c r="C409" s="354">
        <v>2017</v>
      </c>
      <c r="D409" s="354" t="s">
        <v>65</v>
      </c>
      <c r="E409" s="354">
        <v>16500</v>
      </c>
      <c r="F409" s="355" t="s">
        <v>72</v>
      </c>
      <c r="G409" s="355">
        <v>38</v>
      </c>
    </row>
    <row r="410" spans="1:7" x14ac:dyDescent="0.3">
      <c r="A410" s="354" t="s">
        <v>147</v>
      </c>
      <c r="B410" s="354" t="s">
        <v>160</v>
      </c>
      <c r="C410" s="354">
        <v>2016</v>
      </c>
      <c r="D410" s="354" t="s">
        <v>65</v>
      </c>
      <c r="E410" s="354">
        <v>16500</v>
      </c>
      <c r="F410" s="355" t="s">
        <v>72</v>
      </c>
      <c r="G410" s="355">
        <v>35</v>
      </c>
    </row>
    <row r="411" spans="1:7" x14ac:dyDescent="0.3">
      <c r="A411" s="354" t="s">
        <v>147</v>
      </c>
      <c r="B411" s="354" t="s">
        <v>160</v>
      </c>
      <c r="C411" s="354">
        <v>2015</v>
      </c>
      <c r="D411" s="354" t="s">
        <v>65</v>
      </c>
      <c r="E411" s="354">
        <v>16500</v>
      </c>
      <c r="F411" s="355" t="s">
        <v>72</v>
      </c>
      <c r="G411" s="355">
        <v>41</v>
      </c>
    </row>
    <row r="412" spans="1:7" x14ac:dyDescent="0.3">
      <c r="A412" s="354" t="s">
        <v>147</v>
      </c>
      <c r="B412" s="354" t="s">
        <v>160</v>
      </c>
      <c r="C412" s="354">
        <v>2014</v>
      </c>
      <c r="D412" s="354" t="s">
        <v>65</v>
      </c>
      <c r="E412" s="354">
        <v>16500</v>
      </c>
      <c r="F412" s="355" t="s">
        <v>72</v>
      </c>
      <c r="G412" s="355">
        <v>14</v>
      </c>
    </row>
    <row r="413" spans="1:7" x14ac:dyDescent="0.3">
      <c r="A413" s="350" t="s">
        <v>147</v>
      </c>
      <c r="B413" s="350" t="s">
        <v>105</v>
      </c>
      <c r="C413" s="350">
        <v>2021</v>
      </c>
      <c r="D413" s="350" t="s">
        <v>65</v>
      </c>
      <c r="E413" s="350">
        <v>16300</v>
      </c>
      <c r="F413" s="353" t="s">
        <v>66</v>
      </c>
      <c r="G413" s="353">
        <v>100</v>
      </c>
    </row>
    <row r="414" spans="1:7" x14ac:dyDescent="0.3">
      <c r="A414" s="350" t="s">
        <v>147</v>
      </c>
      <c r="B414" s="350" t="s">
        <v>105</v>
      </c>
      <c r="C414" s="350">
        <v>2020</v>
      </c>
      <c r="D414" s="350" t="s">
        <v>65</v>
      </c>
      <c r="E414" s="350">
        <v>16300</v>
      </c>
      <c r="F414" s="353" t="s">
        <v>66</v>
      </c>
      <c r="G414" s="353">
        <v>86</v>
      </c>
    </row>
    <row r="415" spans="1:7" x14ac:dyDescent="0.3">
      <c r="A415" s="350" t="s">
        <v>147</v>
      </c>
      <c r="B415" s="350" t="s">
        <v>105</v>
      </c>
      <c r="C415" s="350">
        <v>2019</v>
      </c>
      <c r="D415" s="350" t="s">
        <v>65</v>
      </c>
      <c r="E415" s="350">
        <v>16300</v>
      </c>
      <c r="F415" s="353" t="s">
        <v>66</v>
      </c>
      <c r="G415" s="353">
        <v>78</v>
      </c>
    </row>
    <row r="416" spans="1:7" x14ac:dyDescent="0.3">
      <c r="A416" s="350" t="s">
        <v>147</v>
      </c>
      <c r="B416" s="350" t="s">
        <v>105</v>
      </c>
      <c r="C416" s="350">
        <v>2018</v>
      </c>
      <c r="D416" s="350" t="s">
        <v>65</v>
      </c>
      <c r="E416" s="350">
        <v>16300</v>
      </c>
      <c r="F416" s="353" t="s">
        <v>66</v>
      </c>
      <c r="G416" s="353">
        <v>70</v>
      </c>
    </row>
    <row r="417" spans="1:7" x14ac:dyDescent="0.3">
      <c r="A417" s="350" t="s">
        <v>147</v>
      </c>
      <c r="B417" s="350" t="s">
        <v>105</v>
      </c>
      <c r="C417" s="350">
        <v>2017</v>
      </c>
      <c r="D417" s="350" t="s">
        <v>65</v>
      </c>
      <c r="E417" s="350">
        <v>16300</v>
      </c>
      <c r="F417" s="353" t="s">
        <v>66</v>
      </c>
      <c r="G417" s="353">
        <v>74</v>
      </c>
    </row>
    <row r="418" spans="1:7" x14ac:dyDescent="0.3">
      <c r="A418" s="350" t="s">
        <v>147</v>
      </c>
      <c r="B418" s="350" t="s">
        <v>105</v>
      </c>
      <c r="C418" s="350">
        <v>2016</v>
      </c>
      <c r="D418" s="350" t="s">
        <v>65</v>
      </c>
      <c r="E418" s="350">
        <v>16300</v>
      </c>
      <c r="F418" s="353" t="s">
        <v>66</v>
      </c>
      <c r="G418" s="353">
        <v>58</v>
      </c>
    </row>
    <row r="419" spans="1:7" x14ac:dyDescent="0.3">
      <c r="A419" s="350" t="s">
        <v>147</v>
      </c>
      <c r="B419" s="350" t="s">
        <v>105</v>
      </c>
      <c r="C419" s="350">
        <v>2015</v>
      </c>
      <c r="D419" s="350" t="s">
        <v>65</v>
      </c>
      <c r="E419" s="350">
        <v>16300</v>
      </c>
      <c r="F419" s="353" t="s">
        <v>66</v>
      </c>
      <c r="G419" s="353">
        <v>85</v>
      </c>
    </row>
    <row r="420" spans="1:7" x14ac:dyDescent="0.3">
      <c r="A420" s="350" t="s">
        <v>147</v>
      </c>
      <c r="B420" s="350" t="s">
        <v>105</v>
      </c>
      <c r="C420" s="350">
        <v>2014</v>
      </c>
      <c r="D420" s="350" t="s">
        <v>65</v>
      </c>
      <c r="E420" s="350">
        <v>16300</v>
      </c>
      <c r="F420" s="353" t="s">
        <v>66</v>
      </c>
      <c r="G420" s="353">
        <v>53</v>
      </c>
    </row>
    <row r="421" spans="1:7" x14ac:dyDescent="0.3">
      <c r="A421" s="350" t="s">
        <v>147</v>
      </c>
      <c r="B421" s="350" t="s">
        <v>179</v>
      </c>
      <c r="C421" s="350">
        <v>2021</v>
      </c>
      <c r="D421" s="350" t="s">
        <v>65</v>
      </c>
      <c r="E421" s="350">
        <v>16100</v>
      </c>
      <c r="F421" s="353" t="s">
        <v>66</v>
      </c>
      <c r="G421" s="353">
        <v>92</v>
      </c>
    </row>
    <row r="422" spans="1:7" x14ac:dyDescent="0.3">
      <c r="A422" s="350" t="s">
        <v>147</v>
      </c>
      <c r="B422" s="350" t="s">
        <v>179</v>
      </c>
      <c r="C422" s="350">
        <v>2020</v>
      </c>
      <c r="D422" s="350" t="s">
        <v>65</v>
      </c>
      <c r="E422" s="350">
        <v>16100</v>
      </c>
      <c r="F422" s="353" t="s">
        <v>66</v>
      </c>
      <c r="G422" s="353">
        <v>108</v>
      </c>
    </row>
    <row r="423" spans="1:7" x14ac:dyDescent="0.3">
      <c r="A423" s="350" t="s">
        <v>147</v>
      </c>
      <c r="B423" s="350" t="s">
        <v>179</v>
      </c>
      <c r="C423" s="350">
        <v>2019</v>
      </c>
      <c r="D423" s="350" t="s">
        <v>65</v>
      </c>
      <c r="E423" s="350">
        <v>16100</v>
      </c>
      <c r="F423" s="353" t="s">
        <v>66</v>
      </c>
      <c r="G423" s="353">
        <v>129</v>
      </c>
    </row>
    <row r="424" spans="1:7" x14ac:dyDescent="0.3">
      <c r="A424" s="350" t="s">
        <v>147</v>
      </c>
      <c r="B424" s="350" t="s">
        <v>179</v>
      </c>
      <c r="C424" s="350">
        <v>2018</v>
      </c>
      <c r="D424" s="350" t="s">
        <v>65</v>
      </c>
      <c r="E424" s="350">
        <v>16100</v>
      </c>
      <c r="F424" s="353" t="s">
        <v>66</v>
      </c>
      <c r="G424" s="353">
        <v>84</v>
      </c>
    </row>
    <row r="425" spans="1:7" x14ac:dyDescent="0.3">
      <c r="A425" s="350" t="s">
        <v>147</v>
      </c>
      <c r="B425" s="350" t="s">
        <v>179</v>
      </c>
      <c r="C425" s="350">
        <v>2017</v>
      </c>
      <c r="D425" s="350" t="s">
        <v>65</v>
      </c>
      <c r="E425" s="350">
        <v>16100</v>
      </c>
      <c r="F425" s="353" t="s">
        <v>66</v>
      </c>
      <c r="G425" s="353">
        <v>123</v>
      </c>
    </row>
    <row r="426" spans="1:7" x14ac:dyDescent="0.3">
      <c r="A426" s="350" t="s">
        <v>147</v>
      </c>
      <c r="B426" s="350" t="s">
        <v>179</v>
      </c>
      <c r="C426" s="350">
        <v>2016</v>
      </c>
      <c r="D426" s="350" t="s">
        <v>65</v>
      </c>
      <c r="E426" s="350">
        <v>16100</v>
      </c>
      <c r="F426" s="353" t="s">
        <v>66</v>
      </c>
      <c r="G426" s="353">
        <v>100</v>
      </c>
    </row>
    <row r="427" spans="1:7" x14ac:dyDescent="0.3">
      <c r="A427" s="350" t="s">
        <v>147</v>
      </c>
      <c r="B427" s="350" t="s">
        <v>179</v>
      </c>
      <c r="C427" s="350">
        <v>2015</v>
      </c>
      <c r="D427" s="350" t="s">
        <v>65</v>
      </c>
      <c r="E427" s="350">
        <v>16100</v>
      </c>
      <c r="F427" s="353" t="s">
        <v>66</v>
      </c>
      <c r="G427" s="353">
        <v>96</v>
      </c>
    </row>
    <row r="428" spans="1:7" x14ac:dyDescent="0.3">
      <c r="A428" s="350" t="s">
        <v>147</v>
      </c>
      <c r="B428" s="350" t="s">
        <v>179</v>
      </c>
      <c r="C428" s="350">
        <v>2014</v>
      </c>
      <c r="D428" s="350" t="s">
        <v>65</v>
      </c>
      <c r="E428" s="350">
        <v>16100</v>
      </c>
      <c r="F428" s="353" t="s">
        <v>66</v>
      </c>
      <c r="G428" s="353">
        <v>71</v>
      </c>
    </row>
    <row r="429" spans="1:7" x14ac:dyDescent="0.3">
      <c r="A429" s="354" t="s">
        <v>147</v>
      </c>
      <c r="B429" s="354" t="s">
        <v>158</v>
      </c>
      <c r="C429" s="354">
        <v>2020</v>
      </c>
      <c r="D429" s="354" t="s">
        <v>65</v>
      </c>
      <c r="E429" s="354">
        <v>16000</v>
      </c>
      <c r="F429" s="355" t="s">
        <v>66</v>
      </c>
      <c r="G429" s="355">
        <v>1</v>
      </c>
    </row>
    <row r="430" spans="1:7" x14ac:dyDescent="0.3">
      <c r="A430" s="354" t="s">
        <v>147</v>
      </c>
      <c r="B430" s="354" t="s">
        <v>158</v>
      </c>
      <c r="C430" s="354">
        <v>2017</v>
      </c>
      <c r="D430" s="354" t="s">
        <v>65</v>
      </c>
      <c r="E430" s="354">
        <v>16000</v>
      </c>
      <c r="F430" s="355" t="s">
        <v>66</v>
      </c>
      <c r="G430" s="355">
        <v>1</v>
      </c>
    </row>
    <row r="431" spans="1:7" x14ac:dyDescent="0.3">
      <c r="A431" s="354" t="s">
        <v>147</v>
      </c>
      <c r="B431" s="354" t="s">
        <v>158</v>
      </c>
      <c r="C431" s="354">
        <v>2015</v>
      </c>
      <c r="D431" s="354" t="s">
        <v>65</v>
      </c>
      <c r="E431" s="354">
        <v>16000</v>
      </c>
      <c r="F431" s="355" t="s">
        <v>66</v>
      </c>
      <c r="G431" s="355">
        <v>2</v>
      </c>
    </row>
    <row r="432" spans="1:7" x14ac:dyDescent="0.3">
      <c r="A432" s="354" t="s">
        <v>147</v>
      </c>
      <c r="B432" s="354" t="s">
        <v>158</v>
      </c>
      <c r="C432" s="354">
        <v>2014</v>
      </c>
      <c r="D432" s="354" t="s">
        <v>65</v>
      </c>
      <c r="E432" s="354">
        <v>16000</v>
      </c>
      <c r="F432" s="355" t="s">
        <v>66</v>
      </c>
      <c r="G432" s="355">
        <v>1</v>
      </c>
    </row>
    <row r="433" spans="1:7" x14ac:dyDescent="0.3">
      <c r="A433" s="350" t="s">
        <v>147</v>
      </c>
      <c r="B433" s="350" t="s">
        <v>261</v>
      </c>
      <c r="C433" s="350">
        <v>2021</v>
      </c>
      <c r="D433" s="350" t="s">
        <v>65</v>
      </c>
      <c r="E433" s="350">
        <v>15100</v>
      </c>
      <c r="F433" s="353" t="s">
        <v>66</v>
      </c>
      <c r="G433" s="353">
        <v>41</v>
      </c>
    </row>
    <row r="434" spans="1:7" x14ac:dyDescent="0.3">
      <c r="A434" s="350" t="s">
        <v>147</v>
      </c>
      <c r="B434" s="350" t="s">
        <v>261</v>
      </c>
      <c r="C434" s="350">
        <v>2020</v>
      </c>
      <c r="D434" s="350" t="s">
        <v>65</v>
      </c>
      <c r="E434" s="350">
        <v>15100</v>
      </c>
      <c r="F434" s="353" t="s">
        <v>66</v>
      </c>
      <c r="G434" s="353">
        <v>31</v>
      </c>
    </row>
    <row r="435" spans="1:7" x14ac:dyDescent="0.3">
      <c r="A435" s="350" t="s">
        <v>147</v>
      </c>
      <c r="B435" s="350" t="s">
        <v>261</v>
      </c>
      <c r="C435" s="350">
        <v>2019</v>
      </c>
      <c r="D435" s="350" t="s">
        <v>65</v>
      </c>
      <c r="E435" s="350">
        <v>15100</v>
      </c>
      <c r="F435" s="353" t="s">
        <v>66</v>
      </c>
      <c r="G435" s="353">
        <v>23</v>
      </c>
    </row>
    <row r="436" spans="1:7" x14ac:dyDescent="0.3">
      <c r="A436" s="350" t="s">
        <v>147</v>
      </c>
      <c r="B436" s="350" t="s">
        <v>261</v>
      </c>
      <c r="C436" s="350">
        <v>2018</v>
      </c>
      <c r="D436" s="350" t="s">
        <v>65</v>
      </c>
      <c r="E436" s="350">
        <v>15100</v>
      </c>
      <c r="F436" s="353" t="s">
        <v>66</v>
      </c>
      <c r="G436" s="353">
        <v>16</v>
      </c>
    </row>
    <row r="437" spans="1:7" x14ac:dyDescent="0.3">
      <c r="A437" s="350" t="s">
        <v>147</v>
      </c>
      <c r="B437" s="350" t="s">
        <v>261</v>
      </c>
      <c r="C437" s="350">
        <v>2017</v>
      </c>
      <c r="D437" s="350" t="s">
        <v>65</v>
      </c>
      <c r="E437" s="350">
        <v>15100</v>
      </c>
      <c r="F437" s="353" t="s">
        <v>66</v>
      </c>
      <c r="G437" s="353">
        <v>8</v>
      </c>
    </row>
    <row r="438" spans="1:7" x14ac:dyDescent="0.3">
      <c r="A438" s="350" t="s">
        <v>147</v>
      </c>
      <c r="B438" s="350" t="s">
        <v>261</v>
      </c>
      <c r="C438" s="350">
        <v>2016</v>
      </c>
      <c r="D438" s="350" t="s">
        <v>65</v>
      </c>
      <c r="E438" s="350">
        <v>15100</v>
      </c>
      <c r="F438" s="353" t="s">
        <v>66</v>
      </c>
      <c r="G438" s="353">
        <v>4</v>
      </c>
    </row>
    <row r="439" spans="1:7" x14ac:dyDescent="0.3">
      <c r="A439" s="350" t="s">
        <v>147</v>
      </c>
      <c r="B439" s="350" t="s">
        <v>261</v>
      </c>
      <c r="C439" s="350">
        <v>2015</v>
      </c>
      <c r="D439" s="350" t="s">
        <v>65</v>
      </c>
      <c r="E439" s="350">
        <v>15100</v>
      </c>
      <c r="F439" s="353" t="s">
        <v>66</v>
      </c>
      <c r="G439" s="353">
        <v>1</v>
      </c>
    </row>
    <row r="440" spans="1:7" x14ac:dyDescent="0.3">
      <c r="A440" s="350" t="s">
        <v>147</v>
      </c>
      <c r="B440" s="350" t="s">
        <v>106</v>
      </c>
      <c r="C440" s="350">
        <v>2021</v>
      </c>
      <c r="D440" s="350" t="s">
        <v>65</v>
      </c>
      <c r="E440" s="350">
        <v>15000</v>
      </c>
      <c r="F440" s="353" t="s">
        <v>66</v>
      </c>
      <c r="G440" s="353">
        <v>113</v>
      </c>
    </row>
    <row r="441" spans="1:7" x14ac:dyDescent="0.3">
      <c r="A441" s="350" t="s">
        <v>147</v>
      </c>
      <c r="B441" s="350" t="s">
        <v>106</v>
      </c>
      <c r="C441" s="350">
        <v>2020</v>
      </c>
      <c r="D441" s="350" t="s">
        <v>65</v>
      </c>
      <c r="E441" s="350">
        <v>15000</v>
      </c>
      <c r="F441" s="353" t="s">
        <v>66</v>
      </c>
      <c r="G441" s="353">
        <v>104</v>
      </c>
    </row>
    <row r="442" spans="1:7" x14ac:dyDescent="0.3">
      <c r="A442" s="350" t="s">
        <v>147</v>
      </c>
      <c r="B442" s="350" t="s">
        <v>106</v>
      </c>
      <c r="C442" s="350">
        <v>2019</v>
      </c>
      <c r="D442" s="350" t="s">
        <v>65</v>
      </c>
      <c r="E442" s="350">
        <v>15000</v>
      </c>
      <c r="F442" s="353" t="s">
        <v>66</v>
      </c>
      <c r="G442" s="353">
        <v>155</v>
      </c>
    </row>
    <row r="443" spans="1:7" x14ac:dyDescent="0.3">
      <c r="A443" s="350" t="s">
        <v>147</v>
      </c>
      <c r="B443" s="350" t="s">
        <v>106</v>
      </c>
      <c r="C443" s="350">
        <v>2018</v>
      </c>
      <c r="D443" s="350" t="s">
        <v>65</v>
      </c>
      <c r="E443" s="350">
        <v>15000</v>
      </c>
      <c r="F443" s="353" t="s">
        <v>66</v>
      </c>
      <c r="G443" s="353">
        <v>124</v>
      </c>
    </row>
    <row r="444" spans="1:7" x14ac:dyDescent="0.3">
      <c r="A444" s="350" t="s">
        <v>147</v>
      </c>
      <c r="B444" s="350" t="s">
        <v>106</v>
      </c>
      <c r="C444" s="350">
        <v>2017</v>
      </c>
      <c r="D444" s="350" t="s">
        <v>65</v>
      </c>
      <c r="E444" s="350">
        <v>15000</v>
      </c>
      <c r="F444" s="353" t="s">
        <v>66</v>
      </c>
      <c r="G444" s="353">
        <v>130</v>
      </c>
    </row>
    <row r="445" spans="1:7" x14ac:dyDescent="0.3">
      <c r="A445" s="350" t="s">
        <v>147</v>
      </c>
      <c r="B445" s="350" t="s">
        <v>106</v>
      </c>
      <c r="C445" s="350">
        <v>2016</v>
      </c>
      <c r="D445" s="350" t="s">
        <v>65</v>
      </c>
      <c r="E445" s="350">
        <v>15000</v>
      </c>
      <c r="F445" s="353" t="s">
        <v>66</v>
      </c>
      <c r="G445" s="353">
        <v>118</v>
      </c>
    </row>
    <row r="446" spans="1:7" x14ac:dyDescent="0.3">
      <c r="A446" s="350" t="s">
        <v>147</v>
      </c>
      <c r="B446" s="350" t="s">
        <v>106</v>
      </c>
      <c r="C446" s="350">
        <v>2015</v>
      </c>
      <c r="D446" s="350" t="s">
        <v>65</v>
      </c>
      <c r="E446" s="350">
        <v>15000</v>
      </c>
      <c r="F446" s="353" t="s">
        <v>66</v>
      </c>
      <c r="G446" s="353">
        <v>125</v>
      </c>
    </row>
    <row r="447" spans="1:7" x14ac:dyDescent="0.3">
      <c r="A447" s="350" t="s">
        <v>147</v>
      </c>
      <c r="B447" s="350" t="s">
        <v>106</v>
      </c>
      <c r="C447" s="350">
        <v>2014</v>
      </c>
      <c r="D447" s="350" t="s">
        <v>65</v>
      </c>
      <c r="E447" s="350">
        <v>15000</v>
      </c>
      <c r="F447" s="353" t="s">
        <v>66</v>
      </c>
      <c r="G447" s="353">
        <v>57</v>
      </c>
    </row>
    <row r="448" spans="1:7" x14ac:dyDescent="0.3">
      <c r="A448" s="350" t="s">
        <v>147</v>
      </c>
      <c r="B448" s="350" t="s">
        <v>104</v>
      </c>
      <c r="C448" s="350">
        <v>2021</v>
      </c>
      <c r="D448" s="350" t="s">
        <v>65</v>
      </c>
      <c r="E448" s="350">
        <v>14800</v>
      </c>
      <c r="F448" s="353" t="s">
        <v>66</v>
      </c>
      <c r="G448" s="353">
        <v>49</v>
      </c>
    </row>
    <row r="449" spans="1:7" x14ac:dyDescent="0.3">
      <c r="A449" s="350" t="s">
        <v>147</v>
      </c>
      <c r="B449" s="350" t="s">
        <v>104</v>
      </c>
      <c r="C449" s="350">
        <v>2020</v>
      </c>
      <c r="D449" s="350" t="s">
        <v>65</v>
      </c>
      <c r="E449" s="350">
        <v>14800</v>
      </c>
      <c r="F449" s="353" t="s">
        <v>66</v>
      </c>
      <c r="G449" s="353">
        <v>47</v>
      </c>
    </row>
    <row r="450" spans="1:7" x14ac:dyDescent="0.3">
      <c r="A450" s="350" t="s">
        <v>147</v>
      </c>
      <c r="B450" s="350" t="s">
        <v>104</v>
      </c>
      <c r="C450" s="350">
        <v>2019</v>
      </c>
      <c r="D450" s="350" t="s">
        <v>65</v>
      </c>
      <c r="E450" s="350">
        <v>14800</v>
      </c>
      <c r="F450" s="353" t="s">
        <v>66</v>
      </c>
      <c r="G450" s="353">
        <v>58</v>
      </c>
    </row>
    <row r="451" spans="1:7" x14ac:dyDescent="0.3">
      <c r="A451" s="350" t="s">
        <v>147</v>
      </c>
      <c r="B451" s="350" t="s">
        <v>104</v>
      </c>
      <c r="C451" s="350">
        <v>2018</v>
      </c>
      <c r="D451" s="350" t="s">
        <v>65</v>
      </c>
      <c r="E451" s="350">
        <v>14800</v>
      </c>
      <c r="F451" s="353" t="s">
        <v>66</v>
      </c>
      <c r="G451" s="353">
        <v>70</v>
      </c>
    </row>
    <row r="452" spans="1:7" x14ac:dyDescent="0.3">
      <c r="A452" s="350" t="s">
        <v>147</v>
      </c>
      <c r="B452" s="350" t="s">
        <v>104</v>
      </c>
      <c r="C452" s="350">
        <v>2017</v>
      </c>
      <c r="D452" s="350" t="s">
        <v>65</v>
      </c>
      <c r="E452" s="350">
        <v>14800</v>
      </c>
      <c r="F452" s="353" t="s">
        <v>66</v>
      </c>
      <c r="G452" s="353">
        <v>83</v>
      </c>
    </row>
    <row r="453" spans="1:7" x14ac:dyDescent="0.3">
      <c r="A453" s="350" t="s">
        <v>147</v>
      </c>
      <c r="B453" s="350" t="s">
        <v>104</v>
      </c>
      <c r="C453" s="350">
        <v>2016</v>
      </c>
      <c r="D453" s="350" t="s">
        <v>65</v>
      </c>
      <c r="E453" s="350">
        <v>14800</v>
      </c>
      <c r="F453" s="353" t="s">
        <v>66</v>
      </c>
      <c r="G453" s="353">
        <v>87</v>
      </c>
    </row>
    <row r="454" spans="1:7" x14ac:dyDescent="0.3">
      <c r="A454" s="350" t="s">
        <v>147</v>
      </c>
      <c r="B454" s="350" t="s">
        <v>104</v>
      </c>
      <c r="C454" s="350">
        <v>2015</v>
      </c>
      <c r="D454" s="350" t="s">
        <v>65</v>
      </c>
      <c r="E454" s="350">
        <v>14800</v>
      </c>
      <c r="F454" s="353" t="s">
        <v>66</v>
      </c>
      <c r="G454" s="353">
        <v>77</v>
      </c>
    </row>
    <row r="455" spans="1:7" x14ac:dyDescent="0.3">
      <c r="A455" s="350" t="s">
        <v>147</v>
      </c>
      <c r="B455" s="350" t="s">
        <v>104</v>
      </c>
      <c r="C455" s="350">
        <v>2014</v>
      </c>
      <c r="D455" s="350" t="s">
        <v>65</v>
      </c>
      <c r="E455" s="350">
        <v>14800</v>
      </c>
      <c r="F455" s="353" t="s">
        <v>66</v>
      </c>
      <c r="G455" s="353">
        <v>39</v>
      </c>
    </row>
    <row r="456" spans="1:7" x14ac:dyDescent="0.3">
      <c r="A456" s="350" t="s">
        <v>147</v>
      </c>
      <c r="B456" s="350" t="s">
        <v>143</v>
      </c>
      <c r="C456" s="350">
        <v>2021</v>
      </c>
      <c r="D456" s="350" t="s">
        <v>65</v>
      </c>
      <c r="E456" s="350">
        <v>14500</v>
      </c>
      <c r="F456" s="353" t="s">
        <v>72</v>
      </c>
      <c r="G456" s="353">
        <v>255</v>
      </c>
    </row>
    <row r="457" spans="1:7" x14ac:dyDescent="0.3">
      <c r="A457" s="350" t="s">
        <v>147</v>
      </c>
      <c r="B457" s="350" t="s">
        <v>143</v>
      </c>
      <c r="C457" s="350">
        <v>2020</v>
      </c>
      <c r="D457" s="350" t="s">
        <v>65</v>
      </c>
      <c r="E457" s="350">
        <v>14500</v>
      </c>
      <c r="F457" s="353" t="s">
        <v>72</v>
      </c>
      <c r="G457" s="353">
        <v>366</v>
      </c>
    </row>
    <row r="458" spans="1:7" x14ac:dyDescent="0.3">
      <c r="A458" s="350" t="s">
        <v>147</v>
      </c>
      <c r="B458" s="350" t="s">
        <v>143</v>
      </c>
      <c r="C458" s="350">
        <v>2019</v>
      </c>
      <c r="D458" s="350" t="s">
        <v>65</v>
      </c>
      <c r="E458" s="350">
        <v>14500</v>
      </c>
      <c r="F458" s="353" t="s">
        <v>72</v>
      </c>
      <c r="G458" s="353">
        <v>336</v>
      </c>
    </row>
    <row r="459" spans="1:7" x14ac:dyDescent="0.3">
      <c r="A459" s="350" t="s">
        <v>147</v>
      </c>
      <c r="B459" s="350" t="s">
        <v>143</v>
      </c>
      <c r="C459" s="350">
        <v>2018</v>
      </c>
      <c r="D459" s="350" t="s">
        <v>65</v>
      </c>
      <c r="E459" s="350">
        <v>14500</v>
      </c>
      <c r="F459" s="353" t="s">
        <v>72</v>
      </c>
      <c r="G459" s="353">
        <v>319</v>
      </c>
    </row>
    <row r="460" spans="1:7" x14ac:dyDescent="0.3">
      <c r="A460" s="350" t="s">
        <v>147</v>
      </c>
      <c r="B460" s="350" t="s">
        <v>143</v>
      </c>
      <c r="C460" s="350">
        <v>2017</v>
      </c>
      <c r="D460" s="350" t="s">
        <v>65</v>
      </c>
      <c r="E460" s="350">
        <v>14500</v>
      </c>
      <c r="F460" s="353" t="s">
        <v>72</v>
      </c>
      <c r="G460" s="353">
        <v>294</v>
      </c>
    </row>
    <row r="461" spans="1:7" x14ac:dyDescent="0.3">
      <c r="A461" s="350" t="s">
        <v>147</v>
      </c>
      <c r="B461" s="350" t="s">
        <v>143</v>
      </c>
      <c r="C461" s="350">
        <v>2016</v>
      </c>
      <c r="D461" s="350" t="s">
        <v>65</v>
      </c>
      <c r="E461" s="350">
        <v>14500</v>
      </c>
      <c r="F461" s="353" t="s">
        <v>72</v>
      </c>
      <c r="G461" s="353">
        <v>320</v>
      </c>
    </row>
    <row r="462" spans="1:7" x14ac:dyDescent="0.3">
      <c r="A462" s="350" t="s">
        <v>147</v>
      </c>
      <c r="B462" s="350" t="s">
        <v>143</v>
      </c>
      <c r="C462" s="350">
        <v>2015</v>
      </c>
      <c r="D462" s="350" t="s">
        <v>65</v>
      </c>
      <c r="E462" s="350">
        <v>14500</v>
      </c>
      <c r="F462" s="353" t="s">
        <v>72</v>
      </c>
      <c r="G462" s="353">
        <v>336</v>
      </c>
    </row>
    <row r="463" spans="1:7" x14ac:dyDescent="0.3">
      <c r="A463" s="350" t="s">
        <v>147</v>
      </c>
      <c r="B463" s="350" t="s">
        <v>143</v>
      </c>
      <c r="C463" s="350">
        <v>2014</v>
      </c>
      <c r="D463" s="350" t="s">
        <v>65</v>
      </c>
      <c r="E463" s="350">
        <v>14500</v>
      </c>
      <c r="F463" s="353" t="s">
        <v>72</v>
      </c>
      <c r="G463" s="353">
        <v>143</v>
      </c>
    </row>
    <row r="464" spans="1:7" x14ac:dyDescent="0.3">
      <c r="A464" s="350" t="s">
        <v>147</v>
      </c>
      <c r="B464" s="350" t="s">
        <v>178</v>
      </c>
      <c r="C464" s="350">
        <v>2021</v>
      </c>
      <c r="D464" s="350" t="s">
        <v>65</v>
      </c>
      <c r="E464" s="350">
        <v>14000</v>
      </c>
      <c r="F464" s="353" t="s">
        <v>72</v>
      </c>
      <c r="G464" s="353">
        <v>9</v>
      </c>
    </row>
    <row r="465" spans="1:7" x14ac:dyDescent="0.3">
      <c r="A465" s="350" t="s">
        <v>147</v>
      </c>
      <c r="B465" s="350" t="s">
        <v>178</v>
      </c>
      <c r="C465" s="350">
        <v>2020</v>
      </c>
      <c r="D465" s="350" t="s">
        <v>65</v>
      </c>
      <c r="E465" s="350">
        <v>14000</v>
      </c>
      <c r="F465" s="353" t="s">
        <v>72</v>
      </c>
      <c r="G465" s="353">
        <v>15</v>
      </c>
    </row>
    <row r="466" spans="1:7" x14ac:dyDescent="0.3">
      <c r="A466" s="350" t="s">
        <v>147</v>
      </c>
      <c r="B466" s="350" t="s">
        <v>178</v>
      </c>
      <c r="C466" s="350">
        <v>2019</v>
      </c>
      <c r="D466" s="350" t="s">
        <v>65</v>
      </c>
      <c r="E466" s="350">
        <v>14000</v>
      </c>
      <c r="F466" s="353" t="s">
        <v>72</v>
      </c>
      <c r="G466" s="353">
        <v>12</v>
      </c>
    </row>
    <row r="467" spans="1:7" x14ac:dyDescent="0.3">
      <c r="A467" s="350" t="s">
        <v>147</v>
      </c>
      <c r="B467" s="350" t="s">
        <v>178</v>
      </c>
      <c r="C467" s="350">
        <v>2018</v>
      </c>
      <c r="D467" s="350" t="s">
        <v>65</v>
      </c>
      <c r="E467" s="350">
        <v>14000</v>
      </c>
      <c r="F467" s="353" t="s">
        <v>72</v>
      </c>
      <c r="G467" s="353">
        <v>14</v>
      </c>
    </row>
    <row r="468" spans="1:7" x14ac:dyDescent="0.3">
      <c r="A468" s="350" t="s">
        <v>147</v>
      </c>
      <c r="B468" s="350" t="s">
        <v>178</v>
      </c>
      <c r="C468" s="350">
        <v>2017</v>
      </c>
      <c r="D468" s="350" t="s">
        <v>65</v>
      </c>
      <c r="E468" s="350">
        <v>14000</v>
      </c>
      <c r="F468" s="353" t="s">
        <v>72</v>
      </c>
      <c r="G468" s="353">
        <v>25</v>
      </c>
    </row>
    <row r="469" spans="1:7" x14ac:dyDescent="0.3">
      <c r="A469" s="350" t="s">
        <v>147</v>
      </c>
      <c r="B469" s="350" t="s">
        <v>178</v>
      </c>
      <c r="C469" s="350">
        <v>2016</v>
      </c>
      <c r="D469" s="350" t="s">
        <v>65</v>
      </c>
      <c r="E469" s="350">
        <v>14000</v>
      </c>
      <c r="F469" s="353" t="s">
        <v>72</v>
      </c>
      <c r="G469" s="353">
        <v>23</v>
      </c>
    </row>
    <row r="470" spans="1:7" x14ac:dyDescent="0.3">
      <c r="A470" s="350" t="s">
        <v>147</v>
      </c>
      <c r="B470" s="350" t="s">
        <v>178</v>
      </c>
      <c r="C470" s="350">
        <v>2015</v>
      </c>
      <c r="D470" s="350" t="s">
        <v>65</v>
      </c>
      <c r="E470" s="350">
        <v>14000</v>
      </c>
      <c r="F470" s="353" t="s">
        <v>72</v>
      </c>
      <c r="G470" s="353">
        <v>29</v>
      </c>
    </row>
    <row r="471" spans="1:7" x14ac:dyDescent="0.3">
      <c r="A471" s="350" t="s">
        <v>147</v>
      </c>
      <c r="B471" s="350" t="s">
        <v>178</v>
      </c>
      <c r="C471" s="350">
        <v>2014</v>
      </c>
      <c r="D471" s="350" t="s">
        <v>65</v>
      </c>
      <c r="E471" s="350">
        <v>14000</v>
      </c>
      <c r="F471" s="353" t="s">
        <v>72</v>
      </c>
      <c r="G471" s="353">
        <v>5</v>
      </c>
    </row>
    <row r="472" spans="1:7" x14ac:dyDescent="0.3">
      <c r="A472" s="350" t="s">
        <v>147</v>
      </c>
      <c r="B472" s="350" t="s">
        <v>94</v>
      </c>
      <c r="C472" s="350">
        <v>2021</v>
      </c>
      <c r="D472" s="350" t="s">
        <v>65</v>
      </c>
      <c r="E472" s="350">
        <v>13870</v>
      </c>
      <c r="F472" s="353" t="s">
        <v>66</v>
      </c>
      <c r="G472" s="353">
        <v>68</v>
      </c>
    </row>
    <row r="473" spans="1:7" x14ac:dyDescent="0.3">
      <c r="A473" s="350" t="s">
        <v>147</v>
      </c>
      <c r="B473" s="350" t="s">
        <v>94</v>
      </c>
      <c r="C473" s="350">
        <v>2020</v>
      </c>
      <c r="D473" s="350" t="s">
        <v>65</v>
      </c>
      <c r="E473" s="350">
        <v>13870</v>
      </c>
      <c r="F473" s="353" t="s">
        <v>66</v>
      </c>
      <c r="G473" s="353">
        <v>70</v>
      </c>
    </row>
    <row r="474" spans="1:7" x14ac:dyDescent="0.3">
      <c r="A474" s="350" t="s">
        <v>147</v>
      </c>
      <c r="B474" s="350" t="s">
        <v>94</v>
      </c>
      <c r="C474" s="350">
        <v>2019</v>
      </c>
      <c r="D474" s="350" t="s">
        <v>65</v>
      </c>
      <c r="E474" s="350">
        <v>13870</v>
      </c>
      <c r="F474" s="353" t="s">
        <v>66</v>
      </c>
      <c r="G474" s="353">
        <v>65</v>
      </c>
    </row>
    <row r="475" spans="1:7" x14ac:dyDescent="0.3">
      <c r="A475" s="350" t="s">
        <v>147</v>
      </c>
      <c r="B475" s="350" t="s">
        <v>94</v>
      </c>
      <c r="C475" s="350">
        <v>2018</v>
      </c>
      <c r="D475" s="350" t="s">
        <v>65</v>
      </c>
      <c r="E475" s="350">
        <v>13870</v>
      </c>
      <c r="F475" s="353" t="s">
        <v>66</v>
      </c>
      <c r="G475" s="353">
        <v>41</v>
      </c>
    </row>
    <row r="476" spans="1:7" x14ac:dyDescent="0.3">
      <c r="A476" s="350" t="s">
        <v>147</v>
      </c>
      <c r="B476" s="350" t="s">
        <v>94</v>
      </c>
      <c r="C476" s="350">
        <v>2017</v>
      </c>
      <c r="D476" s="350" t="s">
        <v>65</v>
      </c>
      <c r="E476" s="350">
        <v>13870</v>
      </c>
      <c r="F476" s="353" t="s">
        <v>66</v>
      </c>
      <c r="G476" s="353">
        <v>39</v>
      </c>
    </row>
    <row r="477" spans="1:7" x14ac:dyDescent="0.3">
      <c r="A477" s="350" t="s">
        <v>147</v>
      </c>
      <c r="B477" s="350" t="s">
        <v>94</v>
      </c>
      <c r="C477" s="350">
        <v>2016</v>
      </c>
      <c r="D477" s="350" t="s">
        <v>65</v>
      </c>
      <c r="E477" s="350">
        <v>13870</v>
      </c>
      <c r="F477" s="353" t="s">
        <v>66</v>
      </c>
      <c r="G477" s="353">
        <v>39</v>
      </c>
    </row>
    <row r="478" spans="1:7" x14ac:dyDescent="0.3">
      <c r="A478" s="350" t="s">
        <v>147</v>
      </c>
      <c r="B478" s="350" t="s">
        <v>94</v>
      </c>
      <c r="C478" s="350">
        <v>2015</v>
      </c>
      <c r="D478" s="350" t="s">
        <v>65</v>
      </c>
      <c r="E478" s="350">
        <v>13870</v>
      </c>
      <c r="F478" s="353" t="s">
        <v>66</v>
      </c>
      <c r="G478" s="353">
        <v>27</v>
      </c>
    </row>
    <row r="479" spans="1:7" x14ac:dyDescent="0.3">
      <c r="A479" s="350" t="s">
        <v>147</v>
      </c>
      <c r="B479" s="350" t="s">
        <v>94</v>
      </c>
      <c r="C479" s="350">
        <v>2014</v>
      </c>
      <c r="D479" s="350" t="s">
        <v>65</v>
      </c>
      <c r="E479" s="350">
        <v>13870</v>
      </c>
      <c r="F479" s="353" t="s">
        <v>66</v>
      </c>
      <c r="G479" s="353">
        <v>19</v>
      </c>
    </row>
    <row r="480" spans="1:7" x14ac:dyDescent="0.3">
      <c r="A480" s="350" t="s">
        <v>147</v>
      </c>
      <c r="B480" s="350" t="s">
        <v>95</v>
      </c>
      <c r="C480" s="350">
        <v>2021</v>
      </c>
      <c r="D480" s="350" t="s">
        <v>65</v>
      </c>
      <c r="E480" s="350">
        <v>13870</v>
      </c>
      <c r="F480" s="353" t="s">
        <v>66</v>
      </c>
      <c r="G480" s="353">
        <v>34</v>
      </c>
    </row>
    <row r="481" spans="1:7" x14ac:dyDescent="0.3">
      <c r="A481" s="350" t="s">
        <v>147</v>
      </c>
      <c r="B481" s="350" t="s">
        <v>95</v>
      </c>
      <c r="C481" s="350">
        <v>2020</v>
      </c>
      <c r="D481" s="350" t="s">
        <v>65</v>
      </c>
      <c r="E481" s="350">
        <v>13870</v>
      </c>
      <c r="F481" s="353" t="s">
        <v>66</v>
      </c>
      <c r="G481" s="353">
        <v>20</v>
      </c>
    </row>
    <row r="482" spans="1:7" x14ac:dyDescent="0.3">
      <c r="A482" s="350" t="s">
        <v>147</v>
      </c>
      <c r="B482" s="350" t="s">
        <v>95</v>
      </c>
      <c r="C482" s="350">
        <v>2019</v>
      </c>
      <c r="D482" s="350" t="s">
        <v>65</v>
      </c>
      <c r="E482" s="350">
        <v>13870</v>
      </c>
      <c r="F482" s="353" t="s">
        <v>66</v>
      </c>
      <c r="G482" s="353">
        <v>18</v>
      </c>
    </row>
    <row r="483" spans="1:7" x14ac:dyDescent="0.3">
      <c r="A483" s="350" t="s">
        <v>147</v>
      </c>
      <c r="B483" s="350" t="s">
        <v>95</v>
      </c>
      <c r="C483" s="350">
        <v>2018</v>
      </c>
      <c r="D483" s="350" t="s">
        <v>65</v>
      </c>
      <c r="E483" s="350">
        <v>13870</v>
      </c>
      <c r="F483" s="353" t="s">
        <v>66</v>
      </c>
      <c r="G483" s="353">
        <v>16</v>
      </c>
    </row>
    <row r="484" spans="1:7" x14ac:dyDescent="0.3">
      <c r="A484" s="350" t="s">
        <v>147</v>
      </c>
      <c r="B484" s="350" t="s">
        <v>95</v>
      </c>
      <c r="C484" s="350">
        <v>2017</v>
      </c>
      <c r="D484" s="350" t="s">
        <v>65</v>
      </c>
      <c r="E484" s="350">
        <v>13870</v>
      </c>
      <c r="F484" s="353" t="s">
        <v>66</v>
      </c>
      <c r="G484" s="353">
        <v>16</v>
      </c>
    </row>
    <row r="485" spans="1:7" x14ac:dyDescent="0.3">
      <c r="A485" s="350" t="s">
        <v>147</v>
      </c>
      <c r="B485" s="350" t="s">
        <v>95</v>
      </c>
      <c r="C485" s="350">
        <v>2016</v>
      </c>
      <c r="D485" s="350" t="s">
        <v>65</v>
      </c>
      <c r="E485" s="350">
        <v>13870</v>
      </c>
      <c r="F485" s="353" t="s">
        <v>66</v>
      </c>
      <c r="G485" s="353">
        <v>2</v>
      </c>
    </row>
    <row r="486" spans="1:7" x14ac:dyDescent="0.3">
      <c r="A486" s="350" t="s">
        <v>147</v>
      </c>
      <c r="B486" s="350" t="s">
        <v>195</v>
      </c>
      <c r="C486" s="350">
        <v>2021</v>
      </c>
      <c r="D486" s="350" t="s">
        <v>65</v>
      </c>
      <c r="E486" s="350">
        <v>13227</v>
      </c>
      <c r="F486" s="353" t="s">
        <v>66</v>
      </c>
      <c r="G486" s="353">
        <v>22</v>
      </c>
    </row>
    <row r="487" spans="1:7" x14ac:dyDescent="0.3">
      <c r="A487" s="350" t="s">
        <v>147</v>
      </c>
      <c r="B487" s="350" t="s">
        <v>195</v>
      </c>
      <c r="C487" s="350">
        <v>2020</v>
      </c>
      <c r="D487" s="350" t="s">
        <v>65</v>
      </c>
      <c r="E487" s="350">
        <v>13227</v>
      </c>
      <c r="F487" s="353" t="s">
        <v>66</v>
      </c>
      <c r="G487" s="353">
        <v>8</v>
      </c>
    </row>
    <row r="488" spans="1:7" x14ac:dyDescent="0.3">
      <c r="A488" s="350" t="s">
        <v>147</v>
      </c>
      <c r="B488" s="350" t="s">
        <v>195</v>
      </c>
      <c r="C488" s="350">
        <v>2019</v>
      </c>
      <c r="D488" s="350" t="s">
        <v>65</v>
      </c>
      <c r="E488" s="350">
        <v>13227</v>
      </c>
      <c r="F488" s="353" t="s">
        <v>66</v>
      </c>
      <c r="G488" s="353">
        <v>7</v>
      </c>
    </row>
    <row r="489" spans="1:7" x14ac:dyDescent="0.3">
      <c r="A489" s="350" t="s">
        <v>147</v>
      </c>
      <c r="B489" s="350" t="s">
        <v>195</v>
      </c>
      <c r="C489" s="350">
        <v>2018</v>
      </c>
      <c r="D489" s="350" t="s">
        <v>65</v>
      </c>
      <c r="E489" s="350">
        <v>13227</v>
      </c>
      <c r="F489" s="353" t="s">
        <v>66</v>
      </c>
      <c r="G489" s="353">
        <v>8</v>
      </c>
    </row>
    <row r="490" spans="1:7" x14ac:dyDescent="0.3">
      <c r="A490" s="350" t="s">
        <v>147</v>
      </c>
      <c r="B490" s="350" t="s">
        <v>195</v>
      </c>
      <c r="C490" s="350">
        <v>2017</v>
      </c>
      <c r="D490" s="350" t="s">
        <v>65</v>
      </c>
      <c r="E490" s="350">
        <v>13227</v>
      </c>
      <c r="F490" s="353" t="s">
        <v>66</v>
      </c>
      <c r="G490" s="353">
        <v>10</v>
      </c>
    </row>
    <row r="491" spans="1:7" x14ac:dyDescent="0.3">
      <c r="A491" s="350" t="s">
        <v>147</v>
      </c>
      <c r="B491" s="350" t="s">
        <v>195</v>
      </c>
      <c r="C491" s="350">
        <v>2016</v>
      </c>
      <c r="D491" s="350" t="s">
        <v>65</v>
      </c>
      <c r="E491" s="350">
        <v>13227</v>
      </c>
      <c r="F491" s="353" t="s">
        <v>66</v>
      </c>
      <c r="G491" s="353">
        <v>16</v>
      </c>
    </row>
    <row r="492" spans="1:7" x14ac:dyDescent="0.3">
      <c r="A492" s="350" t="s">
        <v>147</v>
      </c>
      <c r="B492" s="350" t="s">
        <v>195</v>
      </c>
      <c r="C492" s="350">
        <v>2015</v>
      </c>
      <c r="D492" s="350" t="s">
        <v>65</v>
      </c>
      <c r="E492" s="350">
        <v>13227</v>
      </c>
      <c r="F492" s="353" t="s">
        <v>66</v>
      </c>
      <c r="G492" s="353">
        <v>12</v>
      </c>
    </row>
    <row r="493" spans="1:7" x14ac:dyDescent="0.3">
      <c r="A493" s="350" t="s">
        <v>147</v>
      </c>
      <c r="B493" s="350" t="s">
        <v>195</v>
      </c>
      <c r="C493" s="350">
        <v>2014</v>
      </c>
      <c r="D493" s="350" t="s">
        <v>65</v>
      </c>
      <c r="E493" s="350">
        <v>13227</v>
      </c>
      <c r="F493" s="353" t="s">
        <v>66</v>
      </c>
      <c r="G493" s="353">
        <v>7</v>
      </c>
    </row>
    <row r="494" spans="1:7" x14ac:dyDescent="0.3">
      <c r="A494" s="350" t="s">
        <v>147</v>
      </c>
      <c r="B494" s="350" t="s">
        <v>229</v>
      </c>
      <c r="C494" s="350">
        <v>2021</v>
      </c>
      <c r="D494" s="350" t="s">
        <v>65</v>
      </c>
      <c r="E494" s="350">
        <v>12566</v>
      </c>
      <c r="F494" s="353" t="s">
        <v>72</v>
      </c>
      <c r="G494" s="353">
        <v>3</v>
      </c>
    </row>
    <row r="495" spans="1:7" x14ac:dyDescent="0.3">
      <c r="A495" s="350" t="s">
        <v>147</v>
      </c>
      <c r="B495" s="350" t="s">
        <v>229</v>
      </c>
      <c r="C495" s="350">
        <v>2020</v>
      </c>
      <c r="D495" s="350" t="s">
        <v>65</v>
      </c>
      <c r="E495" s="350">
        <v>12566</v>
      </c>
      <c r="F495" s="353" t="s">
        <v>72</v>
      </c>
      <c r="G495" s="353">
        <v>2</v>
      </c>
    </row>
    <row r="496" spans="1:7" x14ac:dyDescent="0.3">
      <c r="A496" s="350" t="s">
        <v>147</v>
      </c>
      <c r="B496" s="350" t="s">
        <v>229</v>
      </c>
      <c r="C496" s="350">
        <v>2019</v>
      </c>
      <c r="D496" s="350" t="s">
        <v>65</v>
      </c>
      <c r="E496" s="350">
        <v>12566</v>
      </c>
      <c r="F496" s="353" t="s">
        <v>72</v>
      </c>
      <c r="G496" s="353">
        <v>5</v>
      </c>
    </row>
    <row r="497" spans="1:7" x14ac:dyDescent="0.3">
      <c r="A497" s="350" t="s">
        <v>147</v>
      </c>
      <c r="B497" s="350" t="s">
        <v>229</v>
      </c>
      <c r="C497" s="350">
        <v>2018</v>
      </c>
      <c r="D497" s="350" t="s">
        <v>65</v>
      </c>
      <c r="E497" s="350">
        <v>12566</v>
      </c>
      <c r="F497" s="353" t="s">
        <v>72</v>
      </c>
      <c r="G497" s="353">
        <v>7</v>
      </c>
    </row>
    <row r="498" spans="1:7" x14ac:dyDescent="0.3">
      <c r="A498" s="350" t="s">
        <v>147</v>
      </c>
      <c r="B498" s="350" t="s">
        <v>229</v>
      </c>
      <c r="C498" s="350">
        <v>2017</v>
      </c>
      <c r="D498" s="350" t="s">
        <v>65</v>
      </c>
      <c r="E498" s="350">
        <v>12566</v>
      </c>
      <c r="F498" s="353" t="s">
        <v>72</v>
      </c>
      <c r="G498" s="353">
        <v>1</v>
      </c>
    </row>
    <row r="499" spans="1:7" x14ac:dyDescent="0.3">
      <c r="A499" s="350" t="s">
        <v>147</v>
      </c>
      <c r="B499" s="350" t="s">
        <v>229</v>
      </c>
      <c r="C499" s="350">
        <v>2016</v>
      </c>
      <c r="D499" s="350" t="s">
        <v>65</v>
      </c>
      <c r="E499" s="350">
        <v>12566</v>
      </c>
      <c r="F499" s="353" t="s">
        <v>72</v>
      </c>
      <c r="G499" s="353">
        <v>1</v>
      </c>
    </row>
    <row r="500" spans="1:7" x14ac:dyDescent="0.3">
      <c r="A500" s="350" t="s">
        <v>147</v>
      </c>
      <c r="B500" s="350" t="s">
        <v>229</v>
      </c>
      <c r="C500" s="350">
        <v>2015</v>
      </c>
      <c r="D500" s="350" t="s">
        <v>65</v>
      </c>
      <c r="E500" s="350">
        <v>12566</v>
      </c>
      <c r="F500" s="353" t="s">
        <v>72</v>
      </c>
      <c r="G500" s="353">
        <v>4</v>
      </c>
    </row>
    <row r="501" spans="1:7" x14ac:dyDescent="0.3">
      <c r="A501" s="350" t="s">
        <v>147</v>
      </c>
      <c r="B501" s="350" t="s">
        <v>71</v>
      </c>
      <c r="C501" s="350">
        <v>2021</v>
      </c>
      <c r="D501" s="350" t="s">
        <v>65</v>
      </c>
      <c r="E501" s="350">
        <v>12500</v>
      </c>
      <c r="F501" s="353" t="s">
        <v>72</v>
      </c>
      <c r="G501" s="353">
        <v>152</v>
      </c>
    </row>
    <row r="502" spans="1:7" x14ac:dyDescent="0.3">
      <c r="A502" s="350" t="s">
        <v>147</v>
      </c>
      <c r="B502" s="350" t="s">
        <v>71</v>
      </c>
      <c r="C502" s="350">
        <v>2020</v>
      </c>
      <c r="D502" s="350" t="s">
        <v>65</v>
      </c>
      <c r="E502" s="350">
        <v>12500</v>
      </c>
      <c r="F502" s="353" t="s">
        <v>72</v>
      </c>
      <c r="G502" s="353">
        <v>172</v>
      </c>
    </row>
    <row r="503" spans="1:7" x14ac:dyDescent="0.3">
      <c r="A503" s="350" t="s">
        <v>147</v>
      </c>
      <c r="B503" s="350" t="s">
        <v>71</v>
      </c>
      <c r="C503" s="350">
        <v>2019</v>
      </c>
      <c r="D503" s="350" t="s">
        <v>65</v>
      </c>
      <c r="E503" s="350">
        <v>12500</v>
      </c>
      <c r="F503" s="353" t="s">
        <v>72</v>
      </c>
      <c r="G503" s="353">
        <v>203</v>
      </c>
    </row>
    <row r="504" spans="1:7" x14ac:dyDescent="0.3">
      <c r="A504" s="350" t="s">
        <v>147</v>
      </c>
      <c r="B504" s="350" t="s">
        <v>71</v>
      </c>
      <c r="C504" s="350">
        <v>2018</v>
      </c>
      <c r="D504" s="350" t="s">
        <v>65</v>
      </c>
      <c r="E504" s="350">
        <v>12500</v>
      </c>
      <c r="F504" s="353" t="s">
        <v>72</v>
      </c>
      <c r="G504" s="353">
        <v>209</v>
      </c>
    </row>
    <row r="505" spans="1:7" x14ac:dyDescent="0.3">
      <c r="A505" s="350" t="s">
        <v>147</v>
      </c>
      <c r="B505" s="350" t="s">
        <v>71</v>
      </c>
      <c r="C505" s="350">
        <v>2017</v>
      </c>
      <c r="D505" s="350" t="s">
        <v>65</v>
      </c>
      <c r="E505" s="350">
        <v>12500</v>
      </c>
      <c r="F505" s="353" t="s">
        <v>72</v>
      </c>
      <c r="G505" s="353">
        <v>198</v>
      </c>
    </row>
    <row r="506" spans="1:7" x14ac:dyDescent="0.3">
      <c r="A506" s="350" t="s">
        <v>147</v>
      </c>
      <c r="B506" s="350" t="s">
        <v>71</v>
      </c>
      <c r="C506" s="350">
        <v>2016</v>
      </c>
      <c r="D506" s="350" t="s">
        <v>65</v>
      </c>
      <c r="E506" s="350">
        <v>12500</v>
      </c>
      <c r="F506" s="353" t="s">
        <v>72</v>
      </c>
      <c r="G506" s="353">
        <v>184</v>
      </c>
    </row>
    <row r="507" spans="1:7" x14ac:dyDescent="0.3">
      <c r="A507" s="350" t="s">
        <v>147</v>
      </c>
      <c r="B507" s="350" t="s">
        <v>71</v>
      </c>
      <c r="C507" s="350">
        <v>2015</v>
      </c>
      <c r="D507" s="350" t="s">
        <v>65</v>
      </c>
      <c r="E507" s="350">
        <v>12500</v>
      </c>
      <c r="F507" s="353" t="s">
        <v>72</v>
      </c>
      <c r="G507" s="353">
        <v>133</v>
      </c>
    </row>
    <row r="508" spans="1:7" x14ac:dyDescent="0.3">
      <c r="A508" s="350" t="s">
        <v>147</v>
      </c>
      <c r="B508" s="350" t="s">
        <v>71</v>
      </c>
      <c r="C508" s="350">
        <v>2014</v>
      </c>
      <c r="D508" s="350" t="s">
        <v>65</v>
      </c>
      <c r="E508" s="350">
        <v>12500</v>
      </c>
      <c r="F508" s="353" t="s">
        <v>72</v>
      </c>
      <c r="G508" s="353">
        <v>82</v>
      </c>
    </row>
    <row r="509" spans="1:7" x14ac:dyDescent="0.3">
      <c r="A509" s="350" t="s">
        <v>147</v>
      </c>
      <c r="B509" s="350" t="s">
        <v>114</v>
      </c>
      <c r="C509" s="350">
        <v>2021</v>
      </c>
      <c r="D509" s="350" t="s">
        <v>65</v>
      </c>
      <c r="E509" s="350">
        <v>12500</v>
      </c>
      <c r="F509" s="353" t="s">
        <v>66</v>
      </c>
      <c r="G509" s="353">
        <v>6</v>
      </c>
    </row>
    <row r="510" spans="1:7" x14ac:dyDescent="0.3">
      <c r="A510" s="350" t="s">
        <v>147</v>
      </c>
      <c r="B510" s="350" t="s">
        <v>114</v>
      </c>
      <c r="C510" s="350">
        <v>2020</v>
      </c>
      <c r="D510" s="350" t="s">
        <v>65</v>
      </c>
      <c r="E510" s="350">
        <v>12500</v>
      </c>
      <c r="F510" s="353" t="s">
        <v>66</v>
      </c>
      <c r="G510" s="353">
        <v>19</v>
      </c>
    </row>
    <row r="511" spans="1:7" x14ac:dyDescent="0.3">
      <c r="A511" s="350" t="s">
        <v>147</v>
      </c>
      <c r="B511" s="350" t="s">
        <v>114</v>
      </c>
      <c r="C511" s="350">
        <v>2019</v>
      </c>
      <c r="D511" s="350" t="s">
        <v>65</v>
      </c>
      <c r="E511" s="350">
        <v>12500</v>
      </c>
      <c r="F511" s="353" t="s">
        <v>66</v>
      </c>
      <c r="G511" s="353">
        <v>3</v>
      </c>
    </row>
    <row r="512" spans="1:7" x14ac:dyDescent="0.3">
      <c r="A512" s="350" t="s">
        <v>147</v>
      </c>
      <c r="B512" s="350" t="s">
        <v>114</v>
      </c>
      <c r="C512" s="350">
        <v>2018</v>
      </c>
      <c r="D512" s="350" t="s">
        <v>65</v>
      </c>
      <c r="E512" s="350">
        <v>12500</v>
      </c>
      <c r="F512" s="353" t="s">
        <v>66</v>
      </c>
      <c r="G512" s="353">
        <v>12</v>
      </c>
    </row>
    <row r="513" spans="1:7" x14ac:dyDescent="0.3">
      <c r="A513" s="350" t="s">
        <v>147</v>
      </c>
      <c r="B513" s="350" t="s">
        <v>114</v>
      </c>
      <c r="C513" s="350">
        <v>2017</v>
      </c>
      <c r="D513" s="350" t="s">
        <v>65</v>
      </c>
      <c r="E513" s="350">
        <v>12500</v>
      </c>
      <c r="F513" s="353" t="s">
        <v>66</v>
      </c>
      <c r="G513" s="353">
        <v>7</v>
      </c>
    </row>
    <row r="514" spans="1:7" x14ac:dyDescent="0.3">
      <c r="A514" s="350" t="s">
        <v>147</v>
      </c>
      <c r="B514" s="350" t="s">
        <v>114</v>
      </c>
      <c r="C514" s="350">
        <v>2016</v>
      </c>
      <c r="D514" s="350" t="s">
        <v>65</v>
      </c>
      <c r="E514" s="350">
        <v>12500</v>
      </c>
      <c r="F514" s="353" t="s">
        <v>66</v>
      </c>
      <c r="G514" s="353">
        <v>18</v>
      </c>
    </row>
    <row r="515" spans="1:7" x14ac:dyDescent="0.3">
      <c r="A515" s="350" t="s">
        <v>147</v>
      </c>
      <c r="B515" s="350" t="s">
        <v>114</v>
      </c>
      <c r="C515" s="350">
        <v>2015</v>
      </c>
      <c r="D515" s="350" t="s">
        <v>65</v>
      </c>
      <c r="E515" s="350">
        <v>12500</v>
      </c>
      <c r="F515" s="353" t="s">
        <v>66</v>
      </c>
      <c r="G515" s="353">
        <v>26</v>
      </c>
    </row>
    <row r="516" spans="1:7" x14ac:dyDescent="0.3">
      <c r="A516" s="350" t="s">
        <v>147</v>
      </c>
      <c r="B516" s="350" t="s">
        <v>114</v>
      </c>
      <c r="C516" s="350">
        <v>2014</v>
      </c>
      <c r="D516" s="350" t="s">
        <v>65</v>
      </c>
      <c r="E516" s="350">
        <v>12500</v>
      </c>
      <c r="F516" s="353" t="s">
        <v>66</v>
      </c>
      <c r="G516" s="353">
        <v>9</v>
      </c>
    </row>
    <row r="517" spans="1:7" x14ac:dyDescent="0.3">
      <c r="A517" s="350" t="s">
        <v>147</v>
      </c>
      <c r="B517" s="350" t="s">
        <v>124</v>
      </c>
      <c r="C517" s="350">
        <v>2021</v>
      </c>
      <c r="D517" s="350" t="s">
        <v>65</v>
      </c>
      <c r="E517" s="350">
        <v>12500</v>
      </c>
      <c r="F517" s="353" t="s">
        <v>66</v>
      </c>
      <c r="G517" s="353">
        <v>26</v>
      </c>
    </row>
    <row r="518" spans="1:7" x14ac:dyDescent="0.3">
      <c r="A518" s="350" t="s">
        <v>147</v>
      </c>
      <c r="B518" s="350" t="s">
        <v>124</v>
      </c>
      <c r="C518" s="350">
        <v>2020</v>
      </c>
      <c r="D518" s="350" t="s">
        <v>65</v>
      </c>
      <c r="E518" s="350">
        <v>12500</v>
      </c>
      <c r="F518" s="353" t="s">
        <v>66</v>
      </c>
      <c r="G518" s="353">
        <v>13</v>
      </c>
    </row>
    <row r="519" spans="1:7" x14ac:dyDescent="0.3">
      <c r="A519" s="350" t="s">
        <v>147</v>
      </c>
      <c r="B519" s="350" t="s">
        <v>124</v>
      </c>
      <c r="C519" s="350">
        <v>2019</v>
      </c>
      <c r="D519" s="350" t="s">
        <v>65</v>
      </c>
      <c r="E519" s="350">
        <v>12500</v>
      </c>
      <c r="F519" s="353" t="s">
        <v>66</v>
      </c>
      <c r="G519" s="353">
        <v>14</v>
      </c>
    </row>
    <row r="520" spans="1:7" x14ac:dyDescent="0.3">
      <c r="A520" s="350" t="s">
        <v>147</v>
      </c>
      <c r="B520" s="350" t="s">
        <v>124</v>
      </c>
      <c r="C520" s="350">
        <v>2018</v>
      </c>
      <c r="D520" s="350" t="s">
        <v>65</v>
      </c>
      <c r="E520" s="350">
        <v>12500</v>
      </c>
      <c r="F520" s="353" t="s">
        <v>66</v>
      </c>
      <c r="G520" s="353">
        <v>13</v>
      </c>
    </row>
    <row r="521" spans="1:7" x14ac:dyDescent="0.3">
      <c r="A521" s="350" t="s">
        <v>147</v>
      </c>
      <c r="B521" s="350" t="s">
        <v>124</v>
      </c>
      <c r="C521" s="350">
        <v>2017</v>
      </c>
      <c r="D521" s="350" t="s">
        <v>65</v>
      </c>
      <c r="E521" s="350">
        <v>12500</v>
      </c>
      <c r="F521" s="353" t="s">
        <v>66</v>
      </c>
      <c r="G521" s="353">
        <v>10</v>
      </c>
    </row>
    <row r="522" spans="1:7" x14ac:dyDescent="0.3">
      <c r="A522" s="350" t="s">
        <v>147</v>
      </c>
      <c r="B522" s="350" t="s">
        <v>124</v>
      </c>
      <c r="C522" s="350">
        <v>2016</v>
      </c>
      <c r="D522" s="350" t="s">
        <v>65</v>
      </c>
      <c r="E522" s="350">
        <v>12500</v>
      </c>
      <c r="F522" s="353" t="s">
        <v>66</v>
      </c>
      <c r="G522" s="353">
        <v>13</v>
      </c>
    </row>
    <row r="523" spans="1:7" x14ac:dyDescent="0.3">
      <c r="A523" s="350" t="s">
        <v>147</v>
      </c>
      <c r="B523" s="350" t="s">
        <v>124</v>
      </c>
      <c r="C523" s="350">
        <v>2015</v>
      </c>
      <c r="D523" s="350" t="s">
        <v>65</v>
      </c>
      <c r="E523" s="350">
        <v>12500</v>
      </c>
      <c r="F523" s="353" t="s">
        <v>66</v>
      </c>
      <c r="G523" s="353">
        <v>9</v>
      </c>
    </row>
    <row r="524" spans="1:7" x14ac:dyDescent="0.3">
      <c r="A524" s="350" t="s">
        <v>147</v>
      </c>
      <c r="B524" s="350" t="s">
        <v>124</v>
      </c>
      <c r="C524" s="350">
        <v>2014</v>
      </c>
      <c r="D524" s="350" t="s">
        <v>65</v>
      </c>
      <c r="E524" s="350">
        <v>12500</v>
      </c>
      <c r="F524" s="353" t="s">
        <v>66</v>
      </c>
      <c r="G524" s="353">
        <v>8</v>
      </c>
    </row>
    <row r="525" spans="1:7" x14ac:dyDescent="0.3">
      <c r="A525" s="350" t="s">
        <v>147</v>
      </c>
      <c r="B525" s="350" t="s">
        <v>93</v>
      </c>
      <c r="C525" s="350">
        <v>2021</v>
      </c>
      <c r="D525" s="350" t="s">
        <v>65</v>
      </c>
      <c r="E525" s="350">
        <v>12125</v>
      </c>
      <c r="F525" s="353" t="s">
        <v>66</v>
      </c>
      <c r="G525" s="353">
        <v>35</v>
      </c>
    </row>
    <row r="526" spans="1:7" x14ac:dyDescent="0.3">
      <c r="A526" s="350" t="s">
        <v>147</v>
      </c>
      <c r="B526" s="350" t="s">
        <v>93</v>
      </c>
      <c r="C526" s="350">
        <v>2020</v>
      </c>
      <c r="D526" s="350" t="s">
        <v>65</v>
      </c>
      <c r="E526" s="350">
        <v>12125</v>
      </c>
      <c r="F526" s="353" t="s">
        <v>66</v>
      </c>
      <c r="G526" s="353">
        <v>45</v>
      </c>
    </row>
    <row r="527" spans="1:7" x14ac:dyDescent="0.3">
      <c r="A527" s="350" t="s">
        <v>147</v>
      </c>
      <c r="B527" s="350" t="s">
        <v>93</v>
      </c>
      <c r="C527" s="350">
        <v>2019</v>
      </c>
      <c r="D527" s="350" t="s">
        <v>65</v>
      </c>
      <c r="E527" s="350">
        <v>12125</v>
      </c>
      <c r="F527" s="353" t="s">
        <v>66</v>
      </c>
      <c r="G527" s="353">
        <v>30</v>
      </c>
    </row>
    <row r="528" spans="1:7" x14ac:dyDescent="0.3">
      <c r="A528" s="350" t="s">
        <v>147</v>
      </c>
      <c r="B528" s="350" t="s">
        <v>93</v>
      </c>
      <c r="C528" s="350">
        <v>2018</v>
      </c>
      <c r="D528" s="350" t="s">
        <v>65</v>
      </c>
      <c r="E528" s="350">
        <v>12125</v>
      </c>
      <c r="F528" s="353" t="s">
        <v>66</v>
      </c>
      <c r="G528" s="353">
        <v>51</v>
      </c>
    </row>
    <row r="529" spans="1:7" x14ac:dyDescent="0.3">
      <c r="A529" s="350" t="s">
        <v>147</v>
      </c>
      <c r="B529" s="350" t="s">
        <v>93</v>
      </c>
      <c r="C529" s="350">
        <v>2017</v>
      </c>
      <c r="D529" s="350" t="s">
        <v>65</v>
      </c>
      <c r="E529" s="350">
        <v>12125</v>
      </c>
      <c r="F529" s="353" t="s">
        <v>66</v>
      </c>
      <c r="G529" s="353">
        <v>61</v>
      </c>
    </row>
    <row r="530" spans="1:7" x14ac:dyDescent="0.3">
      <c r="A530" s="350" t="s">
        <v>147</v>
      </c>
      <c r="B530" s="350" t="s">
        <v>93</v>
      </c>
      <c r="C530" s="350">
        <v>2016</v>
      </c>
      <c r="D530" s="350" t="s">
        <v>65</v>
      </c>
      <c r="E530" s="350">
        <v>12125</v>
      </c>
      <c r="F530" s="353" t="s">
        <v>66</v>
      </c>
      <c r="G530" s="353">
        <v>42</v>
      </c>
    </row>
    <row r="531" spans="1:7" x14ac:dyDescent="0.3">
      <c r="A531" s="350" t="s">
        <v>147</v>
      </c>
      <c r="B531" s="350" t="s">
        <v>93</v>
      </c>
      <c r="C531" s="350">
        <v>2015</v>
      </c>
      <c r="D531" s="350" t="s">
        <v>65</v>
      </c>
      <c r="E531" s="350">
        <v>12125</v>
      </c>
      <c r="F531" s="353" t="s">
        <v>66</v>
      </c>
      <c r="G531" s="353">
        <v>33</v>
      </c>
    </row>
    <row r="532" spans="1:7" x14ac:dyDescent="0.3">
      <c r="A532" s="350" t="s">
        <v>147</v>
      </c>
      <c r="B532" s="350" t="s">
        <v>93</v>
      </c>
      <c r="C532" s="350">
        <v>2014</v>
      </c>
      <c r="D532" s="350" t="s">
        <v>65</v>
      </c>
      <c r="E532" s="350">
        <v>12125</v>
      </c>
      <c r="F532" s="353" t="s">
        <v>66</v>
      </c>
      <c r="G532" s="353">
        <v>31</v>
      </c>
    </row>
    <row r="533" spans="1:7" x14ac:dyDescent="0.3">
      <c r="A533" s="350" t="s">
        <v>147</v>
      </c>
      <c r="B533" s="350" t="s">
        <v>125</v>
      </c>
      <c r="C533" s="350">
        <v>2021</v>
      </c>
      <c r="D533" s="350" t="s">
        <v>65</v>
      </c>
      <c r="E533" s="350">
        <v>12100</v>
      </c>
      <c r="F533" s="353" t="s">
        <v>66</v>
      </c>
      <c r="G533" s="353">
        <v>6</v>
      </c>
    </row>
    <row r="534" spans="1:7" x14ac:dyDescent="0.3">
      <c r="A534" s="350" t="s">
        <v>147</v>
      </c>
      <c r="B534" s="350" t="s">
        <v>125</v>
      </c>
      <c r="C534" s="350">
        <v>2020</v>
      </c>
      <c r="D534" s="350" t="s">
        <v>65</v>
      </c>
      <c r="E534" s="350">
        <v>12100</v>
      </c>
      <c r="F534" s="353" t="s">
        <v>66</v>
      </c>
      <c r="G534" s="353">
        <v>6</v>
      </c>
    </row>
    <row r="535" spans="1:7" x14ac:dyDescent="0.3">
      <c r="A535" s="350" t="s">
        <v>147</v>
      </c>
      <c r="B535" s="350" t="s">
        <v>125</v>
      </c>
      <c r="C535" s="350">
        <v>2019</v>
      </c>
      <c r="D535" s="350" t="s">
        <v>65</v>
      </c>
      <c r="E535" s="350">
        <v>12100</v>
      </c>
      <c r="F535" s="353" t="s">
        <v>66</v>
      </c>
      <c r="G535" s="353">
        <v>5</v>
      </c>
    </row>
    <row r="536" spans="1:7" x14ac:dyDescent="0.3">
      <c r="A536" s="350" t="s">
        <v>147</v>
      </c>
      <c r="B536" s="350" t="s">
        <v>125</v>
      </c>
      <c r="C536" s="350">
        <v>2018</v>
      </c>
      <c r="D536" s="350" t="s">
        <v>65</v>
      </c>
      <c r="E536" s="350">
        <v>12100</v>
      </c>
      <c r="F536" s="353" t="s">
        <v>66</v>
      </c>
      <c r="G536" s="353">
        <v>15</v>
      </c>
    </row>
    <row r="537" spans="1:7" x14ac:dyDescent="0.3">
      <c r="A537" s="350" t="s">
        <v>147</v>
      </c>
      <c r="B537" s="350" t="s">
        <v>125</v>
      </c>
      <c r="C537" s="350">
        <v>2017</v>
      </c>
      <c r="D537" s="350" t="s">
        <v>65</v>
      </c>
      <c r="E537" s="350">
        <v>12100</v>
      </c>
      <c r="F537" s="353" t="s">
        <v>66</v>
      </c>
      <c r="G537" s="353">
        <v>11</v>
      </c>
    </row>
    <row r="538" spans="1:7" x14ac:dyDescent="0.3">
      <c r="A538" s="350" t="s">
        <v>147</v>
      </c>
      <c r="B538" s="350" t="s">
        <v>125</v>
      </c>
      <c r="C538" s="350">
        <v>2016</v>
      </c>
      <c r="D538" s="350" t="s">
        <v>65</v>
      </c>
      <c r="E538" s="350">
        <v>12100</v>
      </c>
      <c r="F538" s="353" t="s">
        <v>66</v>
      </c>
      <c r="G538" s="353">
        <v>8</v>
      </c>
    </row>
    <row r="539" spans="1:7" x14ac:dyDescent="0.3">
      <c r="A539" s="350" t="s">
        <v>147</v>
      </c>
      <c r="B539" s="350" t="s">
        <v>125</v>
      </c>
      <c r="C539" s="350">
        <v>2015</v>
      </c>
      <c r="D539" s="350" t="s">
        <v>65</v>
      </c>
      <c r="E539" s="350">
        <v>12100</v>
      </c>
      <c r="F539" s="353" t="s">
        <v>66</v>
      </c>
      <c r="G539" s="353">
        <v>11</v>
      </c>
    </row>
    <row r="540" spans="1:7" x14ac:dyDescent="0.3">
      <c r="A540" s="350" t="s">
        <v>147</v>
      </c>
      <c r="B540" s="350" t="s">
        <v>125</v>
      </c>
      <c r="C540" s="350">
        <v>2014</v>
      </c>
      <c r="D540" s="350" t="s">
        <v>65</v>
      </c>
      <c r="E540" s="350">
        <v>12100</v>
      </c>
      <c r="F540" s="353" t="s">
        <v>66</v>
      </c>
      <c r="G540" s="353">
        <v>13</v>
      </c>
    </row>
    <row r="541" spans="1:7" x14ac:dyDescent="0.3">
      <c r="A541" s="350" t="s">
        <v>147</v>
      </c>
      <c r="B541" s="350" t="s">
        <v>267</v>
      </c>
      <c r="C541" s="350">
        <v>2018</v>
      </c>
      <c r="D541" s="350" t="s">
        <v>65</v>
      </c>
      <c r="E541" s="350">
        <v>12093</v>
      </c>
      <c r="F541" s="353" t="s">
        <v>66</v>
      </c>
      <c r="G541" s="353">
        <v>2</v>
      </c>
    </row>
    <row r="542" spans="1:7" x14ac:dyDescent="0.3">
      <c r="A542" s="350" t="s">
        <v>147</v>
      </c>
      <c r="B542" s="350" t="s">
        <v>267</v>
      </c>
      <c r="C542" s="350">
        <v>2017</v>
      </c>
      <c r="D542" s="350" t="s">
        <v>65</v>
      </c>
      <c r="E542" s="350">
        <v>12093</v>
      </c>
      <c r="F542" s="353" t="s">
        <v>66</v>
      </c>
      <c r="G542" s="353">
        <v>1</v>
      </c>
    </row>
    <row r="543" spans="1:7" x14ac:dyDescent="0.3">
      <c r="A543" s="350" t="s">
        <v>147</v>
      </c>
      <c r="B543" s="350" t="s">
        <v>267</v>
      </c>
      <c r="C543" s="350">
        <v>2016</v>
      </c>
      <c r="D543" s="350" t="s">
        <v>65</v>
      </c>
      <c r="E543" s="350">
        <v>12093</v>
      </c>
      <c r="F543" s="353" t="s">
        <v>66</v>
      </c>
      <c r="G543" s="353">
        <v>1</v>
      </c>
    </row>
    <row r="544" spans="1:7" x14ac:dyDescent="0.3">
      <c r="A544" s="350" t="s">
        <v>147</v>
      </c>
      <c r="B544" s="350" t="s">
        <v>267</v>
      </c>
      <c r="C544" s="350">
        <v>2015</v>
      </c>
      <c r="D544" s="350" t="s">
        <v>65</v>
      </c>
      <c r="E544" s="350">
        <v>12093</v>
      </c>
      <c r="F544" s="353" t="s">
        <v>66</v>
      </c>
      <c r="G544" s="353">
        <v>1</v>
      </c>
    </row>
    <row r="545" spans="1:7" x14ac:dyDescent="0.3">
      <c r="A545" s="350" t="s">
        <v>147</v>
      </c>
      <c r="B545" s="350" t="s">
        <v>174</v>
      </c>
      <c r="C545" s="350">
        <v>2021</v>
      </c>
      <c r="D545" s="350" t="s">
        <v>65</v>
      </c>
      <c r="E545" s="350">
        <v>11800</v>
      </c>
      <c r="F545" s="353" t="s">
        <v>72</v>
      </c>
      <c r="G545" s="353">
        <v>6</v>
      </c>
    </row>
    <row r="546" spans="1:7" x14ac:dyDescent="0.3">
      <c r="A546" s="350" t="s">
        <v>147</v>
      </c>
      <c r="B546" s="350" t="s">
        <v>174</v>
      </c>
      <c r="C546" s="350">
        <v>2020</v>
      </c>
      <c r="D546" s="350" t="s">
        <v>65</v>
      </c>
      <c r="E546" s="350">
        <v>11800</v>
      </c>
      <c r="F546" s="353" t="s">
        <v>72</v>
      </c>
      <c r="G546" s="353">
        <v>7</v>
      </c>
    </row>
    <row r="547" spans="1:7" x14ac:dyDescent="0.3">
      <c r="A547" s="350" t="s">
        <v>147</v>
      </c>
      <c r="B547" s="350" t="s">
        <v>174</v>
      </c>
      <c r="C547" s="350">
        <v>2019</v>
      </c>
      <c r="D547" s="350" t="s">
        <v>65</v>
      </c>
      <c r="E547" s="350">
        <v>11800</v>
      </c>
      <c r="F547" s="353" t="s">
        <v>72</v>
      </c>
      <c r="G547" s="353">
        <v>2</v>
      </c>
    </row>
    <row r="548" spans="1:7" x14ac:dyDescent="0.3">
      <c r="A548" s="350" t="s">
        <v>147</v>
      </c>
      <c r="B548" s="350" t="s">
        <v>174</v>
      </c>
      <c r="C548" s="350">
        <v>2017</v>
      </c>
      <c r="D548" s="350" t="s">
        <v>65</v>
      </c>
      <c r="E548" s="350">
        <v>11800</v>
      </c>
      <c r="F548" s="353" t="s">
        <v>72</v>
      </c>
      <c r="G548" s="353">
        <v>3</v>
      </c>
    </row>
    <row r="549" spans="1:7" x14ac:dyDescent="0.3">
      <c r="A549" s="350" t="s">
        <v>147</v>
      </c>
      <c r="B549" s="350" t="s">
        <v>174</v>
      </c>
      <c r="C549" s="350">
        <v>2016</v>
      </c>
      <c r="D549" s="350" t="s">
        <v>65</v>
      </c>
      <c r="E549" s="350">
        <v>11800</v>
      </c>
      <c r="F549" s="353" t="s">
        <v>72</v>
      </c>
      <c r="G549" s="353">
        <v>5</v>
      </c>
    </row>
    <row r="550" spans="1:7" x14ac:dyDescent="0.3">
      <c r="A550" s="350" t="s">
        <v>147</v>
      </c>
      <c r="B550" s="350" t="s">
        <v>174</v>
      </c>
      <c r="C550" s="350">
        <v>2015</v>
      </c>
      <c r="D550" s="350" t="s">
        <v>65</v>
      </c>
      <c r="E550" s="350">
        <v>11800</v>
      </c>
      <c r="F550" s="353" t="s">
        <v>72</v>
      </c>
      <c r="G550" s="353">
        <v>1</v>
      </c>
    </row>
    <row r="551" spans="1:7" x14ac:dyDescent="0.3">
      <c r="A551" s="350" t="s">
        <v>147</v>
      </c>
      <c r="B551" s="350" t="s">
        <v>248</v>
      </c>
      <c r="C551" s="350">
        <v>2021</v>
      </c>
      <c r="D551" s="350" t="s">
        <v>65</v>
      </c>
      <c r="E551" s="350">
        <v>11799</v>
      </c>
      <c r="F551" s="353" t="s">
        <v>66</v>
      </c>
      <c r="G551" s="353">
        <v>2</v>
      </c>
    </row>
    <row r="552" spans="1:7" x14ac:dyDescent="0.3">
      <c r="A552" s="350" t="s">
        <v>147</v>
      </c>
      <c r="B552" s="350" t="s">
        <v>248</v>
      </c>
      <c r="C552" s="350">
        <v>2019</v>
      </c>
      <c r="D552" s="350" t="s">
        <v>65</v>
      </c>
      <c r="E552" s="350">
        <v>11799</v>
      </c>
      <c r="F552" s="353" t="s">
        <v>66</v>
      </c>
      <c r="G552" s="353">
        <v>4</v>
      </c>
    </row>
    <row r="553" spans="1:7" x14ac:dyDescent="0.3">
      <c r="A553" s="350" t="s">
        <v>147</v>
      </c>
      <c r="B553" s="350" t="s">
        <v>248</v>
      </c>
      <c r="C553" s="350">
        <v>2018</v>
      </c>
      <c r="D553" s="350" t="s">
        <v>65</v>
      </c>
      <c r="E553" s="350">
        <v>11799</v>
      </c>
      <c r="F553" s="353" t="s">
        <v>66</v>
      </c>
      <c r="G553" s="353">
        <v>8</v>
      </c>
    </row>
    <row r="554" spans="1:7" x14ac:dyDescent="0.3">
      <c r="A554" s="350" t="s">
        <v>147</v>
      </c>
      <c r="B554" s="350" t="s">
        <v>248</v>
      </c>
      <c r="C554" s="350">
        <v>2017</v>
      </c>
      <c r="D554" s="350" t="s">
        <v>65</v>
      </c>
      <c r="E554" s="350">
        <v>11799</v>
      </c>
      <c r="F554" s="353" t="s">
        <v>66</v>
      </c>
      <c r="G554" s="353">
        <v>5</v>
      </c>
    </row>
    <row r="555" spans="1:7" x14ac:dyDescent="0.3">
      <c r="A555" s="350" t="s">
        <v>147</v>
      </c>
      <c r="B555" s="350" t="s">
        <v>248</v>
      </c>
      <c r="C555" s="350">
        <v>2016</v>
      </c>
      <c r="D555" s="350" t="s">
        <v>65</v>
      </c>
      <c r="E555" s="350">
        <v>11799</v>
      </c>
      <c r="F555" s="353" t="s">
        <v>66</v>
      </c>
      <c r="G555" s="353">
        <v>4</v>
      </c>
    </row>
    <row r="556" spans="1:7" x14ac:dyDescent="0.3">
      <c r="A556" s="350" t="s">
        <v>147</v>
      </c>
      <c r="B556" s="350" t="s">
        <v>248</v>
      </c>
      <c r="C556" s="350">
        <v>2015</v>
      </c>
      <c r="D556" s="350" t="s">
        <v>65</v>
      </c>
      <c r="E556" s="350">
        <v>11799</v>
      </c>
      <c r="F556" s="353" t="s">
        <v>66</v>
      </c>
      <c r="G556" s="353">
        <v>9</v>
      </c>
    </row>
    <row r="557" spans="1:7" x14ac:dyDescent="0.3">
      <c r="A557" s="350" t="s">
        <v>147</v>
      </c>
      <c r="B557" s="350" t="s">
        <v>248</v>
      </c>
      <c r="C557" s="350">
        <v>2014</v>
      </c>
      <c r="D557" s="350" t="s">
        <v>65</v>
      </c>
      <c r="E557" s="350">
        <v>11799</v>
      </c>
      <c r="F557" s="353" t="s">
        <v>66</v>
      </c>
      <c r="G557" s="353">
        <v>7</v>
      </c>
    </row>
    <row r="558" spans="1:7" x14ac:dyDescent="0.3">
      <c r="A558" s="354" t="s">
        <v>147</v>
      </c>
      <c r="B558" s="354" t="s">
        <v>155</v>
      </c>
      <c r="C558" s="354">
        <v>2021</v>
      </c>
      <c r="D558" s="354" t="s">
        <v>65</v>
      </c>
      <c r="E558" s="354">
        <v>11750</v>
      </c>
      <c r="F558" s="355" t="s">
        <v>66</v>
      </c>
      <c r="G558" s="355">
        <v>2</v>
      </c>
    </row>
    <row r="559" spans="1:7" x14ac:dyDescent="0.3">
      <c r="A559" s="354" t="s">
        <v>147</v>
      </c>
      <c r="B559" s="354" t="s">
        <v>155</v>
      </c>
      <c r="C559" s="354">
        <v>2020</v>
      </c>
      <c r="D559" s="354" t="s">
        <v>65</v>
      </c>
      <c r="E559" s="354">
        <v>11750</v>
      </c>
      <c r="F559" s="355" t="s">
        <v>66</v>
      </c>
      <c r="G559" s="355">
        <v>1</v>
      </c>
    </row>
    <row r="560" spans="1:7" x14ac:dyDescent="0.3">
      <c r="A560" s="354" t="s">
        <v>147</v>
      </c>
      <c r="B560" s="354" t="s">
        <v>155</v>
      </c>
      <c r="C560" s="354">
        <v>2019</v>
      </c>
      <c r="D560" s="354" t="s">
        <v>65</v>
      </c>
      <c r="E560" s="354">
        <v>11750</v>
      </c>
      <c r="F560" s="355" t="s">
        <v>66</v>
      </c>
      <c r="G560" s="355">
        <v>1</v>
      </c>
    </row>
    <row r="561" spans="1:7" x14ac:dyDescent="0.3">
      <c r="A561" s="354" t="s">
        <v>147</v>
      </c>
      <c r="B561" s="354" t="s">
        <v>155</v>
      </c>
      <c r="C561" s="354">
        <v>2018</v>
      </c>
      <c r="D561" s="354" t="s">
        <v>65</v>
      </c>
      <c r="E561" s="354">
        <v>11750</v>
      </c>
      <c r="F561" s="355" t="s">
        <v>66</v>
      </c>
      <c r="G561" s="355">
        <v>2</v>
      </c>
    </row>
    <row r="562" spans="1:7" x14ac:dyDescent="0.3">
      <c r="A562" s="354" t="s">
        <v>147</v>
      </c>
      <c r="B562" s="354" t="s">
        <v>155</v>
      </c>
      <c r="C562" s="354">
        <v>2017</v>
      </c>
      <c r="D562" s="354" t="s">
        <v>65</v>
      </c>
      <c r="E562" s="354">
        <v>11750</v>
      </c>
      <c r="F562" s="355" t="s">
        <v>66</v>
      </c>
      <c r="G562" s="355">
        <v>3</v>
      </c>
    </row>
    <row r="563" spans="1:7" x14ac:dyDescent="0.3">
      <c r="A563" s="354" t="s">
        <v>147</v>
      </c>
      <c r="B563" s="354" t="s">
        <v>155</v>
      </c>
      <c r="C563" s="354">
        <v>2016</v>
      </c>
      <c r="D563" s="354" t="s">
        <v>65</v>
      </c>
      <c r="E563" s="354">
        <v>11750</v>
      </c>
      <c r="F563" s="355" t="s">
        <v>66</v>
      </c>
      <c r="G563" s="355">
        <v>2</v>
      </c>
    </row>
    <row r="564" spans="1:7" x14ac:dyDescent="0.3">
      <c r="A564" s="354" t="s">
        <v>147</v>
      </c>
      <c r="B564" s="354" t="s">
        <v>155</v>
      </c>
      <c r="C564" s="354">
        <v>2015</v>
      </c>
      <c r="D564" s="354" t="s">
        <v>65</v>
      </c>
      <c r="E564" s="354">
        <v>11750</v>
      </c>
      <c r="F564" s="355" t="s">
        <v>66</v>
      </c>
      <c r="G564" s="355">
        <v>1</v>
      </c>
    </row>
    <row r="565" spans="1:7" x14ac:dyDescent="0.3">
      <c r="A565" s="354" t="s">
        <v>147</v>
      </c>
      <c r="B565" s="354" t="s">
        <v>155</v>
      </c>
      <c r="C565" s="354">
        <v>2014</v>
      </c>
      <c r="D565" s="354" t="s">
        <v>65</v>
      </c>
      <c r="E565" s="354">
        <v>11750</v>
      </c>
      <c r="F565" s="355" t="s">
        <v>66</v>
      </c>
      <c r="G565" s="355">
        <v>1</v>
      </c>
    </row>
    <row r="566" spans="1:7" x14ac:dyDescent="0.3">
      <c r="A566" s="350" t="s">
        <v>147</v>
      </c>
      <c r="B566" s="350" t="s">
        <v>249</v>
      </c>
      <c r="C566" s="350">
        <v>2021</v>
      </c>
      <c r="D566" s="350" t="s">
        <v>65</v>
      </c>
      <c r="E566" s="350">
        <v>11574</v>
      </c>
      <c r="F566" s="353" t="s">
        <v>66</v>
      </c>
      <c r="G566" s="353">
        <v>9</v>
      </c>
    </row>
    <row r="567" spans="1:7" x14ac:dyDescent="0.3">
      <c r="A567" s="350" t="s">
        <v>147</v>
      </c>
      <c r="B567" s="350" t="s">
        <v>249</v>
      </c>
      <c r="C567" s="350">
        <v>2020</v>
      </c>
      <c r="D567" s="350" t="s">
        <v>65</v>
      </c>
      <c r="E567" s="350">
        <v>11574</v>
      </c>
      <c r="F567" s="353" t="s">
        <v>66</v>
      </c>
      <c r="G567" s="353">
        <v>22</v>
      </c>
    </row>
    <row r="568" spans="1:7" x14ac:dyDescent="0.3">
      <c r="A568" s="350" t="s">
        <v>147</v>
      </c>
      <c r="B568" s="350" t="s">
        <v>249</v>
      </c>
      <c r="C568" s="350">
        <v>2019</v>
      </c>
      <c r="D568" s="350" t="s">
        <v>65</v>
      </c>
      <c r="E568" s="350">
        <v>11574</v>
      </c>
      <c r="F568" s="353" t="s">
        <v>66</v>
      </c>
      <c r="G568" s="353">
        <v>18</v>
      </c>
    </row>
    <row r="569" spans="1:7" x14ac:dyDescent="0.3">
      <c r="A569" s="350" t="s">
        <v>147</v>
      </c>
      <c r="B569" s="350" t="s">
        <v>249</v>
      </c>
      <c r="C569" s="350">
        <v>2018</v>
      </c>
      <c r="D569" s="350" t="s">
        <v>65</v>
      </c>
      <c r="E569" s="350">
        <v>11574</v>
      </c>
      <c r="F569" s="353" t="s">
        <v>66</v>
      </c>
      <c r="G569" s="353">
        <v>23</v>
      </c>
    </row>
    <row r="570" spans="1:7" x14ac:dyDescent="0.3">
      <c r="A570" s="350" t="s">
        <v>147</v>
      </c>
      <c r="B570" s="350" t="s">
        <v>249</v>
      </c>
      <c r="C570" s="350">
        <v>2017</v>
      </c>
      <c r="D570" s="350" t="s">
        <v>65</v>
      </c>
      <c r="E570" s="350">
        <v>11574</v>
      </c>
      <c r="F570" s="353" t="s">
        <v>66</v>
      </c>
      <c r="G570" s="353">
        <v>31</v>
      </c>
    </row>
    <row r="571" spans="1:7" x14ac:dyDescent="0.3">
      <c r="A571" s="350" t="s">
        <v>147</v>
      </c>
      <c r="B571" s="350" t="s">
        <v>249</v>
      </c>
      <c r="C571" s="350">
        <v>2016</v>
      </c>
      <c r="D571" s="350" t="s">
        <v>65</v>
      </c>
      <c r="E571" s="350">
        <v>11574</v>
      </c>
      <c r="F571" s="353" t="s">
        <v>66</v>
      </c>
      <c r="G571" s="353">
        <v>26</v>
      </c>
    </row>
    <row r="572" spans="1:7" x14ac:dyDescent="0.3">
      <c r="A572" s="350" t="s">
        <v>147</v>
      </c>
      <c r="B572" s="350" t="s">
        <v>249</v>
      </c>
      <c r="C572" s="350">
        <v>2015</v>
      </c>
      <c r="D572" s="350" t="s">
        <v>65</v>
      </c>
      <c r="E572" s="350">
        <v>11574</v>
      </c>
      <c r="F572" s="353" t="s">
        <v>66</v>
      </c>
      <c r="G572" s="353">
        <v>24</v>
      </c>
    </row>
    <row r="573" spans="1:7" x14ac:dyDescent="0.3">
      <c r="A573" s="350" t="s">
        <v>147</v>
      </c>
      <c r="B573" s="350" t="s">
        <v>249</v>
      </c>
      <c r="C573" s="350">
        <v>2014</v>
      </c>
      <c r="D573" s="350" t="s">
        <v>65</v>
      </c>
      <c r="E573" s="350">
        <v>11574</v>
      </c>
      <c r="F573" s="353" t="s">
        <v>66</v>
      </c>
      <c r="G573" s="353">
        <v>17</v>
      </c>
    </row>
    <row r="574" spans="1:7" x14ac:dyDescent="0.3">
      <c r="A574" s="350" t="s">
        <v>147</v>
      </c>
      <c r="B574" s="350" t="s">
        <v>69</v>
      </c>
      <c r="C574" s="350">
        <v>2021</v>
      </c>
      <c r="D574" s="350" t="s">
        <v>65</v>
      </c>
      <c r="E574" s="350">
        <v>10700</v>
      </c>
      <c r="F574" s="353" t="s">
        <v>66</v>
      </c>
      <c r="G574" s="353">
        <v>4</v>
      </c>
    </row>
    <row r="575" spans="1:7" x14ac:dyDescent="0.3">
      <c r="A575" s="350" t="s">
        <v>147</v>
      </c>
      <c r="B575" s="350" t="s">
        <v>69</v>
      </c>
      <c r="C575" s="350">
        <v>2020</v>
      </c>
      <c r="D575" s="350" t="s">
        <v>65</v>
      </c>
      <c r="E575" s="350">
        <v>10700</v>
      </c>
      <c r="F575" s="353" t="s">
        <v>66</v>
      </c>
      <c r="G575" s="353">
        <v>22</v>
      </c>
    </row>
    <row r="576" spans="1:7" x14ac:dyDescent="0.3">
      <c r="A576" s="350" t="s">
        <v>147</v>
      </c>
      <c r="B576" s="350" t="s">
        <v>69</v>
      </c>
      <c r="C576" s="350">
        <v>2019</v>
      </c>
      <c r="D576" s="350" t="s">
        <v>65</v>
      </c>
      <c r="E576" s="350">
        <v>10700</v>
      </c>
      <c r="F576" s="353" t="s">
        <v>66</v>
      </c>
      <c r="G576" s="353">
        <v>10</v>
      </c>
    </row>
    <row r="577" spans="1:7" x14ac:dyDescent="0.3">
      <c r="A577" s="350" t="s">
        <v>147</v>
      </c>
      <c r="B577" s="350" t="s">
        <v>69</v>
      </c>
      <c r="C577" s="350">
        <v>2018</v>
      </c>
      <c r="D577" s="350" t="s">
        <v>65</v>
      </c>
      <c r="E577" s="350">
        <v>10700</v>
      </c>
      <c r="F577" s="353" t="s">
        <v>66</v>
      </c>
      <c r="G577" s="353">
        <v>14</v>
      </c>
    </row>
    <row r="578" spans="1:7" x14ac:dyDescent="0.3">
      <c r="A578" s="350" t="s">
        <v>147</v>
      </c>
      <c r="B578" s="350" t="s">
        <v>69</v>
      </c>
      <c r="C578" s="350">
        <v>2017</v>
      </c>
      <c r="D578" s="350" t="s">
        <v>65</v>
      </c>
      <c r="E578" s="350">
        <v>10700</v>
      </c>
      <c r="F578" s="353" t="s">
        <v>66</v>
      </c>
      <c r="G578" s="353">
        <v>3</v>
      </c>
    </row>
    <row r="579" spans="1:7" x14ac:dyDescent="0.3">
      <c r="A579" s="350" t="s">
        <v>147</v>
      </c>
      <c r="B579" s="350" t="s">
        <v>69</v>
      </c>
      <c r="C579" s="350">
        <v>2016</v>
      </c>
      <c r="D579" s="350" t="s">
        <v>65</v>
      </c>
      <c r="E579" s="350">
        <v>10700</v>
      </c>
      <c r="F579" s="353" t="s">
        <v>66</v>
      </c>
      <c r="G579" s="353">
        <v>9</v>
      </c>
    </row>
    <row r="580" spans="1:7" x14ac:dyDescent="0.3">
      <c r="A580" s="350" t="s">
        <v>147</v>
      </c>
      <c r="B580" s="350" t="s">
        <v>69</v>
      </c>
      <c r="C580" s="350">
        <v>2015</v>
      </c>
      <c r="D580" s="350" t="s">
        <v>65</v>
      </c>
      <c r="E580" s="350">
        <v>10700</v>
      </c>
      <c r="F580" s="353" t="s">
        <v>66</v>
      </c>
      <c r="G580" s="353">
        <v>5</v>
      </c>
    </row>
    <row r="581" spans="1:7" x14ac:dyDescent="0.3">
      <c r="A581" s="350" t="s">
        <v>147</v>
      </c>
      <c r="B581" s="350" t="s">
        <v>69</v>
      </c>
      <c r="C581" s="350">
        <v>2014</v>
      </c>
      <c r="D581" s="350" t="s">
        <v>65</v>
      </c>
      <c r="E581" s="350">
        <v>10700</v>
      </c>
      <c r="F581" s="353" t="s">
        <v>66</v>
      </c>
      <c r="G581" s="353">
        <v>2</v>
      </c>
    </row>
    <row r="582" spans="1:7" x14ac:dyDescent="0.3">
      <c r="A582" s="350" t="s">
        <v>147</v>
      </c>
      <c r="B582" s="350" t="s">
        <v>103</v>
      </c>
      <c r="C582" s="350">
        <v>2021</v>
      </c>
      <c r="D582" s="350" t="s">
        <v>65</v>
      </c>
      <c r="E582" s="350">
        <v>10700</v>
      </c>
      <c r="F582" s="353" t="s">
        <v>66</v>
      </c>
      <c r="G582" s="353">
        <v>82</v>
      </c>
    </row>
    <row r="583" spans="1:7" x14ac:dyDescent="0.3">
      <c r="A583" s="350" t="s">
        <v>147</v>
      </c>
      <c r="B583" s="350" t="s">
        <v>103</v>
      </c>
      <c r="C583" s="350">
        <v>2020</v>
      </c>
      <c r="D583" s="350" t="s">
        <v>65</v>
      </c>
      <c r="E583" s="350">
        <v>10700</v>
      </c>
      <c r="F583" s="353" t="s">
        <v>66</v>
      </c>
      <c r="G583" s="353">
        <v>99</v>
      </c>
    </row>
    <row r="584" spans="1:7" x14ac:dyDescent="0.3">
      <c r="A584" s="350" t="s">
        <v>147</v>
      </c>
      <c r="B584" s="350" t="s">
        <v>103</v>
      </c>
      <c r="C584" s="350">
        <v>2019</v>
      </c>
      <c r="D584" s="350" t="s">
        <v>65</v>
      </c>
      <c r="E584" s="350">
        <v>10700</v>
      </c>
      <c r="F584" s="353" t="s">
        <v>66</v>
      </c>
      <c r="G584" s="353">
        <v>94</v>
      </c>
    </row>
    <row r="585" spans="1:7" x14ac:dyDescent="0.3">
      <c r="A585" s="350" t="s">
        <v>147</v>
      </c>
      <c r="B585" s="350" t="s">
        <v>103</v>
      </c>
      <c r="C585" s="350">
        <v>2018</v>
      </c>
      <c r="D585" s="350" t="s">
        <v>65</v>
      </c>
      <c r="E585" s="350">
        <v>10700</v>
      </c>
      <c r="F585" s="353" t="s">
        <v>66</v>
      </c>
      <c r="G585" s="353">
        <v>117</v>
      </c>
    </row>
    <row r="586" spans="1:7" x14ac:dyDescent="0.3">
      <c r="A586" s="350" t="s">
        <v>147</v>
      </c>
      <c r="B586" s="350" t="s">
        <v>103</v>
      </c>
      <c r="C586" s="350">
        <v>2017</v>
      </c>
      <c r="D586" s="350" t="s">
        <v>65</v>
      </c>
      <c r="E586" s="350">
        <v>10700</v>
      </c>
      <c r="F586" s="353" t="s">
        <v>66</v>
      </c>
      <c r="G586" s="353">
        <v>108</v>
      </c>
    </row>
    <row r="587" spans="1:7" x14ac:dyDescent="0.3">
      <c r="A587" s="350" t="s">
        <v>147</v>
      </c>
      <c r="B587" s="350" t="s">
        <v>103</v>
      </c>
      <c r="C587" s="350">
        <v>2016</v>
      </c>
      <c r="D587" s="350" t="s">
        <v>65</v>
      </c>
      <c r="E587" s="350">
        <v>10700</v>
      </c>
      <c r="F587" s="353" t="s">
        <v>66</v>
      </c>
      <c r="G587" s="353">
        <v>159</v>
      </c>
    </row>
    <row r="588" spans="1:7" x14ac:dyDescent="0.3">
      <c r="A588" s="350" t="s">
        <v>147</v>
      </c>
      <c r="B588" s="350" t="s">
        <v>103</v>
      </c>
      <c r="C588" s="350">
        <v>2015</v>
      </c>
      <c r="D588" s="350" t="s">
        <v>65</v>
      </c>
      <c r="E588" s="350">
        <v>10700</v>
      </c>
      <c r="F588" s="353" t="s">
        <v>66</v>
      </c>
      <c r="G588" s="353">
        <v>165</v>
      </c>
    </row>
    <row r="589" spans="1:7" x14ac:dyDescent="0.3">
      <c r="A589" s="350" t="s">
        <v>147</v>
      </c>
      <c r="B589" s="350" t="s">
        <v>103</v>
      </c>
      <c r="C589" s="350">
        <v>2014</v>
      </c>
      <c r="D589" s="350" t="s">
        <v>65</v>
      </c>
      <c r="E589" s="350">
        <v>10700</v>
      </c>
      <c r="F589" s="353" t="s">
        <v>66</v>
      </c>
      <c r="G589" s="353">
        <v>90</v>
      </c>
    </row>
    <row r="590" spans="1:7" x14ac:dyDescent="0.3">
      <c r="A590" s="350" t="s">
        <v>147</v>
      </c>
      <c r="B590" s="350" t="s">
        <v>157</v>
      </c>
      <c r="C590" s="350">
        <v>2020</v>
      </c>
      <c r="D590" s="350" t="s">
        <v>65</v>
      </c>
      <c r="E590" s="350">
        <v>10480</v>
      </c>
      <c r="F590" s="353" t="s">
        <v>66</v>
      </c>
      <c r="G590" s="353">
        <v>1</v>
      </c>
    </row>
    <row r="591" spans="1:7" x14ac:dyDescent="0.3">
      <c r="A591" s="350" t="s">
        <v>147</v>
      </c>
      <c r="B591" s="350" t="s">
        <v>116</v>
      </c>
      <c r="C591" s="350">
        <v>2021</v>
      </c>
      <c r="D591" s="350" t="s">
        <v>65</v>
      </c>
      <c r="E591" s="350">
        <v>10471</v>
      </c>
      <c r="F591" s="353" t="s">
        <v>66</v>
      </c>
      <c r="G591" s="353">
        <v>47</v>
      </c>
    </row>
    <row r="592" spans="1:7" x14ac:dyDescent="0.3">
      <c r="A592" s="350" t="s">
        <v>147</v>
      </c>
      <c r="B592" s="350" t="s">
        <v>116</v>
      </c>
      <c r="C592" s="350">
        <v>2020</v>
      </c>
      <c r="D592" s="350" t="s">
        <v>65</v>
      </c>
      <c r="E592" s="350">
        <v>10471</v>
      </c>
      <c r="F592" s="353" t="s">
        <v>66</v>
      </c>
      <c r="G592" s="353">
        <v>31</v>
      </c>
    </row>
    <row r="593" spans="1:7" x14ac:dyDescent="0.3">
      <c r="A593" s="350" t="s">
        <v>147</v>
      </c>
      <c r="B593" s="350" t="s">
        <v>116</v>
      </c>
      <c r="C593" s="350">
        <v>2019</v>
      </c>
      <c r="D593" s="350" t="s">
        <v>65</v>
      </c>
      <c r="E593" s="350">
        <v>10471</v>
      </c>
      <c r="F593" s="353" t="s">
        <v>66</v>
      </c>
      <c r="G593" s="353">
        <v>56</v>
      </c>
    </row>
    <row r="594" spans="1:7" x14ac:dyDescent="0.3">
      <c r="A594" s="350" t="s">
        <v>147</v>
      </c>
      <c r="B594" s="350" t="s">
        <v>116</v>
      </c>
      <c r="C594" s="350">
        <v>2018</v>
      </c>
      <c r="D594" s="350" t="s">
        <v>65</v>
      </c>
      <c r="E594" s="350">
        <v>10471</v>
      </c>
      <c r="F594" s="353" t="s">
        <v>66</v>
      </c>
      <c r="G594" s="353">
        <v>65</v>
      </c>
    </row>
    <row r="595" spans="1:7" x14ac:dyDescent="0.3">
      <c r="A595" s="350" t="s">
        <v>147</v>
      </c>
      <c r="B595" s="350" t="s">
        <v>116</v>
      </c>
      <c r="C595" s="350">
        <v>2017</v>
      </c>
      <c r="D595" s="350" t="s">
        <v>65</v>
      </c>
      <c r="E595" s="350">
        <v>10471</v>
      </c>
      <c r="F595" s="353" t="s">
        <v>66</v>
      </c>
      <c r="G595" s="353">
        <v>56</v>
      </c>
    </row>
    <row r="596" spans="1:7" x14ac:dyDescent="0.3">
      <c r="A596" s="350" t="s">
        <v>147</v>
      </c>
      <c r="B596" s="350" t="s">
        <v>116</v>
      </c>
      <c r="C596" s="350">
        <v>2016</v>
      </c>
      <c r="D596" s="350" t="s">
        <v>65</v>
      </c>
      <c r="E596" s="350">
        <v>10471</v>
      </c>
      <c r="F596" s="353" t="s">
        <v>66</v>
      </c>
      <c r="G596" s="353">
        <v>70</v>
      </c>
    </row>
    <row r="597" spans="1:7" x14ac:dyDescent="0.3">
      <c r="A597" s="350" t="s">
        <v>147</v>
      </c>
      <c r="B597" s="350" t="s">
        <v>116</v>
      </c>
      <c r="C597" s="350">
        <v>2015</v>
      </c>
      <c r="D597" s="350" t="s">
        <v>65</v>
      </c>
      <c r="E597" s="350">
        <v>10471</v>
      </c>
      <c r="F597" s="353" t="s">
        <v>66</v>
      </c>
      <c r="G597" s="353">
        <v>51</v>
      </c>
    </row>
    <row r="598" spans="1:7" x14ac:dyDescent="0.3">
      <c r="A598" s="350" t="s">
        <v>147</v>
      </c>
      <c r="B598" s="350" t="s">
        <v>116</v>
      </c>
      <c r="C598" s="350">
        <v>2014</v>
      </c>
      <c r="D598" s="350" t="s">
        <v>65</v>
      </c>
      <c r="E598" s="350">
        <v>10471</v>
      </c>
      <c r="F598" s="353" t="s">
        <v>66</v>
      </c>
      <c r="G598" s="353">
        <v>32</v>
      </c>
    </row>
    <row r="599" spans="1:7" x14ac:dyDescent="0.3">
      <c r="A599" s="350" t="s">
        <v>147</v>
      </c>
      <c r="B599" s="350" t="s">
        <v>182</v>
      </c>
      <c r="C599" s="350">
        <v>2019</v>
      </c>
      <c r="D599" s="350" t="s">
        <v>65</v>
      </c>
      <c r="E599" s="350">
        <v>10400</v>
      </c>
      <c r="F599" s="353" t="s">
        <v>72</v>
      </c>
      <c r="G599" s="353">
        <v>1</v>
      </c>
    </row>
    <row r="600" spans="1:7" x14ac:dyDescent="0.3">
      <c r="A600" s="350" t="s">
        <v>147</v>
      </c>
      <c r="B600" s="350" t="s">
        <v>182</v>
      </c>
      <c r="C600" s="350">
        <v>2018</v>
      </c>
      <c r="D600" s="350" t="s">
        <v>65</v>
      </c>
      <c r="E600" s="350">
        <v>10400</v>
      </c>
      <c r="F600" s="353" t="s">
        <v>72</v>
      </c>
      <c r="G600" s="353">
        <v>3</v>
      </c>
    </row>
    <row r="601" spans="1:7" x14ac:dyDescent="0.3">
      <c r="A601" s="350" t="s">
        <v>147</v>
      </c>
      <c r="B601" s="350" t="s">
        <v>182</v>
      </c>
      <c r="C601" s="350">
        <v>2015</v>
      </c>
      <c r="D601" s="350" t="s">
        <v>65</v>
      </c>
      <c r="E601" s="350">
        <v>10400</v>
      </c>
      <c r="F601" s="353" t="s">
        <v>72</v>
      </c>
      <c r="G601" s="353">
        <v>2</v>
      </c>
    </row>
    <row r="602" spans="1:7" x14ac:dyDescent="0.3">
      <c r="A602" s="350" t="s">
        <v>147</v>
      </c>
      <c r="B602" s="350" t="s">
        <v>189</v>
      </c>
      <c r="C602" s="350">
        <v>2021</v>
      </c>
      <c r="D602" s="350" t="s">
        <v>65</v>
      </c>
      <c r="E602" s="350">
        <v>10361</v>
      </c>
      <c r="F602" s="353" t="s">
        <v>66</v>
      </c>
      <c r="G602" s="353">
        <v>43</v>
      </c>
    </row>
    <row r="603" spans="1:7" x14ac:dyDescent="0.3">
      <c r="A603" s="350" t="s">
        <v>147</v>
      </c>
      <c r="B603" s="350" t="s">
        <v>189</v>
      </c>
      <c r="C603" s="350">
        <v>2020</v>
      </c>
      <c r="D603" s="350" t="s">
        <v>65</v>
      </c>
      <c r="E603" s="350">
        <v>10361</v>
      </c>
      <c r="F603" s="353" t="s">
        <v>66</v>
      </c>
      <c r="G603" s="353">
        <v>26</v>
      </c>
    </row>
    <row r="604" spans="1:7" x14ac:dyDescent="0.3">
      <c r="A604" s="350" t="s">
        <v>147</v>
      </c>
      <c r="B604" s="350" t="s">
        <v>189</v>
      </c>
      <c r="C604" s="350">
        <v>2019</v>
      </c>
      <c r="D604" s="350" t="s">
        <v>65</v>
      </c>
      <c r="E604" s="350">
        <v>10361</v>
      </c>
      <c r="F604" s="353" t="s">
        <v>66</v>
      </c>
      <c r="G604" s="353">
        <v>31</v>
      </c>
    </row>
    <row r="605" spans="1:7" x14ac:dyDescent="0.3">
      <c r="A605" s="350" t="s">
        <v>147</v>
      </c>
      <c r="B605" s="350" t="s">
        <v>189</v>
      </c>
      <c r="C605" s="350">
        <v>2018</v>
      </c>
      <c r="D605" s="350" t="s">
        <v>65</v>
      </c>
      <c r="E605" s="350">
        <v>10361</v>
      </c>
      <c r="F605" s="353" t="s">
        <v>66</v>
      </c>
      <c r="G605" s="353">
        <v>22</v>
      </c>
    </row>
    <row r="606" spans="1:7" x14ac:dyDescent="0.3">
      <c r="A606" s="350" t="s">
        <v>147</v>
      </c>
      <c r="B606" s="350" t="s">
        <v>189</v>
      </c>
      <c r="C606" s="350">
        <v>2017</v>
      </c>
      <c r="D606" s="350" t="s">
        <v>65</v>
      </c>
      <c r="E606" s="350">
        <v>10361</v>
      </c>
      <c r="F606" s="353" t="s">
        <v>66</v>
      </c>
      <c r="G606" s="353">
        <v>24</v>
      </c>
    </row>
    <row r="607" spans="1:7" x14ac:dyDescent="0.3">
      <c r="A607" s="350" t="s">
        <v>147</v>
      </c>
      <c r="B607" s="350" t="s">
        <v>189</v>
      </c>
      <c r="C607" s="350">
        <v>2016</v>
      </c>
      <c r="D607" s="350" t="s">
        <v>65</v>
      </c>
      <c r="E607" s="350">
        <v>10361</v>
      </c>
      <c r="F607" s="353" t="s">
        <v>66</v>
      </c>
      <c r="G607" s="353">
        <v>15</v>
      </c>
    </row>
    <row r="608" spans="1:7" x14ac:dyDescent="0.3">
      <c r="A608" s="350" t="s">
        <v>147</v>
      </c>
      <c r="B608" s="350" t="s">
        <v>189</v>
      </c>
      <c r="C608" s="350">
        <v>2015</v>
      </c>
      <c r="D608" s="350" t="s">
        <v>65</v>
      </c>
      <c r="E608" s="350">
        <v>10361</v>
      </c>
      <c r="F608" s="353" t="s">
        <v>66</v>
      </c>
      <c r="G608" s="353">
        <v>9</v>
      </c>
    </row>
    <row r="609" spans="1:7" x14ac:dyDescent="0.3">
      <c r="A609" s="350" t="s">
        <v>147</v>
      </c>
      <c r="B609" s="350" t="s">
        <v>189</v>
      </c>
      <c r="C609" s="350">
        <v>2014</v>
      </c>
      <c r="D609" s="350" t="s">
        <v>65</v>
      </c>
      <c r="E609" s="350">
        <v>10361</v>
      </c>
      <c r="F609" s="353" t="s">
        <v>66</v>
      </c>
      <c r="G609" s="353">
        <v>5</v>
      </c>
    </row>
    <row r="610" spans="1:7" x14ac:dyDescent="0.3">
      <c r="A610" s="350" t="s">
        <v>147</v>
      </c>
      <c r="B610" s="350" t="s">
        <v>79</v>
      </c>
      <c r="C610" s="350">
        <v>2021</v>
      </c>
      <c r="D610" s="350" t="s">
        <v>65</v>
      </c>
      <c r="E610" s="350">
        <v>10097</v>
      </c>
      <c r="F610" s="353" t="s">
        <v>66</v>
      </c>
      <c r="G610" s="353">
        <v>1</v>
      </c>
    </row>
    <row r="611" spans="1:7" x14ac:dyDescent="0.3">
      <c r="A611" s="350" t="s">
        <v>147</v>
      </c>
      <c r="B611" s="350" t="s">
        <v>79</v>
      </c>
      <c r="C611" s="350">
        <v>2018</v>
      </c>
      <c r="D611" s="350" t="s">
        <v>65</v>
      </c>
      <c r="E611" s="350">
        <v>10097</v>
      </c>
      <c r="F611" s="353" t="s">
        <v>66</v>
      </c>
      <c r="G611" s="353">
        <v>1</v>
      </c>
    </row>
    <row r="612" spans="1:7" x14ac:dyDescent="0.3">
      <c r="A612" s="350" t="s">
        <v>147</v>
      </c>
      <c r="B612" s="350" t="s">
        <v>79</v>
      </c>
      <c r="C612" s="350">
        <v>2017</v>
      </c>
      <c r="D612" s="350" t="s">
        <v>65</v>
      </c>
      <c r="E612" s="350">
        <v>10097</v>
      </c>
      <c r="F612" s="353" t="s">
        <v>66</v>
      </c>
      <c r="G612" s="353">
        <v>3</v>
      </c>
    </row>
    <row r="613" spans="1:7" x14ac:dyDescent="0.3">
      <c r="A613" s="350" t="s">
        <v>147</v>
      </c>
      <c r="B613" s="350" t="s">
        <v>79</v>
      </c>
      <c r="C613" s="350">
        <v>2016</v>
      </c>
      <c r="D613" s="350" t="s">
        <v>65</v>
      </c>
      <c r="E613" s="350">
        <v>10097</v>
      </c>
      <c r="F613" s="353" t="s">
        <v>66</v>
      </c>
      <c r="G613" s="353">
        <v>4</v>
      </c>
    </row>
    <row r="614" spans="1:7" x14ac:dyDescent="0.3">
      <c r="A614" s="350" t="s">
        <v>147</v>
      </c>
      <c r="B614" s="350" t="s">
        <v>79</v>
      </c>
      <c r="C614" s="350">
        <v>2015</v>
      </c>
      <c r="D614" s="350" t="s">
        <v>65</v>
      </c>
      <c r="E614" s="350">
        <v>10097</v>
      </c>
      <c r="F614" s="353" t="s">
        <v>66</v>
      </c>
      <c r="G614" s="353">
        <v>8</v>
      </c>
    </row>
    <row r="615" spans="1:7" x14ac:dyDescent="0.3">
      <c r="A615" s="350" t="s">
        <v>147</v>
      </c>
      <c r="B615" s="350" t="s">
        <v>80</v>
      </c>
      <c r="C615" s="350">
        <v>2021</v>
      </c>
      <c r="D615" s="350" t="s">
        <v>65</v>
      </c>
      <c r="E615" s="350">
        <v>10097</v>
      </c>
      <c r="F615" s="353" t="s">
        <v>72</v>
      </c>
      <c r="G615" s="353">
        <v>111</v>
      </c>
    </row>
    <row r="616" spans="1:7" x14ac:dyDescent="0.3">
      <c r="A616" s="350" t="s">
        <v>147</v>
      </c>
      <c r="B616" s="350" t="s">
        <v>80</v>
      </c>
      <c r="C616" s="350">
        <v>2020</v>
      </c>
      <c r="D616" s="350" t="s">
        <v>65</v>
      </c>
      <c r="E616" s="350">
        <v>10097</v>
      </c>
      <c r="F616" s="353" t="s">
        <v>72</v>
      </c>
      <c r="G616" s="353">
        <v>163</v>
      </c>
    </row>
    <row r="617" spans="1:7" x14ac:dyDescent="0.3">
      <c r="A617" s="350" t="s">
        <v>147</v>
      </c>
      <c r="B617" s="350" t="s">
        <v>80</v>
      </c>
      <c r="C617" s="350">
        <v>2019</v>
      </c>
      <c r="D617" s="350" t="s">
        <v>65</v>
      </c>
      <c r="E617" s="350">
        <v>10097</v>
      </c>
      <c r="F617" s="353" t="s">
        <v>72</v>
      </c>
      <c r="G617" s="353">
        <v>259</v>
      </c>
    </row>
    <row r="618" spans="1:7" x14ac:dyDescent="0.3">
      <c r="A618" s="350" t="s">
        <v>147</v>
      </c>
      <c r="B618" s="350" t="s">
        <v>80</v>
      </c>
      <c r="C618" s="350">
        <v>2018</v>
      </c>
      <c r="D618" s="350" t="s">
        <v>65</v>
      </c>
      <c r="E618" s="350">
        <v>10097</v>
      </c>
      <c r="F618" s="353" t="s">
        <v>72</v>
      </c>
      <c r="G618" s="353">
        <v>297</v>
      </c>
    </row>
    <row r="619" spans="1:7" x14ac:dyDescent="0.3">
      <c r="A619" s="350" t="s">
        <v>147</v>
      </c>
      <c r="B619" s="350" t="s">
        <v>80</v>
      </c>
      <c r="C619" s="350">
        <v>2017</v>
      </c>
      <c r="D619" s="350" t="s">
        <v>65</v>
      </c>
      <c r="E619" s="350">
        <v>10097</v>
      </c>
      <c r="F619" s="353" t="s">
        <v>72</v>
      </c>
      <c r="G619" s="353">
        <v>347</v>
      </c>
    </row>
    <row r="620" spans="1:7" x14ac:dyDescent="0.3">
      <c r="A620" s="350" t="s">
        <v>147</v>
      </c>
      <c r="B620" s="350" t="s">
        <v>80</v>
      </c>
      <c r="C620" s="350">
        <v>2016</v>
      </c>
      <c r="D620" s="350" t="s">
        <v>65</v>
      </c>
      <c r="E620" s="350">
        <v>10097</v>
      </c>
      <c r="F620" s="353" t="s">
        <v>72</v>
      </c>
      <c r="G620" s="353">
        <v>501</v>
      </c>
    </row>
    <row r="621" spans="1:7" x14ac:dyDescent="0.3">
      <c r="A621" s="350" t="s">
        <v>147</v>
      </c>
      <c r="B621" s="350" t="s">
        <v>80</v>
      </c>
      <c r="C621" s="350">
        <v>2015</v>
      </c>
      <c r="D621" s="350" t="s">
        <v>65</v>
      </c>
      <c r="E621" s="350">
        <v>10097</v>
      </c>
      <c r="F621" s="353" t="s">
        <v>72</v>
      </c>
      <c r="G621" s="353">
        <v>429</v>
      </c>
    </row>
    <row r="622" spans="1:7" x14ac:dyDescent="0.3">
      <c r="A622" s="350" t="s">
        <v>147</v>
      </c>
      <c r="B622" s="350" t="s">
        <v>80</v>
      </c>
      <c r="C622" s="350">
        <v>2014</v>
      </c>
      <c r="D622" s="350" t="s">
        <v>65</v>
      </c>
      <c r="E622" s="350">
        <v>10097</v>
      </c>
      <c r="F622" s="353" t="s">
        <v>72</v>
      </c>
      <c r="G622" s="353">
        <v>222</v>
      </c>
    </row>
    <row r="623" spans="1:7" x14ac:dyDescent="0.3">
      <c r="A623" s="350" t="s">
        <v>147</v>
      </c>
      <c r="B623" s="350" t="s">
        <v>236</v>
      </c>
      <c r="C623" s="350">
        <v>2021</v>
      </c>
      <c r="D623" s="350" t="s">
        <v>65</v>
      </c>
      <c r="E623" s="350">
        <v>9963</v>
      </c>
      <c r="F623" s="353" t="s">
        <v>66</v>
      </c>
      <c r="G623" s="353">
        <v>38</v>
      </c>
    </row>
    <row r="624" spans="1:7" x14ac:dyDescent="0.3">
      <c r="A624" s="350" t="s">
        <v>147</v>
      </c>
      <c r="B624" s="350" t="s">
        <v>236</v>
      </c>
      <c r="C624" s="350">
        <v>2020</v>
      </c>
      <c r="D624" s="350" t="s">
        <v>65</v>
      </c>
      <c r="E624" s="350">
        <v>9963</v>
      </c>
      <c r="F624" s="353" t="s">
        <v>66</v>
      </c>
      <c r="G624" s="353">
        <v>23</v>
      </c>
    </row>
    <row r="625" spans="1:7" x14ac:dyDescent="0.3">
      <c r="A625" s="350" t="s">
        <v>147</v>
      </c>
      <c r="B625" s="350" t="s">
        <v>236</v>
      </c>
      <c r="C625" s="350">
        <v>2019</v>
      </c>
      <c r="D625" s="350" t="s">
        <v>65</v>
      </c>
      <c r="E625" s="350">
        <v>9963</v>
      </c>
      <c r="F625" s="353" t="s">
        <v>66</v>
      </c>
      <c r="G625" s="353">
        <v>17</v>
      </c>
    </row>
    <row r="626" spans="1:7" x14ac:dyDescent="0.3">
      <c r="A626" s="350" t="s">
        <v>147</v>
      </c>
      <c r="B626" s="350" t="s">
        <v>236</v>
      </c>
      <c r="C626" s="350">
        <v>2018</v>
      </c>
      <c r="D626" s="350" t="s">
        <v>65</v>
      </c>
      <c r="E626" s="350">
        <v>9963</v>
      </c>
      <c r="F626" s="353" t="s">
        <v>66</v>
      </c>
      <c r="G626" s="353">
        <v>11</v>
      </c>
    </row>
    <row r="627" spans="1:7" x14ac:dyDescent="0.3">
      <c r="A627" s="350" t="s">
        <v>147</v>
      </c>
      <c r="B627" s="350" t="s">
        <v>236</v>
      </c>
      <c r="C627" s="350">
        <v>2017</v>
      </c>
      <c r="D627" s="350" t="s">
        <v>65</v>
      </c>
      <c r="E627" s="350">
        <v>9963</v>
      </c>
      <c r="F627" s="353" t="s">
        <v>66</v>
      </c>
      <c r="G627" s="353">
        <v>3</v>
      </c>
    </row>
    <row r="628" spans="1:7" x14ac:dyDescent="0.3">
      <c r="A628" s="350" t="s">
        <v>147</v>
      </c>
      <c r="B628" s="350" t="s">
        <v>236</v>
      </c>
      <c r="C628" s="350">
        <v>2016</v>
      </c>
      <c r="D628" s="350" t="s">
        <v>65</v>
      </c>
      <c r="E628" s="350">
        <v>9963</v>
      </c>
      <c r="F628" s="353" t="s">
        <v>66</v>
      </c>
      <c r="G628" s="353">
        <v>1</v>
      </c>
    </row>
    <row r="629" spans="1:7" x14ac:dyDescent="0.3">
      <c r="A629" s="350" t="s">
        <v>147</v>
      </c>
      <c r="B629" s="350" t="s">
        <v>236</v>
      </c>
      <c r="C629" s="350">
        <v>2015</v>
      </c>
      <c r="D629" s="350" t="s">
        <v>65</v>
      </c>
      <c r="E629" s="350">
        <v>9963</v>
      </c>
      <c r="F629" s="353" t="s">
        <v>66</v>
      </c>
      <c r="G629" s="353">
        <v>1</v>
      </c>
    </row>
    <row r="630" spans="1:7" x14ac:dyDescent="0.3">
      <c r="A630" s="350" t="s">
        <v>147</v>
      </c>
      <c r="B630" s="350" t="s">
        <v>102</v>
      </c>
      <c r="C630" s="350">
        <v>2021</v>
      </c>
      <c r="D630" s="350" t="s">
        <v>65</v>
      </c>
      <c r="E630" s="350">
        <v>9850</v>
      </c>
      <c r="F630" s="353" t="s">
        <v>66</v>
      </c>
      <c r="G630" s="353">
        <v>33</v>
      </c>
    </row>
    <row r="631" spans="1:7" x14ac:dyDescent="0.3">
      <c r="A631" s="350" t="s">
        <v>147</v>
      </c>
      <c r="B631" s="350" t="s">
        <v>102</v>
      </c>
      <c r="C631" s="350">
        <v>2020</v>
      </c>
      <c r="D631" s="350" t="s">
        <v>65</v>
      </c>
      <c r="E631" s="350">
        <v>9850</v>
      </c>
      <c r="F631" s="353" t="s">
        <v>66</v>
      </c>
      <c r="G631" s="353">
        <v>33</v>
      </c>
    </row>
    <row r="632" spans="1:7" x14ac:dyDescent="0.3">
      <c r="A632" s="350" t="s">
        <v>147</v>
      </c>
      <c r="B632" s="350" t="s">
        <v>102</v>
      </c>
      <c r="C632" s="350">
        <v>2019</v>
      </c>
      <c r="D632" s="350" t="s">
        <v>65</v>
      </c>
      <c r="E632" s="350">
        <v>9850</v>
      </c>
      <c r="F632" s="353" t="s">
        <v>66</v>
      </c>
      <c r="G632" s="353">
        <v>31</v>
      </c>
    </row>
    <row r="633" spans="1:7" x14ac:dyDescent="0.3">
      <c r="A633" s="350" t="s">
        <v>147</v>
      </c>
      <c r="B633" s="350" t="s">
        <v>102</v>
      </c>
      <c r="C633" s="350">
        <v>2018</v>
      </c>
      <c r="D633" s="350" t="s">
        <v>65</v>
      </c>
      <c r="E633" s="350">
        <v>9850</v>
      </c>
      <c r="F633" s="353" t="s">
        <v>66</v>
      </c>
      <c r="G633" s="353">
        <v>20</v>
      </c>
    </row>
    <row r="634" spans="1:7" x14ac:dyDescent="0.3">
      <c r="A634" s="350" t="s">
        <v>147</v>
      </c>
      <c r="B634" s="350" t="s">
        <v>102</v>
      </c>
      <c r="C634" s="350">
        <v>2017</v>
      </c>
      <c r="D634" s="350" t="s">
        <v>65</v>
      </c>
      <c r="E634" s="350">
        <v>9850</v>
      </c>
      <c r="F634" s="353" t="s">
        <v>66</v>
      </c>
      <c r="G634" s="353">
        <v>35</v>
      </c>
    </row>
    <row r="635" spans="1:7" x14ac:dyDescent="0.3">
      <c r="A635" s="350" t="s">
        <v>147</v>
      </c>
      <c r="B635" s="350" t="s">
        <v>102</v>
      </c>
      <c r="C635" s="350">
        <v>2016</v>
      </c>
      <c r="D635" s="350" t="s">
        <v>65</v>
      </c>
      <c r="E635" s="350">
        <v>9850</v>
      </c>
      <c r="F635" s="353" t="s">
        <v>66</v>
      </c>
      <c r="G635" s="353">
        <v>19</v>
      </c>
    </row>
    <row r="636" spans="1:7" x14ac:dyDescent="0.3">
      <c r="A636" s="350" t="s">
        <v>147</v>
      </c>
      <c r="B636" s="350" t="s">
        <v>102</v>
      </c>
      <c r="C636" s="350">
        <v>2015</v>
      </c>
      <c r="D636" s="350" t="s">
        <v>65</v>
      </c>
      <c r="E636" s="350">
        <v>9850</v>
      </c>
      <c r="F636" s="353" t="s">
        <v>66</v>
      </c>
      <c r="G636" s="353">
        <v>10</v>
      </c>
    </row>
    <row r="637" spans="1:7" x14ac:dyDescent="0.3">
      <c r="A637" s="350" t="s">
        <v>147</v>
      </c>
      <c r="B637" s="350" t="s">
        <v>102</v>
      </c>
      <c r="C637" s="350">
        <v>2014</v>
      </c>
      <c r="D637" s="350" t="s">
        <v>65</v>
      </c>
      <c r="E637" s="350">
        <v>9850</v>
      </c>
      <c r="F637" s="353" t="s">
        <v>66</v>
      </c>
      <c r="G637" s="353">
        <v>5</v>
      </c>
    </row>
    <row r="638" spans="1:7" x14ac:dyDescent="0.3">
      <c r="A638" s="350" t="s">
        <v>147</v>
      </c>
      <c r="B638" s="350" t="s">
        <v>194</v>
      </c>
      <c r="C638" s="350">
        <v>2021</v>
      </c>
      <c r="D638" s="350" t="s">
        <v>65</v>
      </c>
      <c r="E638" s="350">
        <v>9502</v>
      </c>
      <c r="F638" s="353" t="s">
        <v>66</v>
      </c>
      <c r="G638" s="353">
        <v>3</v>
      </c>
    </row>
    <row r="639" spans="1:7" x14ac:dyDescent="0.3">
      <c r="A639" s="350" t="s">
        <v>147</v>
      </c>
      <c r="B639" s="350" t="s">
        <v>194</v>
      </c>
      <c r="C639" s="350">
        <v>2020</v>
      </c>
      <c r="D639" s="350" t="s">
        <v>65</v>
      </c>
      <c r="E639" s="350">
        <v>9502</v>
      </c>
      <c r="F639" s="353" t="s">
        <v>66</v>
      </c>
      <c r="G639" s="353">
        <v>1</v>
      </c>
    </row>
    <row r="640" spans="1:7" x14ac:dyDescent="0.3">
      <c r="A640" s="350" t="s">
        <v>147</v>
      </c>
      <c r="B640" s="350" t="s">
        <v>194</v>
      </c>
      <c r="C640" s="350">
        <v>2018</v>
      </c>
      <c r="D640" s="350" t="s">
        <v>65</v>
      </c>
      <c r="E640" s="350">
        <v>9502</v>
      </c>
      <c r="F640" s="353" t="s">
        <v>66</v>
      </c>
      <c r="G640" s="353">
        <v>1</v>
      </c>
    </row>
    <row r="641" spans="1:7" x14ac:dyDescent="0.3">
      <c r="A641" s="350" t="s">
        <v>147</v>
      </c>
      <c r="B641" s="350" t="s">
        <v>194</v>
      </c>
      <c r="C641" s="350">
        <v>2017</v>
      </c>
      <c r="D641" s="350" t="s">
        <v>65</v>
      </c>
      <c r="E641" s="350">
        <v>9502</v>
      </c>
      <c r="F641" s="353" t="s">
        <v>66</v>
      </c>
      <c r="G641" s="353">
        <v>3</v>
      </c>
    </row>
    <row r="642" spans="1:7" x14ac:dyDescent="0.3">
      <c r="A642" s="350" t="s">
        <v>147</v>
      </c>
      <c r="B642" s="350" t="s">
        <v>194</v>
      </c>
      <c r="C642" s="350">
        <v>2016</v>
      </c>
      <c r="D642" s="350" t="s">
        <v>65</v>
      </c>
      <c r="E642" s="350">
        <v>9502</v>
      </c>
      <c r="F642" s="353" t="s">
        <v>66</v>
      </c>
      <c r="G642" s="353">
        <v>12</v>
      </c>
    </row>
    <row r="643" spans="1:7" x14ac:dyDescent="0.3">
      <c r="A643" s="350" t="s">
        <v>147</v>
      </c>
      <c r="B643" s="350" t="s">
        <v>194</v>
      </c>
      <c r="C643" s="350">
        <v>2015</v>
      </c>
      <c r="D643" s="350" t="s">
        <v>65</v>
      </c>
      <c r="E643" s="350">
        <v>9502</v>
      </c>
      <c r="F643" s="353" t="s">
        <v>66</v>
      </c>
      <c r="G643" s="353">
        <v>3</v>
      </c>
    </row>
    <row r="644" spans="1:7" x14ac:dyDescent="0.3">
      <c r="A644" s="350" t="s">
        <v>147</v>
      </c>
      <c r="B644" s="350" t="s">
        <v>194</v>
      </c>
      <c r="C644" s="350">
        <v>2014</v>
      </c>
      <c r="D644" s="350" t="s">
        <v>65</v>
      </c>
      <c r="E644" s="350">
        <v>9502</v>
      </c>
      <c r="F644" s="353" t="s">
        <v>66</v>
      </c>
      <c r="G644" s="353">
        <v>4</v>
      </c>
    </row>
    <row r="645" spans="1:7" x14ac:dyDescent="0.3">
      <c r="A645" s="350" t="s">
        <v>147</v>
      </c>
      <c r="B645" s="350" t="s">
        <v>138</v>
      </c>
      <c r="C645" s="350">
        <v>2021</v>
      </c>
      <c r="D645" s="350" t="s">
        <v>65</v>
      </c>
      <c r="E645" s="350">
        <v>9479</v>
      </c>
      <c r="F645" s="353" t="s">
        <v>66</v>
      </c>
      <c r="G645" s="353">
        <v>2</v>
      </c>
    </row>
    <row r="646" spans="1:7" x14ac:dyDescent="0.3">
      <c r="A646" s="350" t="s">
        <v>147</v>
      </c>
      <c r="B646" s="350" t="s">
        <v>138</v>
      </c>
      <c r="C646" s="350">
        <v>2020</v>
      </c>
      <c r="D646" s="350" t="s">
        <v>65</v>
      </c>
      <c r="E646" s="350">
        <v>9479</v>
      </c>
      <c r="F646" s="353" t="s">
        <v>66</v>
      </c>
      <c r="G646" s="353">
        <v>5</v>
      </c>
    </row>
    <row r="647" spans="1:7" x14ac:dyDescent="0.3">
      <c r="A647" s="350" t="s">
        <v>147</v>
      </c>
      <c r="B647" s="350" t="s">
        <v>138</v>
      </c>
      <c r="C647" s="350">
        <v>2019</v>
      </c>
      <c r="D647" s="350" t="s">
        <v>65</v>
      </c>
      <c r="E647" s="350">
        <v>9479</v>
      </c>
      <c r="F647" s="353" t="s">
        <v>66</v>
      </c>
      <c r="G647" s="353">
        <v>4</v>
      </c>
    </row>
    <row r="648" spans="1:7" x14ac:dyDescent="0.3">
      <c r="A648" s="350" t="s">
        <v>147</v>
      </c>
      <c r="B648" s="350" t="s">
        <v>138</v>
      </c>
      <c r="C648" s="350">
        <v>2018</v>
      </c>
      <c r="D648" s="350" t="s">
        <v>65</v>
      </c>
      <c r="E648" s="350">
        <v>9479</v>
      </c>
      <c r="F648" s="353" t="s">
        <v>66</v>
      </c>
      <c r="G648" s="353">
        <v>7</v>
      </c>
    </row>
    <row r="649" spans="1:7" x14ac:dyDescent="0.3">
      <c r="A649" s="350" t="s">
        <v>147</v>
      </c>
      <c r="B649" s="350" t="s">
        <v>138</v>
      </c>
      <c r="C649" s="350">
        <v>2017</v>
      </c>
      <c r="D649" s="350" t="s">
        <v>65</v>
      </c>
      <c r="E649" s="350">
        <v>9479</v>
      </c>
      <c r="F649" s="353" t="s">
        <v>66</v>
      </c>
      <c r="G649" s="353">
        <v>10</v>
      </c>
    </row>
    <row r="650" spans="1:7" x14ac:dyDescent="0.3">
      <c r="A650" s="350" t="s">
        <v>147</v>
      </c>
      <c r="B650" s="350" t="s">
        <v>138</v>
      </c>
      <c r="C650" s="350">
        <v>2016</v>
      </c>
      <c r="D650" s="350" t="s">
        <v>65</v>
      </c>
      <c r="E650" s="350">
        <v>9479</v>
      </c>
      <c r="F650" s="353" t="s">
        <v>66</v>
      </c>
      <c r="G650" s="353">
        <v>8</v>
      </c>
    </row>
    <row r="651" spans="1:7" x14ac:dyDescent="0.3">
      <c r="A651" s="350" t="s">
        <v>147</v>
      </c>
      <c r="B651" s="350" t="s">
        <v>138</v>
      </c>
      <c r="C651" s="350">
        <v>2015</v>
      </c>
      <c r="D651" s="350" t="s">
        <v>65</v>
      </c>
      <c r="E651" s="350">
        <v>9479</v>
      </c>
      <c r="F651" s="353" t="s">
        <v>66</v>
      </c>
      <c r="G651" s="353">
        <v>59</v>
      </c>
    </row>
    <row r="652" spans="1:7" x14ac:dyDescent="0.3">
      <c r="A652" s="350" t="s">
        <v>147</v>
      </c>
      <c r="B652" s="350" t="s">
        <v>138</v>
      </c>
      <c r="C652" s="350">
        <v>2014</v>
      </c>
      <c r="D652" s="350" t="s">
        <v>65</v>
      </c>
      <c r="E652" s="350">
        <v>9479</v>
      </c>
      <c r="F652" s="353" t="s">
        <v>66</v>
      </c>
      <c r="G652" s="353">
        <v>60</v>
      </c>
    </row>
    <row r="653" spans="1:7" x14ac:dyDescent="0.3">
      <c r="A653" s="354" t="s">
        <v>147</v>
      </c>
      <c r="B653" s="354" t="s">
        <v>154</v>
      </c>
      <c r="C653" s="354">
        <v>2020</v>
      </c>
      <c r="D653" s="354" t="s">
        <v>65</v>
      </c>
      <c r="E653" s="354">
        <v>9400</v>
      </c>
      <c r="F653" s="355" t="s">
        <v>66</v>
      </c>
      <c r="G653" s="355">
        <v>4</v>
      </c>
    </row>
    <row r="654" spans="1:7" x14ac:dyDescent="0.3">
      <c r="A654" s="350" t="s">
        <v>147</v>
      </c>
      <c r="B654" s="350" t="s">
        <v>139</v>
      </c>
      <c r="C654" s="350">
        <v>2021</v>
      </c>
      <c r="D654" s="350" t="s">
        <v>65</v>
      </c>
      <c r="E654" s="350">
        <v>9039</v>
      </c>
      <c r="F654" s="353" t="s">
        <v>66</v>
      </c>
      <c r="G654" s="353">
        <v>117</v>
      </c>
    </row>
    <row r="655" spans="1:7" x14ac:dyDescent="0.3">
      <c r="A655" s="350" t="s">
        <v>147</v>
      </c>
      <c r="B655" s="350" t="s">
        <v>139</v>
      </c>
      <c r="C655" s="350">
        <v>2020</v>
      </c>
      <c r="D655" s="350" t="s">
        <v>65</v>
      </c>
      <c r="E655" s="350">
        <v>9039</v>
      </c>
      <c r="F655" s="353" t="s">
        <v>66</v>
      </c>
      <c r="G655" s="353">
        <v>122</v>
      </c>
    </row>
    <row r="656" spans="1:7" x14ac:dyDescent="0.3">
      <c r="A656" s="350" t="s">
        <v>147</v>
      </c>
      <c r="B656" s="350" t="s">
        <v>139</v>
      </c>
      <c r="C656" s="350">
        <v>2019</v>
      </c>
      <c r="D656" s="350" t="s">
        <v>65</v>
      </c>
      <c r="E656" s="350">
        <v>9039</v>
      </c>
      <c r="F656" s="353" t="s">
        <v>66</v>
      </c>
      <c r="G656" s="353">
        <v>96</v>
      </c>
    </row>
    <row r="657" spans="1:7" x14ac:dyDescent="0.3">
      <c r="A657" s="350" t="s">
        <v>147</v>
      </c>
      <c r="B657" s="350" t="s">
        <v>139</v>
      </c>
      <c r="C657" s="350">
        <v>2018</v>
      </c>
      <c r="D657" s="350" t="s">
        <v>65</v>
      </c>
      <c r="E657" s="350">
        <v>9039</v>
      </c>
      <c r="F657" s="353" t="s">
        <v>66</v>
      </c>
      <c r="G657" s="353">
        <v>145</v>
      </c>
    </row>
    <row r="658" spans="1:7" x14ac:dyDescent="0.3">
      <c r="A658" s="350" t="s">
        <v>147</v>
      </c>
      <c r="B658" s="350" t="s">
        <v>139</v>
      </c>
      <c r="C658" s="350">
        <v>2017</v>
      </c>
      <c r="D658" s="350" t="s">
        <v>65</v>
      </c>
      <c r="E658" s="350">
        <v>9039</v>
      </c>
      <c r="F658" s="353" t="s">
        <v>66</v>
      </c>
      <c r="G658" s="353">
        <v>115</v>
      </c>
    </row>
    <row r="659" spans="1:7" x14ac:dyDescent="0.3">
      <c r="A659" s="350" t="s">
        <v>147</v>
      </c>
      <c r="B659" s="350" t="s">
        <v>139</v>
      </c>
      <c r="C659" s="350">
        <v>2016</v>
      </c>
      <c r="D659" s="350" t="s">
        <v>65</v>
      </c>
      <c r="E659" s="350">
        <v>9039</v>
      </c>
      <c r="F659" s="353" t="s">
        <v>66</v>
      </c>
      <c r="G659" s="353">
        <v>100</v>
      </c>
    </row>
    <row r="660" spans="1:7" x14ac:dyDescent="0.3">
      <c r="A660" s="350" t="s">
        <v>147</v>
      </c>
      <c r="B660" s="350" t="s">
        <v>139</v>
      </c>
      <c r="C660" s="350">
        <v>2015</v>
      </c>
      <c r="D660" s="350" t="s">
        <v>65</v>
      </c>
      <c r="E660" s="350">
        <v>9039</v>
      </c>
      <c r="F660" s="353" t="s">
        <v>66</v>
      </c>
      <c r="G660" s="353">
        <v>74</v>
      </c>
    </row>
    <row r="661" spans="1:7" x14ac:dyDescent="0.3">
      <c r="A661" s="350" t="s">
        <v>147</v>
      </c>
      <c r="B661" s="350" t="s">
        <v>139</v>
      </c>
      <c r="C661" s="350">
        <v>2014</v>
      </c>
      <c r="D661" s="350" t="s">
        <v>65</v>
      </c>
      <c r="E661" s="350">
        <v>9039</v>
      </c>
      <c r="F661" s="353" t="s">
        <v>66</v>
      </c>
      <c r="G661" s="353">
        <v>24</v>
      </c>
    </row>
    <row r="662" spans="1:7" x14ac:dyDescent="0.3">
      <c r="A662" s="350" t="s">
        <v>147</v>
      </c>
      <c r="B662" s="350" t="s">
        <v>256</v>
      </c>
      <c r="C662" s="350">
        <v>2021</v>
      </c>
      <c r="D662" s="350" t="s">
        <v>65</v>
      </c>
      <c r="E662" s="350">
        <v>8800</v>
      </c>
      <c r="F662" s="353" t="s">
        <v>66</v>
      </c>
      <c r="G662" s="353">
        <v>51</v>
      </c>
    </row>
    <row r="663" spans="1:7" x14ac:dyDescent="0.3">
      <c r="A663" s="350" t="s">
        <v>147</v>
      </c>
      <c r="B663" s="350" t="s">
        <v>256</v>
      </c>
      <c r="C663" s="350">
        <v>2020</v>
      </c>
      <c r="D663" s="350" t="s">
        <v>65</v>
      </c>
      <c r="E663" s="350">
        <v>8800</v>
      </c>
      <c r="F663" s="353" t="s">
        <v>66</v>
      </c>
      <c r="G663" s="353">
        <v>42</v>
      </c>
    </row>
    <row r="664" spans="1:7" x14ac:dyDescent="0.3">
      <c r="A664" s="350" t="s">
        <v>147</v>
      </c>
      <c r="B664" s="350" t="s">
        <v>256</v>
      </c>
      <c r="C664" s="350">
        <v>2019</v>
      </c>
      <c r="D664" s="350" t="s">
        <v>65</v>
      </c>
      <c r="E664" s="350">
        <v>8800</v>
      </c>
      <c r="F664" s="353" t="s">
        <v>66</v>
      </c>
      <c r="G664" s="353">
        <v>55</v>
      </c>
    </row>
    <row r="665" spans="1:7" x14ac:dyDescent="0.3">
      <c r="A665" s="350" t="s">
        <v>147</v>
      </c>
      <c r="B665" s="350" t="s">
        <v>256</v>
      </c>
      <c r="C665" s="350">
        <v>2018</v>
      </c>
      <c r="D665" s="350" t="s">
        <v>65</v>
      </c>
      <c r="E665" s="350">
        <v>8800</v>
      </c>
      <c r="F665" s="353" t="s">
        <v>66</v>
      </c>
      <c r="G665" s="353">
        <v>66</v>
      </c>
    </row>
    <row r="666" spans="1:7" x14ac:dyDescent="0.3">
      <c r="A666" s="350" t="s">
        <v>147</v>
      </c>
      <c r="B666" s="350" t="s">
        <v>256</v>
      </c>
      <c r="C666" s="350">
        <v>2017</v>
      </c>
      <c r="D666" s="350" t="s">
        <v>65</v>
      </c>
      <c r="E666" s="350">
        <v>8800</v>
      </c>
      <c r="F666" s="353" t="s">
        <v>66</v>
      </c>
      <c r="G666" s="353">
        <v>58</v>
      </c>
    </row>
    <row r="667" spans="1:7" x14ac:dyDescent="0.3">
      <c r="A667" s="350" t="s">
        <v>147</v>
      </c>
      <c r="B667" s="350" t="s">
        <v>256</v>
      </c>
      <c r="C667" s="350">
        <v>2016</v>
      </c>
      <c r="D667" s="350" t="s">
        <v>65</v>
      </c>
      <c r="E667" s="350">
        <v>8800</v>
      </c>
      <c r="F667" s="353" t="s">
        <v>66</v>
      </c>
      <c r="G667" s="353">
        <v>45</v>
      </c>
    </row>
    <row r="668" spans="1:7" x14ac:dyDescent="0.3">
      <c r="A668" s="350" t="s">
        <v>147</v>
      </c>
      <c r="B668" s="350" t="s">
        <v>256</v>
      </c>
      <c r="C668" s="350">
        <v>2015</v>
      </c>
      <c r="D668" s="350" t="s">
        <v>65</v>
      </c>
      <c r="E668" s="350">
        <v>8800</v>
      </c>
      <c r="F668" s="353" t="s">
        <v>66</v>
      </c>
      <c r="G668" s="353">
        <v>38</v>
      </c>
    </row>
    <row r="669" spans="1:7" x14ac:dyDescent="0.3">
      <c r="A669" s="350" t="s">
        <v>147</v>
      </c>
      <c r="B669" s="350" t="s">
        <v>256</v>
      </c>
      <c r="C669" s="350">
        <v>2014</v>
      </c>
      <c r="D669" s="350" t="s">
        <v>65</v>
      </c>
      <c r="E669" s="350">
        <v>8800</v>
      </c>
      <c r="F669" s="353" t="s">
        <v>66</v>
      </c>
      <c r="G669" s="353">
        <v>25</v>
      </c>
    </row>
    <row r="670" spans="1:7" x14ac:dyDescent="0.3">
      <c r="A670" s="350" t="s">
        <v>147</v>
      </c>
      <c r="B670" s="350" t="s">
        <v>254</v>
      </c>
      <c r="C670" s="350">
        <v>2021</v>
      </c>
      <c r="D670" s="350" t="s">
        <v>65</v>
      </c>
      <c r="E670" s="350">
        <v>8699</v>
      </c>
      <c r="F670" s="353" t="s">
        <v>66</v>
      </c>
      <c r="G670" s="353">
        <v>3</v>
      </c>
    </row>
    <row r="671" spans="1:7" x14ac:dyDescent="0.3">
      <c r="A671" s="350" t="s">
        <v>147</v>
      </c>
      <c r="B671" s="350" t="s">
        <v>254</v>
      </c>
      <c r="C671" s="350">
        <v>2020</v>
      </c>
      <c r="D671" s="350" t="s">
        <v>65</v>
      </c>
      <c r="E671" s="350">
        <v>8699</v>
      </c>
      <c r="F671" s="353" t="s">
        <v>66</v>
      </c>
      <c r="G671" s="353">
        <v>1</v>
      </c>
    </row>
    <row r="672" spans="1:7" x14ac:dyDescent="0.3">
      <c r="A672" s="350" t="s">
        <v>147</v>
      </c>
      <c r="B672" s="350" t="s">
        <v>254</v>
      </c>
      <c r="C672" s="350">
        <v>2019</v>
      </c>
      <c r="D672" s="350" t="s">
        <v>65</v>
      </c>
      <c r="E672" s="350">
        <v>8699</v>
      </c>
      <c r="F672" s="353" t="s">
        <v>66</v>
      </c>
      <c r="G672" s="353">
        <v>2</v>
      </c>
    </row>
    <row r="673" spans="1:7" x14ac:dyDescent="0.3">
      <c r="A673" s="350" t="s">
        <v>147</v>
      </c>
      <c r="B673" s="350" t="s">
        <v>254</v>
      </c>
      <c r="C673" s="350">
        <v>2017</v>
      </c>
      <c r="D673" s="350" t="s">
        <v>65</v>
      </c>
      <c r="E673" s="350">
        <v>8699</v>
      </c>
      <c r="F673" s="353" t="s">
        <v>66</v>
      </c>
      <c r="G673" s="353">
        <v>5</v>
      </c>
    </row>
    <row r="674" spans="1:7" x14ac:dyDescent="0.3">
      <c r="A674" s="350" t="s">
        <v>147</v>
      </c>
      <c r="B674" s="350" t="s">
        <v>254</v>
      </c>
      <c r="C674" s="350">
        <v>2016</v>
      </c>
      <c r="D674" s="350" t="s">
        <v>65</v>
      </c>
      <c r="E674" s="350">
        <v>8699</v>
      </c>
      <c r="F674" s="353" t="s">
        <v>66</v>
      </c>
      <c r="G674" s="353">
        <v>5</v>
      </c>
    </row>
    <row r="675" spans="1:7" x14ac:dyDescent="0.3">
      <c r="A675" s="350" t="s">
        <v>147</v>
      </c>
      <c r="B675" s="350" t="s">
        <v>254</v>
      </c>
      <c r="C675" s="350">
        <v>2015</v>
      </c>
      <c r="D675" s="350" t="s">
        <v>65</v>
      </c>
      <c r="E675" s="350">
        <v>8699</v>
      </c>
      <c r="F675" s="353" t="s">
        <v>66</v>
      </c>
      <c r="G675" s="353">
        <v>4</v>
      </c>
    </row>
    <row r="676" spans="1:7" x14ac:dyDescent="0.3">
      <c r="A676" s="350" t="s">
        <v>147</v>
      </c>
      <c r="B676" s="350" t="s">
        <v>254</v>
      </c>
      <c r="C676" s="350">
        <v>2014</v>
      </c>
      <c r="D676" s="350" t="s">
        <v>65</v>
      </c>
      <c r="E676" s="350">
        <v>8699</v>
      </c>
      <c r="F676" s="353" t="s">
        <v>66</v>
      </c>
      <c r="G676" s="353">
        <v>7</v>
      </c>
    </row>
    <row r="677" spans="1:7" x14ac:dyDescent="0.3">
      <c r="A677" s="350" t="s">
        <v>147</v>
      </c>
      <c r="B677" s="350" t="s">
        <v>193</v>
      </c>
      <c r="C677" s="350">
        <v>2021</v>
      </c>
      <c r="D677" s="350" t="s">
        <v>65</v>
      </c>
      <c r="E677" s="350">
        <v>8598</v>
      </c>
      <c r="F677" s="353" t="s">
        <v>66</v>
      </c>
      <c r="G677" s="353">
        <v>12</v>
      </c>
    </row>
    <row r="678" spans="1:7" x14ac:dyDescent="0.3">
      <c r="A678" s="350" t="s">
        <v>147</v>
      </c>
      <c r="B678" s="350" t="s">
        <v>193</v>
      </c>
      <c r="C678" s="350">
        <v>2020</v>
      </c>
      <c r="D678" s="350" t="s">
        <v>65</v>
      </c>
      <c r="E678" s="350">
        <v>8598</v>
      </c>
      <c r="F678" s="353" t="s">
        <v>66</v>
      </c>
      <c r="G678" s="353">
        <v>19</v>
      </c>
    </row>
    <row r="679" spans="1:7" x14ac:dyDescent="0.3">
      <c r="A679" s="350" t="s">
        <v>147</v>
      </c>
      <c r="B679" s="350" t="s">
        <v>193</v>
      </c>
      <c r="C679" s="350">
        <v>2019</v>
      </c>
      <c r="D679" s="350" t="s">
        <v>65</v>
      </c>
      <c r="E679" s="350">
        <v>8598</v>
      </c>
      <c r="F679" s="353" t="s">
        <v>66</v>
      </c>
      <c r="G679" s="353">
        <v>14</v>
      </c>
    </row>
    <row r="680" spans="1:7" x14ac:dyDescent="0.3">
      <c r="A680" s="350" t="s">
        <v>147</v>
      </c>
      <c r="B680" s="350" t="s">
        <v>193</v>
      </c>
      <c r="C680" s="350">
        <v>2018</v>
      </c>
      <c r="D680" s="350" t="s">
        <v>65</v>
      </c>
      <c r="E680" s="350">
        <v>8598</v>
      </c>
      <c r="F680" s="353" t="s">
        <v>66</v>
      </c>
      <c r="G680" s="353">
        <v>19</v>
      </c>
    </row>
    <row r="681" spans="1:7" x14ac:dyDescent="0.3">
      <c r="A681" s="350" t="s">
        <v>147</v>
      </c>
      <c r="B681" s="350" t="s">
        <v>193</v>
      </c>
      <c r="C681" s="350">
        <v>2017</v>
      </c>
      <c r="D681" s="350" t="s">
        <v>65</v>
      </c>
      <c r="E681" s="350">
        <v>8598</v>
      </c>
      <c r="F681" s="353" t="s">
        <v>66</v>
      </c>
      <c r="G681" s="353">
        <v>11</v>
      </c>
    </row>
    <row r="682" spans="1:7" x14ac:dyDescent="0.3">
      <c r="A682" s="350" t="s">
        <v>147</v>
      </c>
      <c r="B682" s="350" t="s">
        <v>193</v>
      </c>
      <c r="C682" s="350">
        <v>2016</v>
      </c>
      <c r="D682" s="350" t="s">
        <v>65</v>
      </c>
      <c r="E682" s="350">
        <v>8598</v>
      </c>
      <c r="F682" s="353" t="s">
        <v>66</v>
      </c>
      <c r="G682" s="353">
        <v>27</v>
      </c>
    </row>
    <row r="683" spans="1:7" x14ac:dyDescent="0.3">
      <c r="A683" s="350" t="s">
        <v>147</v>
      </c>
      <c r="B683" s="350" t="s">
        <v>193</v>
      </c>
      <c r="C683" s="350">
        <v>2015</v>
      </c>
      <c r="D683" s="350" t="s">
        <v>65</v>
      </c>
      <c r="E683" s="350">
        <v>8598</v>
      </c>
      <c r="F683" s="353" t="s">
        <v>66</v>
      </c>
      <c r="G683" s="353">
        <v>37</v>
      </c>
    </row>
    <row r="684" spans="1:7" x14ac:dyDescent="0.3">
      <c r="A684" s="350" t="s">
        <v>147</v>
      </c>
      <c r="B684" s="350" t="s">
        <v>193</v>
      </c>
      <c r="C684" s="350">
        <v>2014</v>
      </c>
      <c r="D684" s="350" t="s">
        <v>65</v>
      </c>
      <c r="E684" s="350">
        <v>8598</v>
      </c>
      <c r="F684" s="353" t="s">
        <v>66</v>
      </c>
      <c r="G684" s="353">
        <v>8</v>
      </c>
    </row>
    <row r="685" spans="1:7" x14ac:dyDescent="0.3">
      <c r="A685" s="350" t="s">
        <v>147</v>
      </c>
      <c r="B685" s="350" t="s">
        <v>99</v>
      </c>
      <c r="C685" s="350">
        <v>2020</v>
      </c>
      <c r="D685" s="350" t="s">
        <v>65</v>
      </c>
      <c r="E685" s="350">
        <v>8400</v>
      </c>
      <c r="F685" s="353" t="s">
        <v>66</v>
      </c>
      <c r="G685" s="353">
        <v>6</v>
      </c>
    </row>
    <row r="686" spans="1:7" x14ac:dyDescent="0.3">
      <c r="A686" s="350" t="s">
        <v>147</v>
      </c>
      <c r="B686" s="350" t="s">
        <v>99</v>
      </c>
      <c r="C686" s="350">
        <v>2019</v>
      </c>
      <c r="D686" s="350" t="s">
        <v>65</v>
      </c>
      <c r="E686" s="350">
        <v>8400</v>
      </c>
      <c r="F686" s="353" t="s">
        <v>66</v>
      </c>
      <c r="G686" s="353">
        <v>14</v>
      </c>
    </row>
    <row r="687" spans="1:7" x14ac:dyDescent="0.3">
      <c r="A687" s="350" t="s">
        <v>147</v>
      </c>
      <c r="B687" s="350" t="s">
        <v>99</v>
      </c>
      <c r="C687" s="350">
        <v>2018</v>
      </c>
      <c r="D687" s="350" t="s">
        <v>65</v>
      </c>
      <c r="E687" s="350">
        <v>8400</v>
      </c>
      <c r="F687" s="353" t="s">
        <v>66</v>
      </c>
      <c r="G687" s="353">
        <v>1</v>
      </c>
    </row>
    <row r="688" spans="1:7" x14ac:dyDescent="0.3">
      <c r="A688" s="350" t="s">
        <v>147</v>
      </c>
      <c r="B688" s="350" t="s">
        <v>99</v>
      </c>
      <c r="C688" s="350">
        <v>2017</v>
      </c>
      <c r="D688" s="350" t="s">
        <v>65</v>
      </c>
      <c r="E688" s="350">
        <v>8400</v>
      </c>
      <c r="F688" s="353" t="s">
        <v>66</v>
      </c>
      <c r="G688" s="353">
        <v>1</v>
      </c>
    </row>
    <row r="689" spans="1:7" x14ac:dyDescent="0.3">
      <c r="A689" s="350" t="s">
        <v>147</v>
      </c>
      <c r="B689" s="350" t="s">
        <v>153</v>
      </c>
      <c r="C689" s="350">
        <v>2017</v>
      </c>
      <c r="D689" s="350" t="s">
        <v>65</v>
      </c>
      <c r="E689" s="350">
        <v>8000</v>
      </c>
      <c r="F689" s="353" t="s">
        <v>66</v>
      </c>
      <c r="G689" s="353">
        <v>1</v>
      </c>
    </row>
    <row r="690" spans="1:7" x14ac:dyDescent="0.3">
      <c r="A690" s="350" t="s">
        <v>147</v>
      </c>
      <c r="B690" s="350" t="s">
        <v>91</v>
      </c>
      <c r="C690" s="350">
        <v>2021</v>
      </c>
      <c r="D690" s="350" t="s">
        <v>65</v>
      </c>
      <c r="E690" s="350">
        <v>7800</v>
      </c>
      <c r="F690" s="353" t="s">
        <v>66</v>
      </c>
      <c r="G690" s="353">
        <v>15</v>
      </c>
    </row>
    <row r="691" spans="1:7" x14ac:dyDescent="0.3">
      <c r="A691" s="350" t="s">
        <v>147</v>
      </c>
      <c r="B691" s="350" t="s">
        <v>91</v>
      </c>
      <c r="C691" s="350">
        <v>2020</v>
      </c>
      <c r="D691" s="350" t="s">
        <v>65</v>
      </c>
      <c r="E691" s="350">
        <v>7800</v>
      </c>
      <c r="F691" s="353" t="s">
        <v>66</v>
      </c>
      <c r="G691" s="353">
        <v>9</v>
      </c>
    </row>
    <row r="692" spans="1:7" x14ac:dyDescent="0.3">
      <c r="A692" s="350" t="s">
        <v>147</v>
      </c>
      <c r="B692" s="350" t="s">
        <v>91</v>
      </c>
      <c r="C692" s="350">
        <v>2019</v>
      </c>
      <c r="D692" s="350" t="s">
        <v>65</v>
      </c>
      <c r="E692" s="350">
        <v>7800</v>
      </c>
      <c r="F692" s="353" t="s">
        <v>66</v>
      </c>
      <c r="G692" s="353">
        <v>7</v>
      </c>
    </row>
    <row r="693" spans="1:7" x14ac:dyDescent="0.3">
      <c r="A693" s="350" t="s">
        <v>147</v>
      </c>
      <c r="B693" s="350" t="s">
        <v>91</v>
      </c>
      <c r="C693" s="350">
        <v>2018</v>
      </c>
      <c r="D693" s="350" t="s">
        <v>65</v>
      </c>
      <c r="E693" s="350">
        <v>7800</v>
      </c>
      <c r="F693" s="353" t="s">
        <v>66</v>
      </c>
      <c r="G693" s="353">
        <v>5</v>
      </c>
    </row>
    <row r="694" spans="1:7" x14ac:dyDescent="0.3">
      <c r="A694" s="350" t="s">
        <v>147</v>
      </c>
      <c r="B694" s="350" t="s">
        <v>91</v>
      </c>
      <c r="C694" s="350">
        <v>2017</v>
      </c>
      <c r="D694" s="350" t="s">
        <v>65</v>
      </c>
      <c r="E694" s="350">
        <v>7800</v>
      </c>
      <c r="F694" s="353" t="s">
        <v>66</v>
      </c>
      <c r="G694" s="353">
        <v>4</v>
      </c>
    </row>
    <row r="695" spans="1:7" x14ac:dyDescent="0.3">
      <c r="A695" s="350" t="s">
        <v>147</v>
      </c>
      <c r="B695" s="350" t="s">
        <v>91</v>
      </c>
      <c r="C695" s="350">
        <v>2016</v>
      </c>
      <c r="D695" s="350" t="s">
        <v>65</v>
      </c>
      <c r="E695" s="350">
        <v>7800</v>
      </c>
      <c r="F695" s="353" t="s">
        <v>66</v>
      </c>
      <c r="G695" s="353">
        <v>14</v>
      </c>
    </row>
    <row r="696" spans="1:7" x14ac:dyDescent="0.3">
      <c r="A696" s="350" t="s">
        <v>147</v>
      </c>
      <c r="B696" s="350" t="s">
        <v>91</v>
      </c>
      <c r="C696" s="350">
        <v>2015</v>
      </c>
      <c r="D696" s="350" t="s">
        <v>65</v>
      </c>
      <c r="E696" s="350">
        <v>7800</v>
      </c>
      <c r="F696" s="353" t="s">
        <v>66</v>
      </c>
      <c r="G696" s="353">
        <v>2</v>
      </c>
    </row>
    <row r="697" spans="1:7" x14ac:dyDescent="0.3">
      <c r="A697" s="350" t="s">
        <v>147</v>
      </c>
      <c r="B697" s="350" t="s">
        <v>91</v>
      </c>
      <c r="C697" s="350">
        <v>2014</v>
      </c>
      <c r="D697" s="350" t="s">
        <v>65</v>
      </c>
      <c r="E697" s="350">
        <v>7800</v>
      </c>
      <c r="F697" s="353" t="s">
        <v>66</v>
      </c>
      <c r="G697" s="353">
        <v>2</v>
      </c>
    </row>
    <row r="698" spans="1:7" x14ac:dyDescent="0.3">
      <c r="A698" s="350" t="s">
        <v>147</v>
      </c>
      <c r="B698" s="350" t="s">
        <v>196</v>
      </c>
      <c r="C698" s="350">
        <v>2021</v>
      </c>
      <c r="D698" s="350" t="s">
        <v>65</v>
      </c>
      <c r="E698" s="350">
        <v>7716</v>
      </c>
      <c r="F698" s="353" t="s">
        <v>66</v>
      </c>
      <c r="G698" s="353">
        <v>50</v>
      </c>
    </row>
    <row r="699" spans="1:7" x14ac:dyDescent="0.3">
      <c r="A699" s="350" t="s">
        <v>147</v>
      </c>
      <c r="B699" s="350" t="s">
        <v>196</v>
      </c>
      <c r="C699" s="350">
        <v>2020</v>
      </c>
      <c r="D699" s="350" t="s">
        <v>65</v>
      </c>
      <c r="E699" s="350">
        <v>7716</v>
      </c>
      <c r="F699" s="353" t="s">
        <v>66</v>
      </c>
      <c r="G699" s="353">
        <v>30</v>
      </c>
    </row>
    <row r="700" spans="1:7" x14ac:dyDescent="0.3">
      <c r="A700" s="350" t="s">
        <v>147</v>
      </c>
      <c r="B700" s="350" t="s">
        <v>196</v>
      </c>
      <c r="C700" s="350">
        <v>2019</v>
      </c>
      <c r="D700" s="350" t="s">
        <v>65</v>
      </c>
      <c r="E700" s="350">
        <v>7716</v>
      </c>
      <c r="F700" s="353" t="s">
        <v>66</v>
      </c>
      <c r="G700" s="353">
        <v>37</v>
      </c>
    </row>
    <row r="701" spans="1:7" x14ac:dyDescent="0.3">
      <c r="A701" s="350" t="s">
        <v>147</v>
      </c>
      <c r="B701" s="350" t="s">
        <v>196</v>
      </c>
      <c r="C701" s="350">
        <v>2018</v>
      </c>
      <c r="D701" s="350" t="s">
        <v>65</v>
      </c>
      <c r="E701" s="350">
        <v>7716</v>
      </c>
      <c r="F701" s="353" t="s">
        <v>66</v>
      </c>
      <c r="G701" s="353">
        <v>40</v>
      </c>
    </row>
    <row r="702" spans="1:7" x14ac:dyDescent="0.3">
      <c r="A702" s="350" t="s">
        <v>147</v>
      </c>
      <c r="B702" s="350" t="s">
        <v>196</v>
      </c>
      <c r="C702" s="350">
        <v>2017</v>
      </c>
      <c r="D702" s="350" t="s">
        <v>65</v>
      </c>
      <c r="E702" s="350">
        <v>7716</v>
      </c>
      <c r="F702" s="353" t="s">
        <v>66</v>
      </c>
      <c r="G702" s="353">
        <v>51</v>
      </c>
    </row>
    <row r="703" spans="1:7" x14ac:dyDescent="0.3">
      <c r="A703" s="350" t="s">
        <v>147</v>
      </c>
      <c r="B703" s="350" t="s">
        <v>196</v>
      </c>
      <c r="C703" s="350">
        <v>2016</v>
      </c>
      <c r="D703" s="350" t="s">
        <v>65</v>
      </c>
      <c r="E703" s="350">
        <v>7716</v>
      </c>
      <c r="F703" s="353" t="s">
        <v>66</v>
      </c>
      <c r="G703" s="353">
        <v>48</v>
      </c>
    </row>
    <row r="704" spans="1:7" x14ac:dyDescent="0.3">
      <c r="A704" s="350" t="s">
        <v>147</v>
      </c>
      <c r="B704" s="350" t="s">
        <v>196</v>
      </c>
      <c r="C704" s="350">
        <v>2015</v>
      </c>
      <c r="D704" s="350" t="s">
        <v>65</v>
      </c>
      <c r="E704" s="350">
        <v>7716</v>
      </c>
      <c r="F704" s="353" t="s">
        <v>66</v>
      </c>
      <c r="G704" s="353">
        <v>55</v>
      </c>
    </row>
    <row r="705" spans="1:7" x14ac:dyDescent="0.3">
      <c r="A705" s="350" t="s">
        <v>147</v>
      </c>
      <c r="B705" s="350" t="s">
        <v>196</v>
      </c>
      <c r="C705" s="350">
        <v>2014</v>
      </c>
      <c r="D705" s="350" t="s">
        <v>65</v>
      </c>
      <c r="E705" s="350">
        <v>7716</v>
      </c>
      <c r="F705" s="353" t="s">
        <v>66</v>
      </c>
      <c r="G705" s="353">
        <v>24</v>
      </c>
    </row>
    <row r="706" spans="1:7" x14ac:dyDescent="0.3">
      <c r="A706" s="350" t="s">
        <v>147</v>
      </c>
      <c r="B706" s="350" t="s">
        <v>221</v>
      </c>
      <c r="C706" s="350">
        <v>2021</v>
      </c>
      <c r="D706" s="350" t="s">
        <v>65</v>
      </c>
      <c r="E706" s="350">
        <v>7500</v>
      </c>
      <c r="F706" s="353" t="s">
        <v>66</v>
      </c>
      <c r="G706" s="353">
        <v>2</v>
      </c>
    </row>
    <row r="707" spans="1:7" x14ac:dyDescent="0.3">
      <c r="A707" s="350" t="s">
        <v>147</v>
      </c>
      <c r="B707" s="350" t="s">
        <v>221</v>
      </c>
      <c r="C707" s="350">
        <v>2019</v>
      </c>
      <c r="D707" s="350" t="s">
        <v>65</v>
      </c>
      <c r="E707" s="350">
        <v>7500</v>
      </c>
      <c r="F707" s="353" t="s">
        <v>66</v>
      </c>
      <c r="G707" s="353">
        <v>3</v>
      </c>
    </row>
    <row r="708" spans="1:7" x14ac:dyDescent="0.3">
      <c r="A708" s="350" t="s">
        <v>147</v>
      </c>
      <c r="B708" s="350" t="s">
        <v>221</v>
      </c>
      <c r="C708" s="350">
        <v>2018</v>
      </c>
      <c r="D708" s="350" t="s">
        <v>65</v>
      </c>
      <c r="E708" s="350">
        <v>7500</v>
      </c>
      <c r="F708" s="353" t="s">
        <v>66</v>
      </c>
      <c r="G708" s="353">
        <v>2</v>
      </c>
    </row>
    <row r="709" spans="1:7" x14ac:dyDescent="0.3">
      <c r="A709" s="350" t="s">
        <v>147</v>
      </c>
      <c r="B709" s="350" t="s">
        <v>221</v>
      </c>
      <c r="C709" s="350">
        <v>2017</v>
      </c>
      <c r="D709" s="350" t="s">
        <v>65</v>
      </c>
      <c r="E709" s="350">
        <v>7500</v>
      </c>
      <c r="F709" s="353" t="s">
        <v>66</v>
      </c>
      <c r="G709" s="353">
        <v>3</v>
      </c>
    </row>
    <row r="710" spans="1:7" x14ac:dyDescent="0.3">
      <c r="A710" s="350" t="s">
        <v>147</v>
      </c>
      <c r="B710" s="350" t="s">
        <v>221</v>
      </c>
      <c r="C710" s="350">
        <v>2016</v>
      </c>
      <c r="D710" s="350" t="s">
        <v>65</v>
      </c>
      <c r="E710" s="350">
        <v>7500</v>
      </c>
      <c r="F710" s="353" t="s">
        <v>66</v>
      </c>
      <c r="G710" s="353">
        <v>1</v>
      </c>
    </row>
    <row r="711" spans="1:7" x14ac:dyDescent="0.3">
      <c r="A711" s="350" t="s">
        <v>147</v>
      </c>
      <c r="B711" s="350" t="s">
        <v>221</v>
      </c>
      <c r="C711" s="350">
        <v>2015</v>
      </c>
      <c r="D711" s="350" t="s">
        <v>65</v>
      </c>
      <c r="E711" s="350">
        <v>7500</v>
      </c>
      <c r="F711" s="353" t="s">
        <v>66</v>
      </c>
      <c r="G711" s="353">
        <v>1</v>
      </c>
    </row>
    <row r="712" spans="1:7" x14ac:dyDescent="0.3">
      <c r="A712" s="350" t="s">
        <v>147</v>
      </c>
      <c r="B712" s="350" t="s">
        <v>146</v>
      </c>
      <c r="C712" s="350">
        <v>2021</v>
      </c>
      <c r="D712" s="350" t="s">
        <v>65</v>
      </c>
      <c r="E712" s="350">
        <v>7495</v>
      </c>
      <c r="F712" s="353" t="s">
        <v>66</v>
      </c>
      <c r="G712" s="353">
        <v>29</v>
      </c>
    </row>
    <row r="713" spans="1:7" x14ac:dyDescent="0.3">
      <c r="A713" s="350" t="s">
        <v>147</v>
      </c>
      <c r="B713" s="350" t="s">
        <v>146</v>
      </c>
      <c r="C713" s="350">
        <v>2020</v>
      </c>
      <c r="D713" s="350" t="s">
        <v>65</v>
      </c>
      <c r="E713" s="350">
        <v>7495</v>
      </c>
      <c r="F713" s="353" t="s">
        <v>66</v>
      </c>
      <c r="G713" s="353">
        <v>26</v>
      </c>
    </row>
    <row r="714" spans="1:7" x14ac:dyDescent="0.3">
      <c r="A714" s="350" t="s">
        <v>147</v>
      </c>
      <c r="B714" s="350" t="s">
        <v>146</v>
      </c>
      <c r="C714" s="350">
        <v>2019</v>
      </c>
      <c r="D714" s="350" t="s">
        <v>65</v>
      </c>
      <c r="E714" s="350">
        <v>7495</v>
      </c>
      <c r="F714" s="353" t="s">
        <v>66</v>
      </c>
      <c r="G714" s="353">
        <v>26</v>
      </c>
    </row>
    <row r="715" spans="1:7" x14ac:dyDescent="0.3">
      <c r="A715" s="350" t="s">
        <v>147</v>
      </c>
      <c r="B715" s="350" t="s">
        <v>146</v>
      </c>
      <c r="C715" s="350">
        <v>2018</v>
      </c>
      <c r="D715" s="350" t="s">
        <v>65</v>
      </c>
      <c r="E715" s="350">
        <v>7495</v>
      </c>
      <c r="F715" s="353" t="s">
        <v>66</v>
      </c>
      <c r="G715" s="353">
        <v>21</v>
      </c>
    </row>
    <row r="716" spans="1:7" x14ac:dyDescent="0.3">
      <c r="A716" s="350" t="s">
        <v>147</v>
      </c>
      <c r="B716" s="350" t="s">
        <v>146</v>
      </c>
      <c r="C716" s="350">
        <v>2017</v>
      </c>
      <c r="D716" s="350" t="s">
        <v>65</v>
      </c>
      <c r="E716" s="350">
        <v>7495</v>
      </c>
      <c r="F716" s="353" t="s">
        <v>66</v>
      </c>
      <c r="G716" s="353">
        <v>25</v>
      </c>
    </row>
    <row r="717" spans="1:7" x14ac:dyDescent="0.3">
      <c r="A717" s="350" t="s">
        <v>147</v>
      </c>
      <c r="B717" s="350" t="s">
        <v>146</v>
      </c>
      <c r="C717" s="350">
        <v>2016</v>
      </c>
      <c r="D717" s="350" t="s">
        <v>65</v>
      </c>
      <c r="E717" s="350">
        <v>7495</v>
      </c>
      <c r="F717" s="353" t="s">
        <v>66</v>
      </c>
      <c r="G717" s="353">
        <v>30</v>
      </c>
    </row>
    <row r="718" spans="1:7" x14ac:dyDescent="0.3">
      <c r="A718" s="350" t="s">
        <v>147</v>
      </c>
      <c r="B718" s="350" t="s">
        <v>146</v>
      </c>
      <c r="C718" s="350">
        <v>2015</v>
      </c>
      <c r="D718" s="350" t="s">
        <v>65</v>
      </c>
      <c r="E718" s="350">
        <v>7495</v>
      </c>
      <c r="F718" s="353" t="s">
        <v>66</v>
      </c>
      <c r="G718" s="353">
        <v>23</v>
      </c>
    </row>
    <row r="719" spans="1:7" x14ac:dyDescent="0.3">
      <c r="A719" s="350" t="s">
        <v>147</v>
      </c>
      <c r="B719" s="350" t="s">
        <v>146</v>
      </c>
      <c r="C719" s="350">
        <v>2014</v>
      </c>
      <c r="D719" s="350" t="s">
        <v>65</v>
      </c>
      <c r="E719" s="350">
        <v>7495</v>
      </c>
      <c r="F719" s="353" t="s">
        <v>66</v>
      </c>
      <c r="G719" s="353">
        <v>12</v>
      </c>
    </row>
    <row r="720" spans="1:7" x14ac:dyDescent="0.3">
      <c r="A720" s="350" t="s">
        <v>147</v>
      </c>
      <c r="B720" s="350" t="s">
        <v>101</v>
      </c>
      <c r="C720" s="350">
        <v>2021</v>
      </c>
      <c r="D720" s="350" t="s">
        <v>65</v>
      </c>
      <c r="E720" s="350">
        <v>7450</v>
      </c>
      <c r="F720" s="353" t="s">
        <v>66</v>
      </c>
      <c r="G720" s="353">
        <v>22</v>
      </c>
    </row>
    <row r="721" spans="1:7" x14ac:dyDescent="0.3">
      <c r="A721" s="350" t="s">
        <v>147</v>
      </c>
      <c r="B721" s="350" t="s">
        <v>101</v>
      </c>
      <c r="C721" s="350">
        <v>2020</v>
      </c>
      <c r="D721" s="350" t="s">
        <v>65</v>
      </c>
      <c r="E721" s="350">
        <v>7450</v>
      </c>
      <c r="F721" s="353" t="s">
        <v>66</v>
      </c>
      <c r="G721" s="353">
        <v>17</v>
      </c>
    </row>
    <row r="722" spans="1:7" x14ac:dyDescent="0.3">
      <c r="A722" s="350" t="s">
        <v>147</v>
      </c>
      <c r="B722" s="350" t="s">
        <v>101</v>
      </c>
      <c r="C722" s="350">
        <v>2019</v>
      </c>
      <c r="D722" s="350" t="s">
        <v>65</v>
      </c>
      <c r="E722" s="350">
        <v>7450</v>
      </c>
      <c r="F722" s="353" t="s">
        <v>66</v>
      </c>
      <c r="G722" s="353">
        <v>15</v>
      </c>
    </row>
    <row r="723" spans="1:7" x14ac:dyDescent="0.3">
      <c r="A723" s="350" t="s">
        <v>147</v>
      </c>
      <c r="B723" s="350" t="s">
        <v>101</v>
      </c>
      <c r="C723" s="350">
        <v>2018</v>
      </c>
      <c r="D723" s="350" t="s">
        <v>65</v>
      </c>
      <c r="E723" s="350">
        <v>7450</v>
      </c>
      <c r="F723" s="353" t="s">
        <v>66</v>
      </c>
      <c r="G723" s="353">
        <v>15</v>
      </c>
    </row>
    <row r="724" spans="1:7" x14ac:dyDescent="0.3">
      <c r="A724" s="350" t="s">
        <v>147</v>
      </c>
      <c r="B724" s="350" t="s">
        <v>101</v>
      </c>
      <c r="C724" s="350">
        <v>2017</v>
      </c>
      <c r="D724" s="350" t="s">
        <v>65</v>
      </c>
      <c r="E724" s="350">
        <v>7450</v>
      </c>
      <c r="F724" s="353" t="s">
        <v>66</v>
      </c>
      <c r="G724" s="353">
        <v>15</v>
      </c>
    </row>
    <row r="725" spans="1:7" x14ac:dyDescent="0.3">
      <c r="A725" s="350" t="s">
        <v>147</v>
      </c>
      <c r="B725" s="350" t="s">
        <v>101</v>
      </c>
      <c r="C725" s="350">
        <v>2016</v>
      </c>
      <c r="D725" s="350" t="s">
        <v>65</v>
      </c>
      <c r="E725" s="350">
        <v>7450</v>
      </c>
      <c r="F725" s="353" t="s">
        <v>66</v>
      </c>
      <c r="G725" s="353">
        <v>10</v>
      </c>
    </row>
    <row r="726" spans="1:7" x14ac:dyDescent="0.3">
      <c r="A726" s="350" t="s">
        <v>147</v>
      </c>
      <c r="B726" s="350" t="s">
        <v>101</v>
      </c>
      <c r="C726" s="350">
        <v>2015</v>
      </c>
      <c r="D726" s="350" t="s">
        <v>65</v>
      </c>
      <c r="E726" s="350">
        <v>7450</v>
      </c>
      <c r="F726" s="353" t="s">
        <v>66</v>
      </c>
      <c r="G726" s="353">
        <v>17</v>
      </c>
    </row>
    <row r="727" spans="1:7" x14ac:dyDescent="0.3">
      <c r="A727" s="350" t="s">
        <v>147</v>
      </c>
      <c r="B727" s="350" t="s">
        <v>101</v>
      </c>
      <c r="C727" s="350">
        <v>2014</v>
      </c>
      <c r="D727" s="350" t="s">
        <v>65</v>
      </c>
      <c r="E727" s="350">
        <v>7450</v>
      </c>
      <c r="F727" s="353" t="s">
        <v>66</v>
      </c>
      <c r="G727" s="353">
        <v>9</v>
      </c>
    </row>
    <row r="728" spans="1:7" x14ac:dyDescent="0.3">
      <c r="A728" s="350" t="s">
        <v>147</v>
      </c>
      <c r="B728" s="350" t="s">
        <v>268</v>
      </c>
      <c r="C728" s="350">
        <v>2021</v>
      </c>
      <c r="D728" s="350" t="s">
        <v>65</v>
      </c>
      <c r="E728" s="350">
        <v>7394</v>
      </c>
      <c r="F728" s="353" t="s">
        <v>66</v>
      </c>
      <c r="G728" s="353">
        <v>33</v>
      </c>
    </row>
    <row r="729" spans="1:7" x14ac:dyDescent="0.3">
      <c r="A729" s="350" t="s">
        <v>147</v>
      </c>
      <c r="B729" s="350" t="s">
        <v>268</v>
      </c>
      <c r="C729" s="350">
        <v>2020</v>
      </c>
      <c r="D729" s="350" t="s">
        <v>65</v>
      </c>
      <c r="E729" s="350">
        <v>7394</v>
      </c>
      <c r="F729" s="353" t="s">
        <v>66</v>
      </c>
      <c r="G729" s="353">
        <v>25</v>
      </c>
    </row>
    <row r="730" spans="1:7" x14ac:dyDescent="0.3">
      <c r="A730" s="350" t="s">
        <v>147</v>
      </c>
      <c r="B730" s="350" t="s">
        <v>268</v>
      </c>
      <c r="C730" s="350">
        <v>2019</v>
      </c>
      <c r="D730" s="350" t="s">
        <v>65</v>
      </c>
      <c r="E730" s="350">
        <v>7394</v>
      </c>
      <c r="F730" s="353" t="s">
        <v>66</v>
      </c>
      <c r="G730" s="353">
        <v>21</v>
      </c>
    </row>
    <row r="731" spans="1:7" x14ac:dyDescent="0.3">
      <c r="A731" s="350" t="s">
        <v>147</v>
      </c>
      <c r="B731" s="350" t="s">
        <v>268</v>
      </c>
      <c r="C731" s="350">
        <v>2018</v>
      </c>
      <c r="D731" s="350" t="s">
        <v>65</v>
      </c>
      <c r="E731" s="350">
        <v>7394</v>
      </c>
      <c r="F731" s="353" t="s">
        <v>66</v>
      </c>
      <c r="G731" s="353">
        <v>20</v>
      </c>
    </row>
    <row r="732" spans="1:7" x14ac:dyDescent="0.3">
      <c r="A732" s="350" t="s">
        <v>147</v>
      </c>
      <c r="B732" s="350" t="s">
        <v>268</v>
      </c>
      <c r="C732" s="350">
        <v>2017</v>
      </c>
      <c r="D732" s="350" t="s">
        <v>65</v>
      </c>
      <c r="E732" s="350">
        <v>7394</v>
      </c>
      <c r="F732" s="353" t="s">
        <v>66</v>
      </c>
      <c r="G732" s="353">
        <v>11</v>
      </c>
    </row>
    <row r="733" spans="1:7" x14ac:dyDescent="0.3">
      <c r="A733" s="350" t="s">
        <v>147</v>
      </c>
      <c r="B733" s="350" t="s">
        <v>268</v>
      </c>
      <c r="C733" s="350">
        <v>2016</v>
      </c>
      <c r="D733" s="350" t="s">
        <v>65</v>
      </c>
      <c r="E733" s="350">
        <v>7394</v>
      </c>
      <c r="F733" s="353" t="s">
        <v>66</v>
      </c>
      <c r="G733" s="353">
        <v>2</v>
      </c>
    </row>
    <row r="734" spans="1:7" x14ac:dyDescent="0.3">
      <c r="A734" s="350" t="s">
        <v>147</v>
      </c>
      <c r="B734" s="350" t="s">
        <v>70</v>
      </c>
      <c r="C734" s="350">
        <v>2021</v>
      </c>
      <c r="D734" s="350" t="s">
        <v>65</v>
      </c>
      <c r="E734" s="350">
        <v>6850</v>
      </c>
      <c r="F734" s="353" t="s">
        <v>66</v>
      </c>
      <c r="G734" s="353">
        <v>7</v>
      </c>
    </row>
    <row r="735" spans="1:7" x14ac:dyDescent="0.3">
      <c r="A735" s="350" t="s">
        <v>147</v>
      </c>
      <c r="B735" s="350" t="s">
        <v>70</v>
      </c>
      <c r="C735" s="350">
        <v>2020</v>
      </c>
      <c r="D735" s="350" t="s">
        <v>65</v>
      </c>
      <c r="E735" s="350">
        <v>6850</v>
      </c>
      <c r="F735" s="353" t="s">
        <v>66</v>
      </c>
      <c r="G735" s="353">
        <v>11</v>
      </c>
    </row>
    <row r="736" spans="1:7" x14ac:dyDescent="0.3">
      <c r="A736" s="350" t="s">
        <v>147</v>
      </c>
      <c r="B736" s="350" t="s">
        <v>70</v>
      </c>
      <c r="C736" s="350">
        <v>2019</v>
      </c>
      <c r="D736" s="350" t="s">
        <v>65</v>
      </c>
      <c r="E736" s="350">
        <v>6850</v>
      </c>
      <c r="F736" s="353" t="s">
        <v>66</v>
      </c>
      <c r="G736" s="353">
        <v>3</v>
      </c>
    </row>
    <row r="737" spans="1:7" x14ac:dyDescent="0.3">
      <c r="A737" s="350" t="s">
        <v>147</v>
      </c>
      <c r="B737" s="350" t="s">
        <v>70</v>
      </c>
      <c r="C737" s="350">
        <v>2018</v>
      </c>
      <c r="D737" s="350" t="s">
        <v>65</v>
      </c>
      <c r="E737" s="350">
        <v>6850</v>
      </c>
      <c r="F737" s="353" t="s">
        <v>66</v>
      </c>
      <c r="G737" s="353">
        <v>2</v>
      </c>
    </row>
    <row r="738" spans="1:7" x14ac:dyDescent="0.3">
      <c r="A738" s="350" t="s">
        <v>147</v>
      </c>
      <c r="B738" s="350" t="s">
        <v>70</v>
      </c>
      <c r="C738" s="350">
        <v>2017</v>
      </c>
      <c r="D738" s="350" t="s">
        <v>65</v>
      </c>
      <c r="E738" s="350">
        <v>6850</v>
      </c>
      <c r="F738" s="353" t="s">
        <v>66</v>
      </c>
      <c r="G738" s="353">
        <v>4</v>
      </c>
    </row>
    <row r="739" spans="1:7" x14ac:dyDescent="0.3">
      <c r="A739" s="350" t="s">
        <v>147</v>
      </c>
      <c r="B739" s="350" t="s">
        <v>70</v>
      </c>
      <c r="C739" s="350">
        <v>2016</v>
      </c>
      <c r="D739" s="350" t="s">
        <v>65</v>
      </c>
      <c r="E739" s="350">
        <v>6850</v>
      </c>
      <c r="F739" s="353" t="s">
        <v>66</v>
      </c>
      <c r="G739" s="353">
        <v>5</v>
      </c>
    </row>
    <row r="740" spans="1:7" x14ac:dyDescent="0.3">
      <c r="A740" s="350" t="s">
        <v>147</v>
      </c>
      <c r="B740" s="350" t="s">
        <v>70</v>
      </c>
      <c r="C740" s="350">
        <v>2015</v>
      </c>
      <c r="D740" s="350" t="s">
        <v>65</v>
      </c>
      <c r="E740" s="350">
        <v>6850</v>
      </c>
      <c r="F740" s="353" t="s">
        <v>66</v>
      </c>
      <c r="G740" s="353">
        <v>5</v>
      </c>
    </row>
    <row r="741" spans="1:7" x14ac:dyDescent="0.3">
      <c r="A741" s="350" t="s">
        <v>147</v>
      </c>
      <c r="B741" s="350" t="s">
        <v>70</v>
      </c>
      <c r="C741" s="350">
        <v>2014</v>
      </c>
      <c r="D741" s="350" t="s">
        <v>65</v>
      </c>
      <c r="E741" s="350">
        <v>6850</v>
      </c>
      <c r="F741" s="353" t="s">
        <v>66</v>
      </c>
      <c r="G741" s="353">
        <v>7</v>
      </c>
    </row>
    <row r="742" spans="1:7" x14ac:dyDescent="0.3">
      <c r="A742" s="350" t="s">
        <v>147</v>
      </c>
      <c r="B742" s="350" t="s">
        <v>98</v>
      </c>
      <c r="C742" s="350">
        <v>2019</v>
      </c>
      <c r="D742" s="350" t="s">
        <v>65</v>
      </c>
      <c r="E742" s="350">
        <v>6850</v>
      </c>
      <c r="F742" s="353" t="s">
        <v>66</v>
      </c>
      <c r="G742" s="353">
        <v>3</v>
      </c>
    </row>
    <row r="743" spans="1:7" x14ac:dyDescent="0.3">
      <c r="A743" s="350" t="s">
        <v>147</v>
      </c>
      <c r="B743" s="350" t="s">
        <v>98</v>
      </c>
      <c r="C743" s="350">
        <v>2018</v>
      </c>
      <c r="D743" s="350" t="s">
        <v>65</v>
      </c>
      <c r="E743" s="350">
        <v>6850</v>
      </c>
      <c r="F743" s="353" t="s">
        <v>66</v>
      </c>
      <c r="G743" s="353">
        <v>3</v>
      </c>
    </row>
    <row r="744" spans="1:7" x14ac:dyDescent="0.3">
      <c r="A744" s="350" t="s">
        <v>147</v>
      </c>
      <c r="B744" s="350" t="s">
        <v>98</v>
      </c>
      <c r="C744" s="350">
        <v>2017</v>
      </c>
      <c r="D744" s="350" t="s">
        <v>65</v>
      </c>
      <c r="E744" s="350">
        <v>6850</v>
      </c>
      <c r="F744" s="353" t="s">
        <v>66</v>
      </c>
      <c r="G744" s="353">
        <v>1</v>
      </c>
    </row>
    <row r="745" spans="1:7" x14ac:dyDescent="0.3">
      <c r="A745" s="350" t="s">
        <v>147</v>
      </c>
      <c r="B745" s="350" t="s">
        <v>98</v>
      </c>
      <c r="C745" s="350">
        <v>2016</v>
      </c>
      <c r="D745" s="350" t="s">
        <v>65</v>
      </c>
      <c r="E745" s="350">
        <v>6850</v>
      </c>
      <c r="F745" s="353" t="s">
        <v>66</v>
      </c>
      <c r="G745" s="353">
        <v>3</v>
      </c>
    </row>
    <row r="746" spans="1:7" x14ac:dyDescent="0.3">
      <c r="A746" s="350" t="s">
        <v>147</v>
      </c>
      <c r="B746" s="350" t="s">
        <v>98</v>
      </c>
      <c r="C746" s="350">
        <v>2015</v>
      </c>
      <c r="D746" s="350" t="s">
        <v>65</v>
      </c>
      <c r="E746" s="350">
        <v>6850</v>
      </c>
      <c r="F746" s="353" t="s">
        <v>66</v>
      </c>
      <c r="G746" s="353">
        <v>1</v>
      </c>
    </row>
    <row r="747" spans="1:7" x14ac:dyDescent="0.3">
      <c r="A747" s="350" t="s">
        <v>147</v>
      </c>
      <c r="B747" s="350" t="s">
        <v>98</v>
      </c>
      <c r="C747" s="350">
        <v>2014</v>
      </c>
      <c r="D747" s="350" t="s">
        <v>65</v>
      </c>
      <c r="E747" s="350">
        <v>6850</v>
      </c>
      <c r="F747" s="353" t="s">
        <v>66</v>
      </c>
      <c r="G747" s="353">
        <v>2</v>
      </c>
    </row>
    <row r="748" spans="1:7" x14ac:dyDescent="0.3">
      <c r="A748" s="350" t="s">
        <v>147</v>
      </c>
      <c r="B748" s="350" t="s">
        <v>78</v>
      </c>
      <c r="C748" s="350">
        <v>2021</v>
      </c>
      <c r="D748" s="350" t="s">
        <v>65</v>
      </c>
      <c r="E748" s="350">
        <v>6775</v>
      </c>
      <c r="F748" s="353" t="s">
        <v>66</v>
      </c>
      <c r="G748" s="353">
        <v>3</v>
      </c>
    </row>
    <row r="749" spans="1:7" x14ac:dyDescent="0.3">
      <c r="A749" s="350" t="s">
        <v>147</v>
      </c>
      <c r="B749" s="350" t="s">
        <v>78</v>
      </c>
      <c r="C749" s="350">
        <v>2020</v>
      </c>
      <c r="D749" s="350" t="s">
        <v>65</v>
      </c>
      <c r="E749" s="350">
        <v>6775</v>
      </c>
      <c r="F749" s="353" t="s">
        <v>66</v>
      </c>
      <c r="G749" s="353">
        <v>2</v>
      </c>
    </row>
    <row r="750" spans="1:7" x14ac:dyDescent="0.3">
      <c r="A750" s="350" t="s">
        <v>147</v>
      </c>
      <c r="B750" s="350" t="s">
        <v>78</v>
      </c>
      <c r="C750" s="350">
        <v>2019</v>
      </c>
      <c r="D750" s="350" t="s">
        <v>65</v>
      </c>
      <c r="E750" s="350">
        <v>6775</v>
      </c>
      <c r="F750" s="353" t="s">
        <v>66</v>
      </c>
      <c r="G750" s="353">
        <v>4</v>
      </c>
    </row>
    <row r="751" spans="1:7" x14ac:dyDescent="0.3">
      <c r="A751" s="350" t="s">
        <v>147</v>
      </c>
      <c r="B751" s="350" t="s">
        <v>78</v>
      </c>
      <c r="C751" s="350">
        <v>2018</v>
      </c>
      <c r="D751" s="350" t="s">
        <v>65</v>
      </c>
      <c r="E751" s="350">
        <v>6775</v>
      </c>
      <c r="F751" s="353" t="s">
        <v>66</v>
      </c>
      <c r="G751" s="353">
        <v>4</v>
      </c>
    </row>
    <row r="752" spans="1:7" x14ac:dyDescent="0.3">
      <c r="A752" s="350" t="s">
        <v>147</v>
      </c>
      <c r="B752" s="350" t="s">
        <v>78</v>
      </c>
      <c r="C752" s="350">
        <v>2017</v>
      </c>
      <c r="D752" s="350" t="s">
        <v>65</v>
      </c>
      <c r="E752" s="350">
        <v>6775</v>
      </c>
      <c r="F752" s="353" t="s">
        <v>66</v>
      </c>
      <c r="G752" s="353">
        <v>2</v>
      </c>
    </row>
    <row r="753" spans="1:7" x14ac:dyDescent="0.3">
      <c r="A753" s="350" t="s">
        <v>147</v>
      </c>
      <c r="B753" s="350" t="s">
        <v>78</v>
      </c>
      <c r="C753" s="350">
        <v>2016</v>
      </c>
      <c r="D753" s="350" t="s">
        <v>65</v>
      </c>
      <c r="E753" s="350">
        <v>6775</v>
      </c>
      <c r="F753" s="353" t="s">
        <v>66</v>
      </c>
      <c r="G753" s="353">
        <v>2</v>
      </c>
    </row>
    <row r="754" spans="1:7" x14ac:dyDescent="0.3">
      <c r="A754" s="350" t="s">
        <v>147</v>
      </c>
      <c r="B754" s="350" t="s">
        <v>78</v>
      </c>
      <c r="C754" s="350">
        <v>2015</v>
      </c>
      <c r="D754" s="350" t="s">
        <v>65</v>
      </c>
      <c r="E754" s="350">
        <v>6775</v>
      </c>
      <c r="F754" s="353" t="s">
        <v>66</v>
      </c>
      <c r="G754" s="353">
        <v>3</v>
      </c>
    </row>
    <row r="755" spans="1:7" x14ac:dyDescent="0.3">
      <c r="A755" s="350" t="s">
        <v>147</v>
      </c>
      <c r="B755" s="350" t="s">
        <v>78</v>
      </c>
      <c r="C755" s="350">
        <v>2014</v>
      </c>
      <c r="D755" s="350" t="s">
        <v>65</v>
      </c>
      <c r="E755" s="350">
        <v>6775</v>
      </c>
      <c r="F755" s="353" t="s">
        <v>66</v>
      </c>
      <c r="G755" s="353">
        <v>6</v>
      </c>
    </row>
    <row r="756" spans="1:7" x14ac:dyDescent="0.3">
      <c r="A756" s="354" t="s">
        <v>147</v>
      </c>
      <c r="B756" s="354" t="s">
        <v>152</v>
      </c>
      <c r="C756" s="354">
        <v>2020</v>
      </c>
      <c r="D756" s="354" t="s">
        <v>65</v>
      </c>
      <c r="E756" s="354">
        <v>6750</v>
      </c>
      <c r="F756" s="355" t="s">
        <v>66</v>
      </c>
      <c r="G756" s="355">
        <v>3</v>
      </c>
    </row>
    <row r="757" spans="1:7" x14ac:dyDescent="0.3">
      <c r="A757" s="354" t="s">
        <v>147</v>
      </c>
      <c r="B757" s="354" t="s">
        <v>152</v>
      </c>
      <c r="C757" s="354">
        <v>2018</v>
      </c>
      <c r="D757" s="354" t="s">
        <v>65</v>
      </c>
      <c r="E757" s="354">
        <v>6750</v>
      </c>
      <c r="F757" s="355" t="s">
        <v>66</v>
      </c>
      <c r="G757" s="355">
        <v>1</v>
      </c>
    </row>
    <row r="758" spans="1:7" x14ac:dyDescent="0.3">
      <c r="A758" s="354" t="s">
        <v>147</v>
      </c>
      <c r="B758" s="354" t="s">
        <v>152</v>
      </c>
      <c r="C758" s="354">
        <v>2017</v>
      </c>
      <c r="D758" s="354" t="s">
        <v>65</v>
      </c>
      <c r="E758" s="354">
        <v>6750</v>
      </c>
      <c r="F758" s="355" t="s">
        <v>66</v>
      </c>
      <c r="G758" s="355">
        <v>2</v>
      </c>
    </row>
    <row r="759" spans="1:7" x14ac:dyDescent="0.3">
      <c r="A759" s="354" t="s">
        <v>147</v>
      </c>
      <c r="B759" s="354" t="s">
        <v>152</v>
      </c>
      <c r="C759" s="354">
        <v>2016</v>
      </c>
      <c r="D759" s="354" t="s">
        <v>65</v>
      </c>
      <c r="E759" s="354">
        <v>6750</v>
      </c>
      <c r="F759" s="355" t="s">
        <v>66</v>
      </c>
      <c r="G759" s="355">
        <v>11</v>
      </c>
    </row>
    <row r="760" spans="1:7" x14ac:dyDescent="0.3">
      <c r="A760" s="354" t="s">
        <v>147</v>
      </c>
      <c r="B760" s="354" t="s">
        <v>152</v>
      </c>
      <c r="C760" s="354">
        <v>2015</v>
      </c>
      <c r="D760" s="354" t="s">
        <v>65</v>
      </c>
      <c r="E760" s="354">
        <v>6750</v>
      </c>
      <c r="F760" s="355" t="s">
        <v>66</v>
      </c>
      <c r="G760" s="355">
        <v>1</v>
      </c>
    </row>
    <row r="761" spans="1:7" x14ac:dyDescent="0.3">
      <c r="A761" s="354" t="s">
        <v>147</v>
      </c>
      <c r="B761" s="354" t="s">
        <v>152</v>
      </c>
      <c r="C761" s="354">
        <v>2014</v>
      </c>
      <c r="D761" s="354" t="s">
        <v>65</v>
      </c>
      <c r="E761" s="354">
        <v>6750</v>
      </c>
      <c r="F761" s="355" t="s">
        <v>66</v>
      </c>
      <c r="G761" s="355">
        <v>1</v>
      </c>
    </row>
    <row r="762" spans="1:7" x14ac:dyDescent="0.3">
      <c r="A762" s="350" t="s">
        <v>147</v>
      </c>
      <c r="B762" s="350" t="s">
        <v>100</v>
      </c>
      <c r="C762" s="350">
        <v>2021</v>
      </c>
      <c r="D762" s="350" t="s">
        <v>65</v>
      </c>
      <c r="E762" s="350">
        <v>6750</v>
      </c>
      <c r="F762" s="353" t="s">
        <v>66</v>
      </c>
      <c r="G762" s="353">
        <v>10</v>
      </c>
    </row>
    <row r="763" spans="1:7" x14ac:dyDescent="0.3">
      <c r="A763" s="350" t="s">
        <v>147</v>
      </c>
      <c r="B763" s="350" t="s">
        <v>100</v>
      </c>
      <c r="C763" s="350">
        <v>2020</v>
      </c>
      <c r="D763" s="350" t="s">
        <v>65</v>
      </c>
      <c r="E763" s="350">
        <v>6750</v>
      </c>
      <c r="F763" s="353" t="s">
        <v>66</v>
      </c>
      <c r="G763" s="353">
        <v>26</v>
      </c>
    </row>
    <row r="764" spans="1:7" x14ac:dyDescent="0.3">
      <c r="A764" s="350" t="s">
        <v>147</v>
      </c>
      <c r="B764" s="350" t="s">
        <v>100</v>
      </c>
      <c r="C764" s="350">
        <v>2019</v>
      </c>
      <c r="D764" s="350" t="s">
        <v>65</v>
      </c>
      <c r="E764" s="350">
        <v>6750</v>
      </c>
      <c r="F764" s="353" t="s">
        <v>66</v>
      </c>
      <c r="G764" s="353">
        <v>4</v>
      </c>
    </row>
    <row r="765" spans="1:7" x14ac:dyDescent="0.3">
      <c r="A765" s="350" t="s">
        <v>147</v>
      </c>
      <c r="B765" s="350" t="s">
        <v>100</v>
      </c>
      <c r="C765" s="350">
        <v>2018</v>
      </c>
      <c r="D765" s="350" t="s">
        <v>65</v>
      </c>
      <c r="E765" s="350">
        <v>6750</v>
      </c>
      <c r="F765" s="353" t="s">
        <v>66</v>
      </c>
      <c r="G765" s="353">
        <v>16</v>
      </c>
    </row>
    <row r="766" spans="1:7" x14ac:dyDescent="0.3">
      <c r="A766" s="350" t="s">
        <v>147</v>
      </c>
      <c r="B766" s="350" t="s">
        <v>100</v>
      </c>
      <c r="C766" s="350">
        <v>2017</v>
      </c>
      <c r="D766" s="350" t="s">
        <v>65</v>
      </c>
      <c r="E766" s="350">
        <v>6750</v>
      </c>
      <c r="F766" s="353" t="s">
        <v>66</v>
      </c>
      <c r="G766" s="353">
        <v>9</v>
      </c>
    </row>
    <row r="767" spans="1:7" x14ac:dyDescent="0.3">
      <c r="A767" s="350" t="s">
        <v>147</v>
      </c>
      <c r="B767" s="350" t="s">
        <v>100</v>
      </c>
      <c r="C767" s="350">
        <v>2016</v>
      </c>
      <c r="D767" s="350" t="s">
        <v>65</v>
      </c>
      <c r="E767" s="350">
        <v>6750</v>
      </c>
      <c r="F767" s="353" t="s">
        <v>66</v>
      </c>
      <c r="G767" s="353">
        <v>17</v>
      </c>
    </row>
    <row r="768" spans="1:7" x14ac:dyDescent="0.3">
      <c r="A768" s="350" t="s">
        <v>147</v>
      </c>
      <c r="B768" s="350" t="s">
        <v>100</v>
      </c>
      <c r="C768" s="350">
        <v>2015</v>
      </c>
      <c r="D768" s="350" t="s">
        <v>65</v>
      </c>
      <c r="E768" s="350">
        <v>6750</v>
      </c>
      <c r="F768" s="353" t="s">
        <v>66</v>
      </c>
      <c r="G768" s="353">
        <v>16</v>
      </c>
    </row>
    <row r="769" spans="1:7" x14ac:dyDescent="0.3">
      <c r="A769" s="350" t="s">
        <v>147</v>
      </c>
      <c r="B769" s="350" t="s">
        <v>100</v>
      </c>
      <c r="C769" s="350">
        <v>2014</v>
      </c>
      <c r="D769" s="350" t="s">
        <v>65</v>
      </c>
      <c r="E769" s="350">
        <v>6750</v>
      </c>
      <c r="F769" s="353" t="s">
        <v>66</v>
      </c>
      <c r="G769" s="353">
        <v>10</v>
      </c>
    </row>
    <row r="770" spans="1:7" x14ac:dyDescent="0.3">
      <c r="A770" s="350" t="s">
        <v>147</v>
      </c>
      <c r="B770" s="350" t="s">
        <v>145</v>
      </c>
      <c r="C770" s="350">
        <v>2021</v>
      </c>
      <c r="D770" s="350" t="s">
        <v>65</v>
      </c>
      <c r="E770" s="350">
        <v>6613</v>
      </c>
      <c r="F770" s="353" t="s">
        <v>66</v>
      </c>
      <c r="G770" s="353">
        <v>21</v>
      </c>
    </row>
    <row r="771" spans="1:7" x14ac:dyDescent="0.3">
      <c r="A771" s="350" t="s">
        <v>147</v>
      </c>
      <c r="B771" s="350" t="s">
        <v>145</v>
      </c>
      <c r="C771" s="350">
        <v>2020</v>
      </c>
      <c r="D771" s="350" t="s">
        <v>65</v>
      </c>
      <c r="E771" s="350">
        <v>6613</v>
      </c>
      <c r="F771" s="353" t="s">
        <v>66</v>
      </c>
      <c r="G771" s="353">
        <v>26</v>
      </c>
    </row>
    <row r="772" spans="1:7" x14ac:dyDescent="0.3">
      <c r="A772" s="350" t="s">
        <v>147</v>
      </c>
      <c r="B772" s="350" t="s">
        <v>145</v>
      </c>
      <c r="C772" s="350">
        <v>2019</v>
      </c>
      <c r="D772" s="350" t="s">
        <v>65</v>
      </c>
      <c r="E772" s="350">
        <v>6613</v>
      </c>
      <c r="F772" s="353" t="s">
        <v>66</v>
      </c>
      <c r="G772" s="353">
        <v>23</v>
      </c>
    </row>
    <row r="773" spans="1:7" x14ac:dyDescent="0.3">
      <c r="A773" s="350" t="s">
        <v>147</v>
      </c>
      <c r="B773" s="350" t="s">
        <v>145</v>
      </c>
      <c r="C773" s="350">
        <v>2018</v>
      </c>
      <c r="D773" s="350" t="s">
        <v>65</v>
      </c>
      <c r="E773" s="350">
        <v>6613</v>
      </c>
      <c r="F773" s="353" t="s">
        <v>66</v>
      </c>
      <c r="G773" s="353">
        <v>20</v>
      </c>
    </row>
    <row r="774" spans="1:7" x14ac:dyDescent="0.3">
      <c r="A774" s="350" t="s">
        <v>147</v>
      </c>
      <c r="B774" s="350" t="s">
        <v>145</v>
      </c>
      <c r="C774" s="350">
        <v>2017</v>
      </c>
      <c r="D774" s="350" t="s">
        <v>65</v>
      </c>
      <c r="E774" s="350">
        <v>6613</v>
      </c>
      <c r="F774" s="353" t="s">
        <v>66</v>
      </c>
      <c r="G774" s="353">
        <v>28</v>
      </c>
    </row>
    <row r="775" spans="1:7" x14ac:dyDescent="0.3">
      <c r="A775" s="350" t="s">
        <v>147</v>
      </c>
      <c r="B775" s="350" t="s">
        <v>145</v>
      </c>
      <c r="C775" s="350">
        <v>2016</v>
      </c>
      <c r="D775" s="350" t="s">
        <v>65</v>
      </c>
      <c r="E775" s="350">
        <v>6613</v>
      </c>
      <c r="F775" s="353" t="s">
        <v>66</v>
      </c>
      <c r="G775" s="353">
        <v>19</v>
      </c>
    </row>
    <row r="776" spans="1:7" x14ac:dyDescent="0.3">
      <c r="A776" s="350" t="s">
        <v>147</v>
      </c>
      <c r="B776" s="350" t="s">
        <v>145</v>
      </c>
      <c r="C776" s="350">
        <v>2015</v>
      </c>
      <c r="D776" s="350" t="s">
        <v>65</v>
      </c>
      <c r="E776" s="350">
        <v>6613</v>
      </c>
      <c r="F776" s="353" t="s">
        <v>66</v>
      </c>
      <c r="G776" s="353">
        <v>17</v>
      </c>
    </row>
    <row r="777" spans="1:7" x14ac:dyDescent="0.3">
      <c r="A777" s="350" t="s">
        <v>147</v>
      </c>
      <c r="B777" s="350" t="s">
        <v>145</v>
      </c>
      <c r="C777" s="350">
        <v>2014</v>
      </c>
      <c r="D777" s="350" t="s">
        <v>65</v>
      </c>
      <c r="E777" s="350">
        <v>6613</v>
      </c>
      <c r="F777" s="353" t="s">
        <v>66</v>
      </c>
      <c r="G777" s="353">
        <v>8</v>
      </c>
    </row>
    <row r="778" spans="1:7" x14ac:dyDescent="0.3">
      <c r="A778" s="350" t="s">
        <v>147</v>
      </c>
      <c r="B778" s="350" t="s">
        <v>252</v>
      </c>
      <c r="C778" s="350">
        <v>2021</v>
      </c>
      <c r="D778" s="350" t="s">
        <v>65</v>
      </c>
      <c r="E778" s="350">
        <v>6500</v>
      </c>
      <c r="F778" s="353" t="s">
        <v>66</v>
      </c>
      <c r="G778" s="353">
        <v>13</v>
      </c>
    </row>
    <row r="779" spans="1:7" x14ac:dyDescent="0.3">
      <c r="A779" s="350" t="s">
        <v>147</v>
      </c>
      <c r="B779" s="350" t="s">
        <v>252</v>
      </c>
      <c r="C779" s="350">
        <v>2020</v>
      </c>
      <c r="D779" s="350" t="s">
        <v>65</v>
      </c>
      <c r="E779" s="350">
        <v>6500</v>
      </c>
      <c r="F779" s="353" t="s">
        <v>66</v>
      </c>
      <c r="G779" s="353">
        <v>7</v>
      </c>
    </row>
    <row r="780" spans="1:7" x14ac:dyDescent="0.3">
      <c r="A780" s="350" t="s">
        <v>147</v>
      </c>
      <c r="B780" s="350" t="s">
        <v>252</v>
      </c>
      <c r="C780" s="350">
        <v>2019</v>
      </c>
      <c r="D780" s="350" t="s">
        <v>65</v>
      </c>
      <c r="E780" s="350">
        <v>6500</v>
      </c>
      <c r="F780" s="353" t="s">
        <v>66</v>
      </c>
      <c r="G780" s="353">
        <v>2</v>
      </c>
    </row>
    <row r="781" spans="1:7" x14ac:dyDescent="0.3">
      <c r="A781" s="350" t="s">
        <v>147</v>
      </c>
      <c r="B781" s="350" t="s">
        <v>252</v>
      </c>
      <c r="C781" s="350">
        <v>2018</v>
      </c>
      <c r="D781" s="350" t="s">
        <v>65</v>
      </c>
      <c r="E781" s="350">
        <v>6500</v>
      </c>
      <c r="F781" s="353" t="s">
        <v>66</v>
      </c>
      <c r="G781" s="353">
        <v>3</v>
      </c>
    </row>
    <row r="782" spans="1:7" x14ac:dyDescent="0.3">
      <c r="A782" s="350" t="s">
        <v>147</v>
      </c>
      <c r="B782" s="350" t="s">
        <v>252</v>
      </c>
      <c r="C782" s="350">
        <v>2017</v>
      </c>
      <c r="D782" s="350" t="s">
        <v>65</v>
      </c>
      <c r="E782" s="350">
        <v>6500</v>
      </c>
      <c r="F782" s="353" t="s">
        <v>66</v>
      </c>
      <c r="G782" s="353">
        <v>15</v>
      </c>
    </row>
    <row r="783" spans="1:7" x14ac:dyDescent="0.3">
      <c r="A783" s="350" t="s">
        <v>147</v>
      </c>
      <c r="B783" s="350" t="s">
        <v>252</v>
      </c>
      <c r="C783" s="350">
        <v>2016</v>
      </c>
      <c r="D783" s="350" t="s">
        <v>65</v>
      </c>
      <c r="E783" s="350">
        <v>6500</v>
      </c>
      <c r="F783" s="353" t="s">
        <v>66</v>
      </c>
      <c r="G783" s="353">
        <v>4</v>
      </c>
    </row>
    <row r="784" spans="1:7" x14ac:dyDescent="0.3">
      <c r="A784" s="350" t="s">
        <v>147</v>
      </c>
      <c r="B784" s="350" t="s">
        <v>252</v>
      </c>
      <c r="C784" s="350">
        <v>2015</v>
      </c>
      <c r="D784" s="350" t="s">
        <v>65</v>
      </c>
      <c r="E784" s="350">
        <v>6500</v>
      </c>
      <c r="F784" s="353" t="s">
        <v>66</v>
      </c>
      <c r="G784" s="353">
        <v>14</v>
      </c>
    </row>
    <row r="785" spans="1:7" x14ac:dyDescent="0.3">
      <c r="A785" s="350" t="s">
        <v>147</v>
      </c>
      <c r="B785" s="350" t="s">
        <v>252</v>
      </c>
      <c r="C785" s="350">
        <v>2014</v>
      </c>
      <c r="D785" s="350" t="s">
        <v>65</v>
      </c>
      <c r="E785" s="350">
        <v>6500</v>
      </c>
      <c r="F785" s="353" t="s">
        <v>66</v>
      </c>
      <c r="G785" s="353">
        <v>9</v>
      </c>
    </row>
    <row r="786" spans="1:7" x14ac:dyDescent="0.3">
      <c r="A786" s="350" t="s">
        <v>147</v>
      </c>
      <c r="B786" s="350" t="s">
        <v>269</v>
      </c>
      <c r="C786" s="350">
        <v>2021</v>
      </c>
      <c r="D786" s="350" t="s">
        <v>65</v>
      </c>
      <c r="E786" s="350">
        <v>6500</v>
      </c>
      <c r="F786" s="353" t="s">
        <v>66</v>
      </c>
      <c r="G786" s="353">
        <v>79</v>
      </c>
    </row>
    <row r="787" spans="1:7" x14ac:dyDescent="0.3">
      <c r="A787" s="350" t="s">
        <v>147</v>
      </c>
      <c r="B787" s="350" t="s">
        <v>269</v>
      </c>
      <c r="C787" s="350">
        <v>2020</v>
      </c>
      <c r="D787" s="350" t="s">
        <v>65</v>
      </c>
      <c r="E787" s="350">
        <v>6500</v>
      </c>
      <c r="F787" s="353" t="s">
        <v>66</v>
      </c>
      <c r="G787" s="353">
        <v>35</v>
      </c>
    </row>
    <row r="788" spans="1:7" x14ac:dyDescent="0.3">
      <c r="A788" s="350" t="s">
        <v>147</v>
      </c>
      <c r="B788" s="350" t="s">
        <v>269</v>
      </c>
      <c r="C788" s="350">
        <v>2019</v>
      </c>
      <c r="D788" s="350" t="s">
        <v>65</v>
      </c>
      <c r="E788" s="350">
        <v>6500</v>
      </c>
      <c r="F788" s="353" t="s">
        <v>66</v>
      </c>
      <c r="G788" s="353">
        <v>81</v>
      </c>
    </row>
    <row r="789" spans="1:7" x14ac:dyDescent="0.3">
      <c r="A789" s="350" t="s">
        <v>147</v>
      </c>
      <c r="B789" s="350" t="s">
        <v>269</v>
      </c>
      <c r="C789" s="350">
        <v>2018</v>
      </c>
      <c r="D789" s="350" t="s">
        <v>65</v>
      </c>
      <c r="E789" s="350">
        <v>6500</v>
      </c>
      <c r="F789" s="353" t="s">
        <v>66</v>
      </c>
      <c r="G789" s="353">
        <v>138</v>
      </c>
    </row>
    <row r="790" spans="1:7" x14ac:dyDescent="0.3">
      <c r="A790" s="350" t="s">
        <v>147</v>
      </c>
      <c r="B790" s="350" t="s">
        <v>269</v>
      </c>
      <c r="C790" s="350">
        <v>2017</v>
      </c>
      <c r="D790" s="350" t="s">
        <v>65</v>
      </c>
      <c r="E790" s="350">
        <v>6500</v>
      </c>
      <c r="F790" s="353" t="s">
        <v>66</v>
      </c>
      <c r="G790" s="353">
        <v>115</v>
      </c>
    </row>
    <row r="791" spans="1:7" x14ac:dyDescent="0.3">
      <c r="A791" s="350" t="s">
        <v>147</v>
      </c>
      <c r="B791" s="350" t="s">
        <v>269</v>
      </c>
      <c r="C791" s="350">
        <v>2016</v>
      </c>
      <c r="D791" s="350" t="s">
        <v>65</v>
      </c>
      <c r="E791" s="350">
        <v>6500</v>
      </c>
      <c r="F791" s="353" t="s">
        <v>66</v>
      </c>
      <c r="G791" s="353">
        <v>73</v>
      </c>
    </row>
    <row r="792" spans="1:7" x14ac:dyDescent="0.3">
      <c r="A792" s="350" t="s">
        <v>147</v>
      </c>
      <c r="B792" s="350" t="s">
        <v>269</v>
      </c>
      <c r="C792" s="350">
        <v>2015</v>
      </c>
      <c r="D792" s="350" t="s">
        <v>65</v>
      </c>
      <c r="E792" s="350">
        <v>6500</v>
      </c>
      <c r="F792" s="353" t="s">
        <v>66</v>
      </c>
      <c r="G792" s="353">
        <v>64</v>
      </c>
    </row>
    <row r="793" spans="1:7" x14ac:dyDescent="0.3">
      <c r="A793" s="350" t="s">
        <v>147</v>
      </c>
      <c r="B793" s="350" t="s">
        <v>269</v>
      </c>
      <c r="C793" s="350">
        <v>2014</v>
      </c>
      <c r="D793" s="350" t="s">
        <v>65</v>
      </c>
      <c r="E793" s="350">
        <v>6500</v>
      </c>
      <c r="F793" s="353" t="s">
        <v>66</v>
      </c>
      <c r="G793" s="353">
        <v>19</v>
      </c>
    </row>
    <row r="794" spans="1:7" x14ac:dyDescent="0.3">
      <c r="A794" s="350" t="s">
        <v>147</v>
      </c>
      <c r="B794" s="350" t="s">
        <v>244</v>
      </c>
      <c r="C794" s="350">
        <v>2021</v>
      </c>
      <c r="D794" s="350" t="s">
        <v>65</v>
      </c>
      <c r="E794" s="350">
        <v>6000</v>
      </c>
      <c r="F794" s="353" t="s">
        <v>66</v>
      </c>
      <c r="G794" s="353">
        <v>7</v>
      </c>
    </row>
    <row r="795" spans="1:7" x14ac:dyDescent="0.3">
      <c r="A795" s="350" t="s">
        <v>147</v>
      </c>
      <c r="B795" s="350" t="s">
        <v>244</v>
      </c>
      <c r="C795" s="350">
        <v>2020</v>
      </c>
      <c r="D795" s="350" t="s">
        <v>65</v>
      </c>
      <c r="E795" s="350">
        <v>6000</v>
      </c>
      <c r="F795" s="353" t="s">
        <v>66</v>
      </c>
      <c r="G795" s="353">
        <v>4</v>
      </c>
    </row>
    <row r="796" spans="1:7" x14ac:dyDescent="0.3">
      <c r="A796" s="350" t="s">
        <v>147</v>
      </c>
      <c r="B796" s="350" t="s">
        <v>244</v>
      </c>
      <c r="C796" s="350">
        <v>2019</v>
      </c>
      <c r="D796" s="350" t="s">
        <v>65</v>
      </c>
      <c r="E796" s="350">
        <v>6000</v>
      </c>
      <c r="F796" s="353" t="s">
        <v>66</v>
      </c>
      <c r="G796" s="353">
        <v>1</v>
      </c>
    </row>
    <row r="797" spans="1:7" x14ac:dyDescent="0.3">
      <c r="A797" s="350" t="s">
        <v>147</v>
      </c>
      <c r="B797" s="350" t="s">
        <v>263</v>
      </c>
      <c r="C797" s="350">
        <v>2021</v>
      </c>
      <c r="D797" s="350" t="s">
        <v>65</v>
      </c>
      <c r="E797" s="350">
        <v>6000</v>
      </c>
      <c r="F797" s="353" t="s">
        <v>66</v>
      </c>
      <c r="G797" s="353">
        <v>56</v>
      </c>
    </row>
    <row r="798" spans="1:7" x14ac:dyDescent="0.3">
      <c r="A798" s="350" t="s">
        <v>147</v>
      </c>
      <c r="B798" s="350" t="s">
        <v>263</v>
      </c>
      <c r="C798" s="350">
        <v>2020</v>
      </c>
      <c r="D798" s="350" t="s">
        <v>65</v>
      </c>
      <c r="E798" s="350">
        <v>6000</v>
      </c>
      <c r="F798" s="353" t="s">
        <v>66</v>
      </c>
      <c r="G798" s="353">
        <v>19</v>
      </c>
    </row>
    <row r="799" spans="1:7" x14ac:dyDescent="0.3">
      <c r="A799" s="350" t="s">
        <v>147</v>
      </c>
      <c r="B799" s="350" t="s">
        <v>263</v>
      </c>
      <c r="C799" s="350">
        <v>2019</v>
      </c>
      <c r="D799" s="350" t="s">
        <v>65</v>
      </c>
      <c r="E799" s="350">
        <v>6000</v>
      </c>
      <c r="F799" s="353" t="s">
        <v>66</v>
      </c>
      <c r="G799" s="353">
        <v>16</v>
      </c>
    </row>
    <row r="800" spans="1:7" x14ac:dyDescent="0.3">
      <c r="A800" s="350" t="s">
        <v>147</v>
      </c>
      <c r="B800" s="350" t="s">
        <v>263</v>
      </c>
      <c r="C800" s="350">
        <v>2018</v>
      </c>
      <c r="D800" s="350" t="s">
        <v>65</v>
      </c>
      <c r="E800" s="350">
        <v>6000</v>
      </c>
      <c r="F800" s="353" t="s">
        <v>66</v>
      </c>
      <c r="G800" s="353">
        <v>11</v>
      </c>
    </row>
    <row r="801" spans="1:7" x14ac:dyDescent="0.3">
      <c r="A801" s="350" t="s">
        <v>147</v>
      </c>
      <c r="B801" s="350" t="s">
        <v>263</v>
      </c>
      <c r="C801" s="350">
        <v>2017</v>
      </c>
      <c r="D801" s="350" t="s">
        <v>65</v>
      </c>
      <c r="E801" s="350">
        <v>6000</v>
      </c>
      <c r="F801" s="353" t="s">
        <v>66</v>
      </c>
      <c r="G801" s="353">
        <v>2</v>
      </c>
    </row>
    <row r="802" spans="1:7" x14ac:dyDescent="0.3">
      <c r="A802" s="350" t="s">
        <v>147</v>
      </c>
      <c r="B802" s="350" t="s">
        <v>180</v>
      </c>
      <c r="C802" s="350">
        <v>2021</v>
      </c>
      <c r="D802" s="350" t="s">
        <v>65</v>
      </c>
      <c r="E802" s="350">
        <v>5990</v>
      </c>
      <c r="F802" s="353" t="s">
        <v>66</v>
      </c>
      <c r="G802" s="353">
        <v>2</v>
      </c>
    </row>
    <row r="803" spans="1:7" x14ac:dyDescent="0.3">
      <c r="A803" s="350" t="s">
        <v>147</v>
      </c>
      <c r="B803" s="350" t="s">
        <v>180</v>
      </c>
      <c r="C803" s="350">
        <v>2018</v>
      </c>
      <c r="D803" s="350" t="s">
        <v>65</v>
      </c>
      <c r="E803" s="350">
        <v>5990</v>
      </c>
      <c r="F803" s="353" t="s">
        <v>66</v>
      </c>
      <c r="G803" s="353">
        <v>1</v>
      </c>
    </row>
    <row r="804" spans="1:7" x14ac:dyDescent="0.3">
      <c r="A804" s="350" t="s">
        <v>147</v>
      </c>
      <c r="B804" s="350" t="s">
        <v>180</v>
      </c>
      <c r="C804" s="350">
        <v>2017</v>
      </c>
      <c r="D804" s="350" t="s">
        <v>65</v>
      </c>
      <c r="E804" s="350">
        <v>5990</v>
      </c>
      <c r="F804" s="353" t="s">
        <v>66</v>
      </c>
      <c r="G804" s="353">
        <v>1</v>
      </c>
    </row>
    <row r="805" spans="1:7" x14ac:dyDescent="0.3">
      <c r="A805" s="350" t="s">
        <v>147</v>
      </c>
      <c r="B805" s="350" t="s">
        <v>191</v>
      </c>
      <c r="C805" s="350">
        <v>2021</v>
      </c>
      <c r="D805" s="350" t="s">
        <v>65</v>
      </c>
      <c r="E805" s="350">
        <v>5990</v>
      </c>
      <c r="F805" s="353" t="s">
        <v>66</v>
      </c>
      <c r="G805" s="353">
        <v>1</v>
      </c>
    </row>
    <row r="806" spans="1:7" x14ac:dyDescent="0.3">
      <c r="A806" s="350" t="s">
        <v>147</v>
      </c>
      <c r="B806" s="350" t="s">
        <v>191</v>
      </c>
      <c r="C806" s="350">
        <v>2020</v>
      </c>
      <c r="D806" s="350" t="s">
        <v>65</v>
      </c>
      <c r="E806" s="350">
        <v>5990</v>
      </c>
      <c r="F806" s="353" t="s">
        <v>66</v>
      </c>
      <c r="G806" s="353">
        <v>8</v>
      </c>
    </row>
    <row r="807" spans="1:7" x14ac:dyDescent="0.3">
      <c r="A807" s="350" t="s">
        <v>147</v>
      </c>
      <c r="B807" s="350" t="s">
        <v>97</v>
      </c>
      <c r="C807" s="350">
        <v>2021</v>
      </c>
      <c r="D807" s="350" t="s">
        <v>65</v>
      </c>
      <c r="E807" s="350">
        <v>5974</v>
      </c>
      <c r="F807" s="353" t="s">
        <v>66</v>
      </c>
      <c r="G807" s="353">
        <v>16</v>
      </c>
    </row>
    <row r="808" spans="1:7" x14ac:dyDescent="0.3">
      <c r="A808" s="350" t="s">
        <v>147</v>
      </c>
      <c r="B808" s="350" t="s">
        <v>97</v>
      </c>
      <c r="C808" s="350">
        <v>2020</v>
      </c>
      <c r="D808" s="350" t="s">
        <v>65</v>
      </c>
      <c r="E808" s="350">
        <v>5974</v>
      </c>
      <c r="F808" s="353" t="s">
        <v>66</v>
      </c>
      <c r="G808" s="353">
        <v>12</v>
      </c>
    </row>
    <row r="809" spans="1:7" x14ac:dyDescent="0.3">
      <c r="A809" s="350" t="s">
        <v>147</v>
      </c>
      <c r="B809" s="350" t="s">
        <v>97</v>
      </c>
      <c r="C809" s="350">
        <v>2019</v>
      </c>
      <c r="D809" s="350" t="s">
        <v>65</v>
      </c>
      <c r="E809" s="350">
        <v>5974</v>
      </c>
      <c r="F809" s="353" t="s">
        <v>66</v>
      </c>
      <c r="G809" s="353">
        <v>24</v>
      </c>
    </row>
    <row r="810" spans="1:7" x14ac:dyDescent="0.3">
      <c r="A810" s="350" t="s">
        <v>147</v>
      </c>
      <c r="B810" s="350" t="s">
        <v>97</v>
      </c>
      <c r="C810" s="350">
        <v>2018</v>
      </c>
      <c r="D810" s="350" t="s">
        <v>65</v>
      </c>
      <c r="E810" s="350">
        <v>5974</v>
      </c>
      <c r="F810" s="353" t="s">
        <v>66</v>
      </c>
      <c r="G810" s="353">
        <v>12</v>
      </c>
    </row>
    <row r="811" spans="1:7" x14ac:dyDescent="0.3">
      <c r="A811" s="350" t="s">
        <v>147</v>
      </c>
      <c r="B811" s="350" t="s">
        <v>97</v>
      </c>
      <c r="C811" s="350">
        <v>2017</v>
      </c>
      <c r="D811" s="350" t="s">
        <v>65</v>
      </c>
      <c r="E811" s="350">
        <v>5974</v>
      </c>
      <c r="F811" s="353" t="s">
        <v>66</v>
      </c>
      <c r="G811" s="353">
        <v>19</v>
      </c>
    </row>
    <row r="812" spans="1:7" x14ac:dyDescent="0.3">
      <c r="A812" s="350" t="s">
        <v>147</v>
      </c>
      <c r="B812" s="350" t="s">
        <v>97</v>
      </c>
      <c r="C812" s="350">
        <v>2016</v>
      </c>
      <c r="D812" s="350" t="s">
        <v>65</v>
      </c>
      <c r="E812" s="350">
        <v>5974</v>
      </c>
      <c r="F812" s="353" t="s">
        <v>66</v>
      </c>
      <c r="G812" s="353">
        <v>16</v>
      </c>
    </row>
    <row r="813" spans="1:7" x14ac:dyDescent="0.3">
      <c r="A813" s="350" t="s">
        <v>147</v>
      </c>
      <c r="B813" s="350" t="s">
        <v>97</v>
      </c>
      <c r="C813" s="350">
        <v>2015</v>
      </c>
      <c r="D813" s="350" t="s">
        <v>65</v>
      </c>
      <c r="E813" s="350">
        <v>5974</v>
      </c>
      <c r="F813" s="353" t="s">
        <v>66</v>
      </c>
      <c r="G813" s="353">
        <v>18</v>
      </c>
    </row>
    <row r="814" spans="1:7" x14ac:dyDescent="0.3">
      <c r="A814" s="350" t="s">
        <v>147</v>
      </c>
      <c r="B814" s="350" t="s">
        <v>97</v>
      </c>
      <c r="C814" s="350">
        <v>2014</v>
      </c>
      <c r="D814" s="350" t="s">
        <v>65</v>
      </c>
      <c r="E814" s="350">
        <v>5974</v>
      </c>
      <c r="F814" s="353" t="s">
        <v>66</v>
      </c>
      <c r="G814" s="353">
        <v>6</v>
      </c>
    </row>
    <row r="815" spans="1:7" x14ac:dyDescent="0.3">
      <c r="A815" s="350" t="s">
        <v>147</v>
      </c>
      <c r="B815" s="350" t="s">
        <v>85</v>
      </c>
      <c r="C815" s="350">
        <v>2021</v>
      </c>
      <c r="D815" s="350" t="s">
        <v>65</v>
      </c>
      <c r="E815" s="350">
        <v>5732</v>
      </c>
      <c r="F815" s="353" t="s">
        <v>66</v>
      </c>
      <c r="G815" s="353">
        <v>4</v>
      </c>
    </row>
    <row r="816" spans="1:7" x14ac:dyDescent="0.3">
      <c r="A816" s="350" t="s">
        <v>147</v>
      </c>
      <c r="B816" s="350" t="s">
        <v>85</v>
      </c>
      <c r="C816" s="350">
        <v>2020</v>
      </c>
      <c r="D816" s="350" t="s">
        <v>65</v>
      </c>
      <c r="E816" s="350">
        <v>5732</v>
      </c>
      <c r="F816" s="353" t="s">
        <v>66</v>
      </c>
      <c r="G816" s="353">
        <v>6</v>
      </c>
    </row>
    <row r="817" spans="1:7" x14ac:dyDescent="0.3">
      <c r="A817" s="350" t="s">
        <v>147</v>
      </c>
      <c r="B817" s="350" t="s">
        <v>85</v>
      </c>
      <c r="C817" s="350">
        <v>2019</v>
      </c>
      <c r="D817" s="350" t="s">
        <v>65</v>
      </c>
      <c r="E817" s="350">
        <v>5732</v>
      </c>
      <c r="F817" s="353" t="s">
        <v>66</v>
      </c>
      <c r="G817" s="353">
        <v>9</v>
      </c>
    </row>
    <row r="818" spans="1:7" x14ac:dyDescent="0.3">
      <c r="A818" s="350" t="s">
        <v>147</v>
      </c>
      <c r="B818" s="350" t="s">
        <v>85</v>
      </c>
      <c r="C818" s="350">
        <v>2018</v>
      </c>
      <c r="D818" s="350" t="s">
        <v>65</v>
      </c>
      <c r="E818" s="350">
        <v>5732</v>
      </c>
      <c r="F818" s="353" t="s">
        <v>66</v>
      </c>
      <c r="G818" s="353">
        <v>6</v>
      </c>
    </row>
    <row r="819" spans="1:7" x14ac:dyDescent="0.3">
      <c r="A819" s="350" t="s">
        <v>147</v>
      </c>
      <c r="B819" s="350" t="s">
        <v>85</v>
      </c>
      <c r="C819" s="350">
        <v>2017</v>
      </c>
      <c r="D819" s="350" t="s">
        <v>65</v>
      </c>
      <c r="E819" s="350">
        <v>5732</v>
      </c>
      <c r="F819" s="353" t="s">
        <v>66</v>
      </c>
      <c r="G819" s="353">
        <v>6</v>
      </c>
    </row>
    <row r="820" spans="1:7" x14ac:dyDescent="0.3">
      <c r="A820" s="350" t="s">
        <v>147</v>
      </c>
      <c r="B820" s="350" t="s">
        <v>85</v>
      </c>
      <c r="C820" s="350">
        <v>2016</v>
      </c>
      <c r="D820" s="350" t="s">
        <v>65</v>
      </c>
      <c r="E820" s="350">
        <v>5732</v>
      </c>
      <c r="F820" s="353" t="s">
        <v>66</v>
      </c>
      <c r="G820" s="353">
        <v>3</v>
      </c>
    </row>
    <row r="821" spans="1:7" x14ac:dyDescent="0.3">
      <c r="A821" s="350" t="s">
        <v>147</v>
      </c>
      <c r="B821" s="350" t="s">
        <v>85</v>
      </c>
      <c r="C821" s="350">
        <v>2015</v>
      </c>
      <c r="D821" s="350" t="s">
        <v>65</v>
      </c>
      <c r="E821" s="350">
        <v>5732</v>
      </c>
      <c r="F821" s="353" t="s">
        <v>66</v>
      </c>
      <c r="G821" s="353">
        <v>5</v>
      </c>
    </row>
    <row r="822" spans="1:7" x14ac:dyDescent="0.3">
      <c r="A822" s="350" t="s">
        <v>147</v>
      </c>
      <c r="B822" s="350" t="s">
        <v>144</v>
      </c>
      <c r="C822" s="350">
        <v>2021</v>
      </c>
      <c r="D822" s="350" t="s">
        <v>65</v>
      </c>
      <c r="E822" s="350">
        <v>5617</v>
      </c>
      <c r="F822" s="353" t="s">
        <v>66</v>
      </c>
      <c r="G822" s="353">
        <v>3</v>
      </c>
    </row>
    <row r="823" spans="1:7" x14ac:dyDescent="0.3">
      <c r="A823" s="350" t="s">
        <v>147</v>
      </c>
      <c r="B823" s="350" t="s">
        <v>144</v>
      </c>
      <c r="C823" s="350">
        <v>2020</v>
      </c>
      <c r="D823" s="350" t="s">
        <v>65</v>
      </c>
      <c r="E823" s="350">
        <v>5617</v>
      </c>
      <c r="F823" s="353" t="s">
        <v>66</v>
      </c>
      <c r="G823" s="353">
        <v>6</v>
      </c>
    </row>
    <row r="824" spans="1:7" x14ac:dyDescent="0.3">
      <c r="A824" s="350" t="s">
        <v>147</v>
      </c>
      <c r="B824" s="350" t="s">
        <v>144</v>
      </c>
      <c r="C824" s="350">
        <v>2019</v>
      </c>
      <c r="D824" s="350" t="s">
        <v>65</v>
      </c>
      <c r="E824" s="350">
        <v>5617</v>
      </c>
      <c r="F824" s="353" t="s">
        <v>66</v>
      </c>
      <c r="G824" s="353">
        <v>3</v>
      </c>
    </row>
    <row r="825" spans="1:7" x14ac:dyDescent="0.3">
      <c r="A825" s="350" t="s">
        <v>147</v>
      </c>
      <c r="B825" s="350" t="s">
        <v>144</v>
      </c>
      <c r="C825" s="350">
        <v>2018</v>
      </c>
      <c r="D825" s="350" t="s">
        <v>65</v>
      </c>
      <c r="E825" s="350">
        <v>5617</v>
      </c>
      <c r="F825" s="353" t="s">
        <v>66</v>
      </c>
      <c r="G825" s="353">
        <v>8</v>
      </c>
    </row>
    <row r="826" spans="1:7" x14ac:dyDescent="0.3">
      <c r="A826" s="350" t="s">
        <v>147</v>
      </c>
      <c r="B826" s="350" t="s">
        <v>144</v>
      </c>
      <c r="C826" s="350">
        <v>2017</v>
      </c>
      <c r="D826" s="350" t="s">
        <v>65</v>
      </c>
      <c r="E826" s="350">
        <v>5617</v>
      </c>
      <c r="F826" s="353" t="s">
        <v>66</v>
      </c>
      <c r="G826" s="353">
        <v>5</v>
      </c>
    </row>
    <row r="827" spans="1:7" x14ac:dyDescent="0.3">
      <c r="A827" s="350" t="s">
        <v>147</v>
      </c>
      <c r="B827" s="350" t="s">
        <v>144</v>
      </c>
      <c r="C827" s="350">
        <v>2016</v>
      </c>
      <c r="D827" s="350" t="s">
        <v>65</v>
      </c>
      <c r="E827" s="350">
        <v>5617</v>
      </c>
      <c r="F827" s="353" t="s">
        <v>66</v>
      </c>
      <c r="G827" s="353">
        <v>1</v>
      </c>
    </row>
    <row r="828" spans="1:7" x14ac:dyDescent="0.3">
      <c r="A828" s="350" t="s">
        <v>147</v>
      </c>
      <c r="B828" s="350" t="s">
        <v>144</v>
      </c>
      <c r="C828" s="350">
        <v>2015</v>
      </c>
      <c r="D828" s="350" t="s">
        <v>65</v>
      </c>
      <c r="E828" s="350">
        <v>5617</v>
      </c>
      <c r="F828" s="353" t="s">
        <v>66</v>
      </c>
      <c r="G828" s="353">
        <v>4</v>
      </c>
    </row>
    <row r="829" spans="1:7" x14ac:dyDescent="0.3">
      <c r="A829" s="350" t="s">
        <v>147</v>
      </c>
      <c r="B829" s="350" t="s">
        <v>144</v>
      </c>
      <c r="C829" s="350">
        <v>2014</v>
      </c>
      <c r="D829" s="350" t="s">
        <v>65</v>
      </c>
      <c r="E829" s="350">
        <v>5617</v>
      </c>
      <c r="F829" s="353" t="s">
        <v>66</v>
      </c>
      <c r="G829" s="353">
        <v>1</v>
      </c>
    </row>
    <row r="830" spans="1:7" x14ac:dyDescent="0.3">
      <c r="A830" s="350" t="s">
        <v>147</v>
      </c>
      <c r="B830" s="350" t="s">
        <v>77</v>
      </c>
      <c r="C830" s="350">
        <v>2021</v>
      </c>
      <c r="D830" s="350" t="s">
        <v>65</v>
      </c>
      <c r="E830" s="350">
        <v>5500</v>
      </c>
      <c r="F830" s="353" t="s">
        <v>66</v>
      </c>
      <c r="G830" s="353">
        <v>11</v>
      </c>
    </row>
    <row r="831" spans="1:7" x14ac:dyDescent="0.3">
      <c r="A831" s="350" t="s">
        <v>147</v>
      </c>
      <c r="B831" s="350" t="s">
        <v>77</v>
      </c>
      <c r="C831" s="350">
        <v>2020</v>
      </c>
      <c r="D831" s="350" t="s">
        <v>65</v>
      </c>
      <c r="E831" s="350">
        <v>5500</v>
      </c>
      <c r="F831" s="353" t="s">
        <v>66</v>
      </c>
      <c r="G831" s="353">
        <v>12</v>
      </c>
    </row>
    <row r="832" spans="1:7" x14ac:dyDescent="0.3">
      <c r="A832" s="350" t="s">
        <v>147</v>
      </c>
      <c r="B832" s="350" t="s">
        <v>77</v>
      </c>
      <c r="C832" s="350">
        <v>2019</v>
      </c>
      <c r="D832" s="350" t="s">
        <v>65</v>
      </c>
      <c r="E832" s="350">
        <v>5500</v>
      </c>
      <c r="F832" s="353" t="s">
        <v>66</v>
      </c>
      <c r="G832" s="353">
        <v>10</v>
      </c>
    </row>
    <row r="833" spans="1:7" x14ac:dyDescent="0.3">
      <c r="A833" s="350" t="s">
        <v>147</v>
      </c>
      <c r="B833" s="350" t="s">
        <v>77</v>
      </c>
      <c r="C833" s="350">
        <v>2018</v>
      </c>
      <c r="D833" s="350" t="s">
        <v>65</v>
      </c>
      <c r="E833" s="350">
        <v>5500</v>
      </c>
      <c r="F833" s="353" t="s">
        <v>66</v>
      </c>
      <c r="G833" s="353">
        <v>8</v>
      </c>
    </row>
    <row r="834" spans="1:7" x14ac:dyDescent="0.3">
      <c r="A834" s="350" t="s">
        <v>147</v>
      </c>
      <c r="B834" s="350" t="s">
        <v>77</v>
      </c>
      <c r="C834" s="350">
        <v>2017</v>
      </c>
      <c r="D834" s="350" t="s">
        <v>65</v>
      </c>
      <c r="E834" s="350">
        <v>5500</v>
      </c>
      <c r="F834" s="353" t="s">
        <v>66</v>
      </c>
      <c r="G834" s="353">
        <v>13</v>
      </c>
    </row>
    <row r="835" spans="1:7" x14ac:dyDescent="0.3">
      <c r="A835" s="350" t="s">
        <v>147</v>
      </c>
      <c r="B835" s="350" t="s">
        <v>77</v>
      </c>
      <c r="C835" s="350">
        <v>2016</v>
      </c>
      <c r="D835" s="350" t="s">
        <v>65</v>
      </c>
      <c r="E835" s="350">
        <v>5500</v>
      </c>
      <c r="F835" s="353" t="s">
        <v>66</v>
      </c>
      <c r="G835" s="353">
        <v>26</v>
      </c>
    </row>
    <row r="836" spans="1:7" x14ac:dyDescent="0.3">
      <c r="A836" s="350" t="s">
        <v>147</v>
      </c>
      <c r="B836" s="350" t="s">
        <v>77</v>
      </c>
      <c r="C836" s="350">
        <v>2015</v>
      </c>
      <c r="D836" s="350" t="s">
        <v>65</v>
      </c>
      <c r="E836" s="350">
        <v>5500</v>
      </c>
      <c r="F836" s="353" t="s">
        <v>66</v>
      </c>
      <c r="G836" s="353">
        <v>13</v>
      </c>
    </row>
    <row r="837" spans="1:7" x14ac:dyDescent="0.3">
      <c r="A837" s="350" t="s">
        <v>147</v>
      </c>
      <c r="B837" s="350" t="s">
        <v>77</v>
      </c>
      <c r="C837" s="350">
        <v>2014</v>
      </c>
      <c r="D837" s="350" t="s">
        <v>65</v>
      </c>
      <c r="E837" s="350">
        <v>5500</v>
      </c>
      <c r="F837" s="353" t="s">
        <v>66</v>
      </c>
      <c r="G837" s="353">
        <v>13</v>
      </c>
    </row>
    <row r="838" spans="1:7" x14ac:dyDescent="0.3">
      <c r="A838" s="350" t="s">
        <v>147</v>
      </c>
      <c r="B838" s="350" t="s">
        <v>76</v>
      </c>
      <c r="C838" s="350">
        <v>2021</v>
      </c>
      <c r="D838" s="350" t="s">
        <v>65</v>
      </c>
      <c r="E838" s="350">
        <v>5300</v>
      </c>
      <c r="F838" s="353" t="s">
        <v>66</v>
      </c>
      <c r="G838" s="353">
        <v>14</v>
      </c>
    </row>
    <row r="839" spans="1:7" x14ac:dyDescent="0.3">
      <c r="A839" s="350" t="s">
        <v>147</v>
      </c>
      <c r="B839" s="350" t="s">
        <v>76</v>
      </c>
      <c r="C839" s="350">
        <v>2020</v>
      </c>
      <c r="D839" s="350" t="s">
        <v>65</v>
      </c>
      <c r="E839" s="350">
        <v>5300</v>
      </c>
      <c r="F839" s="353" t="s">
        <v>66</v>
      </c>
      <c r="G839" s="353">
        <v>11</v>
      </c>
    </row>
    <row r="840" spans="1:7" x14ac:dyDescent="0.3">
      <c r="A840" s="350" t="s">
        <v>147</v>
      </c>
      <c r="B840" s="350" t="s">
        <v>76</v>
      </c>
      <c r="C840" s="350">
        <v>2019</v>
      </c>
      <c r="D840" s="350" t="s">
        <v>65</v>
      </c>
      <c r="E840" s="350">
        <v>5300</v>
      </c>
      <c r="F840" s="353" t="s">
        <v>66</v>
      </c>
      <c r="G840" s="353">
        <v>9</v>
      </c>
    </row>
    <row r="841" spans="1:7" x14ac:dyDescent="0.3">
      <c r="A841" s="350" t="s">
        <v>147</v>
      </c>
      <c r="B841" s="350" t="s">
        <v>76</v>
      </c>
      <c r="C841" s="350">
        <v>2018</v>
      </c>
      <c r="D841" s="350" t="s">
        <v>65</v>
      </c>
      <c r="E841" s="350">
        <v>5300</v>
      </c>
      <c r="F841" s="353" t="s">
        <v>66</v>
      </c>
      <c r="G841" s="353">
        <v>17</v>
      </c>
    </row>
    <row r="842" spans="1:7" x14ac:dyDescent="0.3">
      <c r="A842" s="350" t="s">
        <v>147</v>
      </c>
      <c r="B842" s="350" t="s">
        <v>76</v>
      </c>
      <c r="C842" s="350">
        <v>2017</v>
      </c>
      <c r="D842" s="350" t="s">
        <v>65</v>
      </c>
      <c r="E842" s="350">
        <v>5300</v>
      </c>
      <c r="F842" s="353" t="s">
        <v>66</v>
      </c>
      <c r="G842" s="353">
        <v>13</v>
      </c>
    </row>
    <row r="843" spans="1:7" x14ac:dyDescent="0.3">
      <c r="A843" s="350" t="s">
        <v>147</v>
      </c>
      <c r="B843" s="350" t="s">
        <v>76</v>
      </c>
      <c r="C843" s="350">
        <v>2016</v>
      </c>
      <c r="D843" s="350" t="s">
        <v>65</v>
      </c>
      <c r="E843" s="350">
        <v>5300</v>
      </c>
      <c r="F843" s="353" t="s">
        <v>66</v>
      </c>
      <c r="G843" s="353">
        <v>14</v>
      </c>
    </row>
    <row r="844" spans="1:7" x14ac:dyDescent="0.3">
      <c r="A844" s="350" t="s">
        <v>147</v>
      </c>
      <c r="B844" s="350" t="s">
        <v>76</v>
      </c>
      <c r="C844" s="350">
        <v>2015</v>
      </c>
      <c r="D844" s="350" t="s">
        <v>65</v>
      </c>
      <c r="E844" s="350">
        <v>5300</v>
      </c>
      <c r="F844" s="353" t="s">
        <v>66</v>
      </c>
      <c r="G844" s="353">
        <v>17</v>
      </c>
    </row>
    <row r="845" spans="1:7" x14ac:dyDescent="0.3">
      <c r="A845" s="350" t="s">
        <v>147</v>
      </c>
      <c r="B845" s="350" t="s">
        <v>76</v>
      </c>
      <c r="C845" s="350">
        <v>2014</v>
      </c>
      <c r="D845" s="350" t="s">
        <v>65</v>
      </c>
      <c r="E845" s="350">
        <v>5300</v>
      </c>
      <c r="F845" s="353" t="s">
        <v>66</v>
      </c>
      <c r="G845" s="353">
        <v>8</v>
      </c>
    </row>
    <row r="846" spans="1:7" x14ac:dyDescent="0.3">
      <c r="A846" s="350" t="s">
        <v>147</v>
      </c>
      <c r="B846" s="350" t="s">
        <v>251</v>
      </c>
      <c r="C846" s="350">
        <v>2021</v>
      </c>
      <c r="D846" s="350" t="s">
        <v>65</v>
      </c>
      <c r="E846" s="350">
        <v>5200</v>
      </c>
      <c r="F846" s="353" t="s">
        <v>66</v>
      </c>
      <c r="G846" s="353">
        <v>9</v>
      </c>
    </row>
    <row r="847" spans="1:7" x14ac:dyDescent="0.3">
      <c r="A847" s="350" t="s">
        <v>147</v>
      </c>
      <c r="B847" s="350" t="s">
        <v>251</v>
      </c>
      <c r="C847" s="350">
        <v>2020</v>
      </c>
      <c r="D847" s="350" t="s">
        <v>65</v>
      </c>
      <c r="E847" s="350">
        <v>5200</v>
      </c>
      <c r="F847" s="353" t="s">
        <v>66</v>
      </c>
      <c r="G847" s="353">
        <v>4</v>
      </c>
    </row>
    <row r="848" spans="1:7" x14ac:dyDescent="0.3">
      <c r="A848" s="350" t="s">
        <v>147</v>
      </c>
      <c r="B848" s="350" t="s">
        <v>251</v>
      </c>
      <c r="C848" s="350">
        <v>2019</v>
      </c>
      <c r="D848" s="350" t="s">
        <v>65</v>
      </c>
      <c r="E848" s="350">
        <v>5200</v>
      </c>
      <c r="F848" s="353" t="s">
        <v>66</v>
      </c>
      <c r="G848" s="353">
        <v>11</v>
      </c>
    </row>
    <row r="849" spans="1:7" x14ac:dyDescent="0.3">
      <c r="A849" s="350" t="s">
        <v>147</v>
      </c>
      <c r="B849" s="350" t="s">
        <v>251</v>
      </c>
      <c r="C849" s="350">
        <v>2018</v>
      </c>
      <c r="D849" s="350" t="s">
        <v>65</v>
      </c>
      <c r="E849" s="350">
        <v>5200</v>
      </c>
      <c r="F849" s="353" t="s">
        <v>66</v>
      </c>
      <c r="G849" s="353">
        <v>9</v>
      </c>
    </row>
    <row r="850" spans="1:7" x14ac:dyDescent="0.3">
      <c r="A850" s="350" t="s">
        <v>147</v>
      </c>
      <c r="B850" s="350" t="s">
        <v>251</v>
      </c>
      <c r="C850" s="350">
        <v>2017</v>
      </c>
      <c r="D850" s="350" t="s">
        <v>65</v>
      </c>
      <c r="E850" s="350">
        <v>5200</v>
      </c>
      <c r="F850" s="353" t="s">
        <v>66</v>
      </c>
      <c r="G850" s="353">
        <v>2</v>
      </c>
    </row>
    <row r="851" spans="1:7" x14ac:dyDescent="0.3">
      <c r="A851" s="350" t="s">
        <v>147</v>
      </c>
      <c r="B851" s="350" t="s">
        <v>251</v>
      </c>
      <c r="C851" s="350">
        <v>2016</v>
      </c>
      <c r="D851" s="350" t="s">
        <v>65</v>
      </c>
      <c r="E851" s="350">
        <v>5200</v>
      </c>
      <c r="F851" s="353" t="s">
        <v>66</v>
      </c>
      <c r="G851" s="353">
        <v>26</v>
      </c>
    </row>
    <row r="852" spans="1:7" x14ac:dyDescent="0.3">
      <c r="A852" s="350" t="s">
        <v>147</v>
      </c>
      <c r="B852" s="350" t="s">
        <v>251</v>
      </c>
      <c r="C852" s="350">
        <v>2015</v>
      </c>
      <c r="D852" s="350" t="s">
        <v>65</v>
      </c>
      <c r="E852" s="350">
        <v>5200</v>
      </c>
      <c r="F852" s="353" t="s">
        <v>66</v>
      </c>
      <c r="G852" s="353">
        <v>3</v>
      </c>
    </row>
    <row r="853" spans="1:7" x14ac:dyDescent="0.3">
      <c r="A853" s="350" t="s">
        <v>147</v>
      </c>
      <c r="B853" s="350" t="s">
        <v>251</v>
      </c>
      <c r="C853" s="350">
        <v>2014</v>
      </c>
      <c r="D853" s="350" t="s">
        <v>65</v>
      </c>
      <c r="E853" s="350">
        <v>5200</v>
      </c>
      <c r="F853" s="353" t="s">
        <v>66</v>
      </c>
      <c r="G853" s="353">
        <v>2</v>
      </c>
    </row>
    <row r="854" spans="1:7" x14ac:dyDescent="0.3">
      <c r="A854" s="350" t="s">
        <v>147</v>
      </c>
      <c r="B854" s="350" t="s">
        <v>192</v>
      </c>
      <c r="C854" s="350">
        <v>2021</v>
      </c>
      <c r="D854" s="350" t="s">
        <v>65</v>
      </c>
      <c r="E854" s="350">
        <v>4850</v>
      </c>
      <c r="F854" s="353" t="s">
        <v>66</v>
      </c>
      <c r="G854" s="353">
        <v>1</v>
      </c>
    </row>
    <row r="855" spans="1:7" x14ac:dyDescent="0.3">
      <c r="A855" s="350" t="s">
        <v>147</v>
      </c>
      <c r="B855" s="350" t="s">
        <v>192</v>
      </c>
      <c r="C855" s="350">
        <v>2020</v>
      </c>
      <c r="D855" s="350" t="s">
        <v>65</v>
      </c>
      <c r="E855" s="350">
        <v>4850</v>
      </c>
      <c r="F855" s="353" t="s">
        <v>66</v>
      </c>
      <c r="G855" s="353">
        <v>2</v>
      </c>
    </row>
    <row r="856" spans="1:7" x14ac:dyDescent="0.3">
      <c r="A856" s="350" t="s">
        <v>147</v>
      </c>
      <c r="B856" s="350" t="s">
        <v>192</v>
      </c>
      <c r="C856" s="350">
        <v>2019</v>
      </c>
      <c r="D856" s="350" t="s">
        <v>65</v>
      </c>
      <c r="E856" s="350">
        <v>4850</v>
      </c>
      <c r="F856" s="353" t="s">
        <v>66</v>
      </c>
      <c r="G856" s="353">
        <v>3</v>
      </c>
    </row>
    <row r="857" spans="1:7" x14ac:dyDescent="0.3">
      <c r="A857" s="350" t="s">
        <v>147</v>
      </c>
      <c r="B857" s="350" t="s">
        <v>192</v>
      </c>
      <c r="C857" s="350">
        <v>2018</v>
      </c>
      <c r="D857" s="350" t="s">
        <v>65</v>
      </c>
      <c r="E857" s="350">
        <v>4850</v>
      </c>
      <c r="F857" s="353" t="s">
        <v>66</v>
      </c>
      <c r="G857" s="353">
        <v>1</v>
      </c>
    </row>
    <row r="858" spans="1:7" x14ac:dyDescent="0.3">
      <c r="A858" s="350" t="s">
        <v>147</v>
      </c>
      <c r="B858" s="350" t="s">
        <v>192</v>
      </c>
      <c r="C858" s="350">
        <v>2017</v>
      </c>
      <c r="D858" s="350" t="s">
        <v>65</v>
      </c>
      <c r="E858" s="350">
        <v>4850</v>
      </c>
      <c r="F858" s="353" t="s">
        <v>66</v>
      </c>
      <c r="G858" s="353">
        <v>1</v>
      </c>
    </row>
    <row r="859" spans="1:7" x14ac:dyDescent="0.3">
      <c r="A859" s="350" t="s">
        <v>147</v>
      </c>
      <c r="B859" s="350" t="s">
        <v>192</v>
      </c>
      <c r="C859" s="350">
        <v>2016</v>
      </c>
      <c r="D859" s="350" t="s">
        <v>65</v>
      </c>
      <c r="E859" s="350">
        <v>4850</v>
      </c>
      <c r="F859" s="353" t="s">
        <v>66</v>
      </c>
      <c r="G859" s="353">
        <v>6</v>
      </c>
    </row>
    <row r="860" spans="1:7" x14ac:dyDescent="0.3">
      <c r="A860" s="350" t="s">
        <v>147</v>
      </c>
      <c r="B860" s="350" t="s">
        <v>192</v>
      </c>
      <c r="C860" s="350">
        <v>2015</v>
      </c>
      <c r="D860" s="350" t="s">
        <v>65</v>
      </c>
      <c r="E860" s="350">
        <v>4850</v>
      </c>
      <c r="F860" s="353" t="s">
        <v>66</v>
      </c>
      <c r="G860" s="353">
        <v>1</v>
      </c>
    </row>
    <row r="861" spans="1:7" x14ac:dyDescent="0.3">
      <c r="A861" s="350" t="s">
        <v>147</v>
      </c>
      <c r="B861" s="350" t="s">
        <v>192</v>
      </c>
      <c r="C861" s="350">
        <v>2014</v>
      </c>
      <c r="D861" s="350" t="s">
        <v>65</v>
      </c>
      <c r="E861" s="350">
        <v>4850</v>
      </c>
      <c r="F861" s="353" t="s">
        <v>66</v>
      </c>
      <c r="G861" s="353">
        <v>1</v>
      </c>
    </row>
    <row r="862" spans="1:7" x14ac:dyDescent="0.3">
      <c r="A862" s="350" t="s">
        <v>147</v>
      </c>
      <c r="B862" s="350" t="s">
        <v>130</v>
      </c>
      <c r="C862" s="350">
        <v>2021</v>
      </c>
      <c r="D862" s="350" t="s">
        <v>65</v>
      </c>
      <c r="E862" s="350">
        <v>4850</v>
      </c>
      <c r="F862" s="353" t="s">
        <v>66</v>
      </c>
      <c r="G862" s="353">
        <v>58</v>
      </c>
    </row>
    <row r="863" spans="1:7" x14ac:dyDescent="0.3">
      <c r="A863" s="350" t="s">
        <v>147</v>
      </c>
      <c r="B863" s="350" t="s">
        <v>130</v>
      </c>
      <c r="C863" s="350">
        <v>2020</v>
      </c>
      <c r="D863" s="350" t="s">
        <v>65</v>
      </c>
      <c r="E863" s="350">
        <v>4850</v>
      </c>
      <c r="F863" s="353" t="s">
        <v>66</v>
      </c>
      <c r="G863" s="353">
        <v>58</v>
      </c>
    </row>
    <row r="864" spans="1:7" x14ac:dyDescent="0.3">
      <c r="A864" s="350" t="s">
        <v>147</v>
      </c>
      <c r="B864" s="350" t="s">
        <v>130</v>
      </c>
      <c r="C864" s="350">
        <v>2019</v>
      </c>
      <c r="D864" s="350" t="s">
        <v>65</v>
      </c>
      <c r="E864" s="350">
        <v>4850</v>
      </c>
      <c r="F864" s="353" t="s">
        <v>66</v>
      </c>
      <c r="G864" s="353">
        <v>83</v>
      </c>
    </row>
    <row r="865" spans="1:7" x14ac:dyDescent="0.3">
      <c r="A865" s="350" t="s">
        <v>147</v>
      </c>
      <c r="B865" s="350" t="s">
        <v>130</v>
      </c>
      <c r="C865" s="350">
        <v>2018</v>
      </c>
      <c r="D865" s="350" t="s">
        <v>65</v>
      </c>
      <c r="E865" s="350">
        <v>4850</v>
      </c>
      <c r="F865" s="353" t="s">
        <v>66</v>
      </c>
      <c r="G865" s="353">
        <v>68</v>
      </c>
    </row>
    <row r="866" spans="1:7" x14ac:dyDescent="0.3">
      <c r="A866" s="350" t="s">
        <v>147</v>
      </c>
      <c r="B866" s="350" t="s">
        <v>130</v>
      </c>
      <c r="C866" s="350">
        <v>2017</v>
      </c>
      <c r="D866" s="350" t="s">
        <v>65</v>
      </c>
      <c r="E866" s="350">
        <v>4850</v>
      </c>
      <c r="F866" s="353" t="s">
        <v>66</v>
      </c>
      <c r="G866" s="353">
        <v>72</v>
      </c>
    </row>
    <row r="867" spans="1:7" x14ac:dyDescent="0.3">
      <c r="A867" s="350" t="s">
        <v>147</v>
      </c>
      <c r="B867" s="350" t="s">
        <v>130</v>
      </c>
      <c r="C867" s="350">
        <v>2016</v>
      </c>
      <c r="D867" s="350" t="s">
        <v>65</v>
      </c>
      <c r="E867" s="350">
        <v>4850</v>
      </c>
      <c r="F867" s="353" t="s">
        <v>66</v>
      </c>
      <c r="G867" s="353">
        <v>65</v>
      </c>
    </row>
    <row r="868" spans="1:7" x14ac:dyDescent="0.3">
      <c r="A868" s="350" t="s">
        <v>147</v>
      </c>
      <c r="B868" s="350" t="s">
        <v>130</v>
      </c>
      <c r="C868" s="350">
        <v>2015</v>
      </c>
      <c r="D868" s="350" t="s">
        <v>65</v>
      </c>
      <c r="E868" s="350">
        <v>4850</v>
      </c>
      <c r="F868" s="353" t="s">
        <v>66</v>
      </c>
      <c r="G868" s="353">
        <v>53</v>
      </c>
    </row>
    <row r="869" spans="1:7" x14ac:dyDescent="0.3">
      <c r="A869" s="350" t="s">
        <v>147</v>
      </c>
      <c r="B869" s="350" t="s">
        <v>130</v>
      </c>
      <c r="C869" s="350">
        <v>2014</v>
      </c>
      <c r="D869" s="350" t="s">
        <v>65</v>
      </c>
      <c r="E869" s="350">
        <v>4850</v>
      </c>
      <c r="F869" s="353" t="s">
        <v>66</v>
      </c>
      <c r="G869" s="353">
        <v>20</v>
      </c>
    </row>
    <row r="870" spans="1:7" x14ac:dyDescent="0.3">
      <c r="A870" s="350" t="s">
        <v>147</v>
      </c>
      <c r="B870" s="350" t="s">
        <v>136</v>
      </c>
      <c r="C870" s="350">
        <v>2021</v>
      </c>
      <c r="D870" s="350" t="s">
        <v>65</v>
      </c>
      <c r="E870" s="350">
        <v>4629</v>
      </c>
      <c r="F870" s="353" t="s">
        <v>66</v>
      </c>
      <c r="G870" s="353">
        <v>4</v>
      </c>
    </row>
    <row r="871" spans="1:7" x14ac:dyDescent="0.3">
      <c r="A871" s="350" t="s">
        <v>147</v>
      </c>
      <c r="B871" s="350" t="s">
        <v>136</v>
      </c>
      <c r="C871" s="350">
        <v>2020</v>
      </c>
      <c r="D871" s="350" t="s">
        <v>65</v>
      </c>
      <c r="E871" s="350">
        <v>4629</v>
      </c>
      <c r="F871" s="353" t="s">
        <v>66</v>
      </c>
      <c r="G871" s="353">
        <v>5</v>
      </c>
    </row>
    <row r="872" spans="1:7" x14ac:dyDescent="0.3">
      <c r="A872" s="350" t="s">
        <v>147</v>
      </c>
      <c r="B872" s="350" t="s">
        <v>136</v>
      </c>
      <c r="C872" s="350">
        <v>2019</v>
      </c>
      <c r="D872" s="350" t="s">
        <v>65</v>
      </c>
      <c r="E872" s="350">
        <v>4629</v>
      </c>
      <c r="F872" s="353" t="s">
        <v>66</v>
      </c>
      <c r="G872" s="353">
        <v>4</v>
      </c>
    </row>
    <row r="873" spans="1:7" x14ac:dyDescent="0.3">
      <c r="A873" s="350" t="s">
        <v>147</v>
      </c>
      <c r="B873" s="350" t="s">
        <v>136</v>
      </c>
      <c r="C873" s="350">
        <v>2018</v>
      </c>
      <c r="D873" s="350" t="s">
        <v>65</v>
      </c>
      <c r="E873" s="350">
        <v>4629</v>
      </c>
      <c r="F873" s="353" t="s">
        <v>66</v>
      </c>
      <c r="G873" s="353">
        <v>4</v>
      </c>
    </row>
    <row r="874" spans="1:7" x14ac:dyDescent="0.3">
      <c r="A874" s="350" t="s">
        <v>147</v>
      </c>
      <c r="B874" s="350" t="s">
        <v>136</v>
      </c>
      <c r="C874" s="350">
        <v>2017</v>
      </c>
      <c r="D874" s="350" t="s">
        <v>65</v>
      </c>
      <c r="E874" s="350">
        <v>4629</v>
      </c>
      <c r="F874" s="353" t="s">
        <v>66</v>
      </c>
      <c r="G874" s="353">
        <v>14</v>
      </c>
    </row>
    <row r="875" spans="1:7" x14ac:dyDescent="0.3">
      <c r="A875" s="350" t="s">
        <v>147</v>
      </c>
      <c r="B875" s="350" t="s">
        <v>136</v>
      </c>
      <c r="C875" s="350">
        <v>2016</v>
      </c>
      <c r="D875" s="350" t="s">
        <v>65</v>
      </c>
      <c r="E875" s="350">
        <v>4629</v>
      </c>
      <c r="F875" s="353" t="s">
        <v>66</v>
      </c>
      <c r="G875" s="353">
        <v>4</v>
      </c>
    </row>
    <row r="876" spans="1:7" x14ac:dyDescent="0.3">
      <c r="A876" s="350" t="s">
        <v>147</v>
      </c>
      <c r="B876" s="350" t="s">
        <v>136</v>
      </c>
      <c r="C876" s="350">
        <v>2015</v>
      </c>
      <c r="D876" s="350" t="s">
        <v>65</v>
      </c>
      <c r="E876" s="350">
        <v>4629</v>
      </c>
      <c r="F876" s="353" t="s">
        <v>66</v>
      </c>
      <c r="G876" s="353">
        <v>8</v>
      </c>
    </row>
    <row r="877" spans="1:7" x14ac:dyDescent="0.3">
      <c r="A877" s="350" t="s">
        <v>147</v>
      </c>
      <c r="B877" s="350" t="s">
        <v>136</v>
      </c>
      <c r="C877" s="350">
        <v>2014</v>
      </c>
      <c r="D877" s="350" t="s">
        <v>65</v>
      </c>
      <c r="E877" s="350">
        <v>4629</v>
      </c>
      <c r="F877" s="353" t="s">
        <v>66</v>
      </c>
      <c r="G877" s="353">
        <v>7</v>
      </c>
    </row>
    <row r="878" spans="1:7" x14ac:dyDescent="0.3">
      <c r="A878" s="350" t="s">
        <v>147</v>
      </c>
      <c r="B878" s="350" t="s">
        <v>96</v>
      </c>
      <c r="C878" s="350">
        <v>2021</v>
      </c>
      <c r="D878" s="350" t="s">
        <v>65</v>
      </c>
      <c r="E878" s="350">
        <v>4600</v>
      </c>
      <c r="F878" s="353" t="s">
        <v>66</v>
      </c>
      <c r="G878" s="353">
        <v>18</v>
      </c>
    </row>
    <row r="879" spans="1:7" x14ac:dyDescent="0.3">
      <c r="A879" s="350" t="s">
        <v>147</v>
      </c>
      <c r="B879" s="350" t="s">
        <v>96</v>
      </c>
      <c r="C879" s="350">
        <v>2020</v>
      </c>
      <c r="D879" s="350" t="s">
        <v>65</v>
      </c>
      <c r="E879" s="350">
        <v>4600</v>
      </c>
      <c r="F879" s="353" t="s">
        <v>66</v>
      </c>
      <c r="G879" s="353">
        <v>7</v>
      </c>
    </row>
    <row r="880" spans="1:7" x14ac:dyDescent="0.3">
      <c r="A880" s="350" t="s">
        <v>147</v>
      </c>
      <c r="B880" s="350" t="s">
        <v>96</v>
      </c>
      <c r="C880" s="350">
        <v>2019</v>
      </c>
      <c r="D880" s="350" t="s">
        <v>65</v>
      </c>
      <c r="E880" s="350">
        <v>4600</v>
      </c>
      <c r="F880" s="353" t="s">
        <v>66</v>
      </c>
      <c r="G880" s="353">
        <v>4</v>
      </c>
    </row>
    <row r="881" spans="1:7" x14ac:dyDescent="0.3">
      <c r="A881" s="350" t="s">
        <v>147</v>
      </c>
      <c r="B881" s="350" t="s">
        <v>96</v>
      </c>
      <c r="C881" s="350">
        <v>2018</v>
      </c>
      <c r="D881" s="350" t="s">
        <v>65</v>
      </c>
      <c r="E881" s="350">
        <v>4600</v>
      </c>
      <c r="F881" s="353" t="s">
        <v>66</v>
      </c>
      <c r="G881" s="353">
        <v>26</v>
      </c>
    </row>
    <row r="882" spans="1:7" x14ac:dyDescent="0.3">
      <c r="A882" s="350" t="s">
        <v>147</v>
      </c>
      <c r="B882" s="350" t="s">
        <v>96</v>
      </c>
      <c r="C882" s="350">
        <v>2017</v>
      </c>
      <c r="D882" s="350" t="s">
        <v>65</v>
      </c>
      <c r="E882" s="350">
        <v>4600</v>
      </c>
      <c r="F882" s="353" t="s">
        <v>66</v>
      </c>
      <c r="G882" s="353">
        <v>21</v>
      </c>
    </row>
    <row r="883" spans="1:7" x14ac:dyDescent="0.3">
      <c r="A883" s="350" t="s">
        <v>147</v>
      </c>
      <c r="B883" s="350" t="s">
        <v>96</v>
      </c>
      <c r="C883" s="350">
        <v>2016</v>
      </c>
      <c r="D883" s="350" t="s">
        <v>65</v>
      </c>
      <c r="E883" s="350">
        <v>4600</v>
      </c>
      <c r="F883" s="353" t="s">
        <v>66</v>
      </c>
      <c r="G883" s="353">
        <v>27</v>
      </c>
    </row>
    <row r="884" spans="1:7" x14ac:dyDescent="0.3">
      <c r="A884" s="350" t="s">
        <v>147</v>
      </c>
      <c r="B884" s="350" t="s">
        <v>96</v>
      </c>
      <c r="C884" s="350">
        <v>2015</v>
      </c>
      <c r="D884" s="350" t="s">
        <v>65</v>
      </c>
      <c r="E884" s="350">
        <v>4600</v>
      </c>
      <c r="F884" s="353" t="s">
        <v>66</v>
      </c>
      <c r="G884" s="353">
        <v>37</v>
      </c>
    </row>
    <row r="885" spans="1:7" x14ac:dyDescent="0.3">
      <c r="A885" s="350" t="s">
        <v>147</v>
      </c>
      <c r="B885" s="350" t="s">
        <v>96</v>
      </c>
      <c r="C885" s="350">
        <v>2014</v>
      </c>
      <c r="D885" s="350" t="s">
        <v>65</v>
      </c>
      <c r="E885" s="350">
        <v>4600</v>
      </c>
      <c r="F885" s="353" t="s">
        <v>66</v>
      </c>
      <c r="G885" s="353">
        <v>15</v>
      </c>
    </row>
    <row r="886" spans="1:7" x14ac:dyDescent="0.3">
      <c r="A886" s="350" t="s">
        <v>147</v>
      </c>
      <c r="B886" s="350" t="s">
        <v>113</v>
      </c>
      <c r="C886" s="350">
        <v>2020</v>
      </c>
      <c r="D886" s="350" t="s">
        <v>65</v>
      </c>
      <c r="E886" s="350">
        <v>4407</v>
      </c>
      <c r="F886" s="353" t="s">
        <v>66</v>
      </c>
      <c r="G886" s="353">
        <v>3</v>
      </c>
    </row>
    <row r="887" spans="1:7" x14ac:dyDescent="0.3">
      <c r="A887" s="350" t="s">
        <v>147</v>
      </c>
      <c r="B887" s="350" t="s">
        <v>113</v>
      </c>
      <c r="C887" s="350">
        <v>2019</v>
      </c>
      <c r="D887" s="350" t="s">
        <v>65</v>
      </c>
      <c r="E887" s="350">
        <v>4407</v>
      </c>
      <c r="F887" s="353" t="s">
        <v>66</v>
      </c>
      <c r="G887" s="353">
        <v>1</v>
      </c>
    </row>
    <row r="888" spans="1:7" x14ac:dyDescent="0.3">
      <c r="A888" s="350" t="s">
        <v>147</v>
      </c>
      <c r="B888" s="350" t="s">
        <v>113</v>
      </c>
      <c r="C888" s="350">
        <v>2018</v>
      </c>
      <c r="D888" s="350" t="s">
        <v>65</v>
      </c>
      <c r="E888" s="350">
        <v>4407</v>
      </c>
      <c r="F888" s="353" t="s">
        <v>66</v>
      </c>
      <c r="G888" s="353">
        <v>1</v>
      </c>
    </row>
    <row r="889" spans="1:7" x14ac:dyDescent="0.3">
      <c r="A889" s="350" t="s">
        <v>147</v>
      </c>
      <c r="B889" s="350" t="s">
        <v>113</v>
      </c>
      <c r="C889" s="350">
        <v>2017</v>
      </c>
      <c r="D889" s="350" t="s">
        <v>65</v>
      </c>
      <c r="E889" s="350">
        <v>4407</v>
      </c>
      <c r="F889" s="353" t="s">
        <v>66</v>
      </c>
      <c r="G889" s="353">
        <v>9</v>
      </c>
    </row>
    <row r="890" spans="1:7" x14ac:dyDescent="0.3">
      <c r="A890" s="350" t="s">
        <v>147</v>
      </c>
      <c r="B890" s="350" t="s">
        <v>113</v>
      </c>
      <c r="C890" s="350">
        <v>2016</v>
      </c>
      <c r="D890" s="350" t="s">
        <v>65</v>
      </c>
      <c r="E890" s="350">
        <v>4407</v>
      </c>
      <c r="F890" s="353" t="s">
        <v>66</v>
      </c>
      <c r="G890" s="353">
        <v>3</v>
      </c>
    </row>
    <row r="891" spans="1:7" x14ac:dyDescent="0.3">
      <c r="A891" s="350" t="s">
        <v>147</v>
      </c>
      <c r="B891" s="350" t="s">
        <v>113</v>
      </c>
      <c r="C891" s="350">
        <v>2015</v>
      </c>
      <c r="D891" s="350" t="s">
        <v>65</v>
      </c>
      <c r="E891" s="350">
        <v>4407</v>
      </c>
      <c r="F891" s="353" t="s">
        <v>66</v>
      </c>
      <c r="G891" s="353">
        <v>1</v>
      </c>
    </row>
    <row r="892" spans="1:7" x14ac:dyDescent="0.3">
      <c r="A892" s="350" t="s">
        <v>147</v>
      </c>
      <c r="B892" s="350" t="s">
        <v>266</v>
      </c>
      <c r="C892" s="350">
        <v>2021</v>
      </c>
      <c r="D892" s="350" t="s">
        <v>65</v>
      </c>
      <c r="E892" s="350">
        <v>4300</v>
      </c>
      <c r="F892" s="353" t="s">
        <v>66</v>
      </c>
      <c r="G892" s="353">
        <v>1</v>
      </c>
    </row>
    <row r="893" spans="1:7" x14ac:dyDescent="0.3">
      <c r="A893" s="350" t="s">
        <v>147</v>
      </c>
      <c r="B893" s="350" t="s">
        <v>266</v>
      </c>
      <c r="C893" s="350">
        <v>2019</v>
      </c>
      <c r="D893" s="350" t="s">
        <v>65</v>
      </c>
      <c r="E893" s="350">
        <v>4300</v>
      </c>
      <c r="F893" s="353" t="s">
        <v>66</v>
      </c>
      <c r="G893" s="353">
        <v>1</v>
      </c>
    </row>
    <row r="894" spans="1:7" x14ac:dyDescent="0.3">
      <c r="A894" s="350" t="s">
        <v>147</v>
      </c>
      <c r="B894" s="350" t="s">
        <v>266</v>
      </c>
      <c r="C894" s="350">
        <v>2014</v>
      </c>
      <c r="D894" s="350" t="s">
        <v>65</v>
      </c>
      <c r="E894" s="350">
        <v>4300</v>
      </c>
      <c r="F894" s="353" t="s">
        <v>66</v>
      </c>
      <c r="G894" s="353">
        <v>1</v>
      </c>
    </row>
    <row r="895" spans="1:7" x14ac:dyDescent="0.3">
      <c r="A895" s="350" t="s">
        <v>147</v>
      </c>
      <c r="B895" s="350" t="s">
        <v>137</v>
      </c>
      <c r="C895" s="350">
        <v>2021</v>
      </c>
      <c r="D895" s="350" t="s">
        <v>65</v>
      </c>
      <c r="E895" s="350">
        <v>4299</v>
      </c>
      <c r="F895" s="353" t="s">
        <v>66</v>
      </c>
      <c r="G895" s="353">
        <v>29</v>
      </c>
    </row>
    <row r="896" spans="1:7" x14ac:dyDescent="0.3">
      <c r="A896" s="350" t="s">
        <v>147</v>
      </c>
      <c r="B896" s="350" t="s">
        <v>137</v>
      </c>
      <c r="C896" s="350">
        <v>2020</v>
      </c>
      <c r="D896" s="350" t="s">
        <v>65</v>
      </c>
      <c r="E896" s="350">
        <v>4299</v>
      </c>
      <c r="F896" s="353" t="s">
        <v>66</v>
      </c>
      <c r="G896" s="353">
        <v>41</v>
      </c>
    </row>
    <row r="897" spans="1:7" x14ac:dyDescent="0.3">
      <c r="A897" s="350" t="s">
        <v>147</v>
      </c>
      <c r="B897" s="350" t="s">
        <v>137</v>
      </c>
      <c r="C897" s="350">
        <v>2019</v>
      </c>
      <c r="D897" s="350" t="s">
        <v>65</v>
      </c>
      <c r="E897" s="350">
        <v>4299</v>
      </c>
      <c r="F897" s="353" t="s">
        <v>66</v>
      </c>
      <c r="G897" s="353">
        <v>18</v>
      </c>
    </row>
    <row r="898" spans="1:7" x14ac:dyDescent="0.3">
      <c r="A898" s="350" t="s">
        <v>147</v>
      </c>
      <c r="B898" s="350" t="s">
        <v>137</v>
      </c>
      <c r="C898" s="350">
        <v>2018</v>
      </c>
      <c r="D898" s="350" t="s">
        <v>65</v>
      </c>
      <c r="E898" s="350">
        <v>4299</v>
      </c>
      <c r="F898" s="353" t="s">
        <v>66</v>
      </c>
      <c r="G898" s="353">
        <v>31</v>
      </c>
    </row>
    <row r="899" spans="1:7" x14ac:dyDescent="0.3">
      <c r="A899" s="350" t="s">
        <v>147</v>
      </c>
      <c r="B899" s="350" t="s">
        <v>137</v>
      </c>
      <c r="C899" s="350">
        <v>2017</v>
      </c>
      <c r="D899" s="350" t="s">
        <v>65</v>
      </c>
      <c r="E899" s="350">
        <v>4299</v>
      </c>
      <c r="F899" s="353" t="s">
        <v>66</v>
      </c>
      <c r="G899" s="353">
        <v>57</v>
      </c>
    </row>
    <row r="900" spans="1:7" x14ac:dyDescent="0.3">
      <c r="A900" s="350" t="s">
        <v>147</v>
      </c>
      <c r="B900" s="350" t="s">
        <v>137</v>
      </c>
      <c r="C900" s="350">
        <v>2016</v>
      </c>
      <c r="D900" s="350" t="s">
        <v>65</v>
      </c>
      <c r="E900" s="350">
        <v>4299</v>
      </c>
      <c r="F900" s="353" t="s">
        <v>66</v>
      </c>
      <c r="G900" s="353">
        <v>50</v>
      </c>
    </row>
    <row r="901" spans="1:7" x14ac:dyDescent="0.3">
      <c r="A901" s="350" t="s">
        <v>147</v>
      </c>
      <c r="B901" s="350" t="s">
        <v>137</v>
      </c>
      <c r="C901" s="350">
        <v>2015</v>
      </c>
      <c r="D901" s="350" t="s">
        <v>65</v>
      </c>
      <c r="E901" s="350">
        <v>4299</v>
      </c>
      <c r="F901" s="353" t="s">
        <v>66</v>
      </c>
      <c r="G901" s="353">
        <v>42</v>
      </c>
    </row>
    <row r="902" spans="1:7" x14ac:dyDescent="0.3">
      <c r="A902" s="350" t="s">
        <v>147</v>
      </c>
      <c r="B902" s="350" t="s">
        <v>137</v>
      </c>
      <c r="C902" s="350">
        <v>2014</v>
      </c>
      <c r="D902" s="350" t="s">
        <v>65</v>
      </c>
      <c r="E902" s="350">
        <v>4299</v>
      </c>
      <c r="F902" s="353" t="s">
        <v>66</v>
      </c>
      <c r="G902" s="353">
        <v>29</v>
      </c>
    </row>
    <row r="903" spans="1:7" x14ac:dyDescent="0.3">
      <c r="A903" s="350" t="s">
        <v>147</v>
      </c>
      <c r="B903" s="350" t="s">
        <v>253</v>
      </c>
      <c r="C903" s="350">
        <v>2021</v>
      </c>
      <c r="D903" s="350" t="s">
        <v>65</v>
      </c>
      <c r="E903" s="350">
        <v>3798</v>
      </c>
      <c r="F903" s="353" t="s">
        <v>66</v>
      </c>
      <c r="G903" s="353">
        <v>28</v>
      </c>
    </row>
    <row r="904" spans="1:7" x14ac:dyDescent="0.3">
      <c r="A904" s="350" t="s">
        <v>147</v>
      </c>
      <c r="B904" s="350" t="s">
        <v>253</v>
      </c>
      <c r="C904" s="350">
        <v>2020</v>
      </c>
      <c r="D904" s="350" t="s">
        <v>65</v>
      </c>
      <c r="E904" s="350">
        <v>3798</v>
      </c>
      <c r="F904" s="353" t="s">
        <v>66</v>
      </c>
      <c r="G904" s="353">
        <v>20</v>
      </c>
    </row>
    <row r="905" spans="1:7" x14ac:dyDescent="0.3">
      <c r="A905" s="350" t="s">
        <v>147</v>
      </c>
      <c r="B905" s="350" t="s">
        <v>253</v>
      </c>
      <c r="C905" s="350">
        <v>2019</v>
      </c>
      <c r="D905" s="350" t="s">
        <v>65</v>
      </c>
      <c r="E905" s="350">
        <v>3798</v>
      </c>
      <c r="F905" s="353" t="s">
        <v>66</v>
      </c>
      <c r="G905" s="353">
        <v>20</v>
      </c>
    </row>
    <row r="906" spans="1:7" x14ac:dyDescent="0.3">
      <c r="A906" s="350" t="s">
        <v>147</v>
      </c>
      <c r="B906" s="350" t="s">
        <v>253</v>
      </c>
      <c r="C906" s="350">
        <v>2018</v>
      </c>
      <c r="D906" s="350" t="s">
        <v>65</v>
      </c>
      <c r="E906" s="350">
        <v>3798</v>
      </c>
      <c r="F906" s="353" t="s">
        <v>66</v>
      </c>
      <c r="G906" s="353">
        <v>12</v>
      </c>
    </row>
    <row r="907" spans="1:7" x14ac:dyDescent="0.3">
      <c r="A907" s="350" t="s">
        <v>147</v>
      </c>
      <c r="B907" s="350" t="s">
        <v>253</v>
      </c>
      <c r="C907" s="350">
        <v>2017</v>
      </c>
      <c r="D907" s="350" t="s">
        <v>65</v>
      </c>
      <c r="E907" s="350">
        <v>3798</v>
      </c>
      <c r="F907" s="353" t="s">
        <v>66</v>
      </c>
      <c r="G907" s="353">
        <v>21</v>
      </c>
    </row>
    <row r="908" spans="1:7" x14ac:dyDescent="0.3">
      <c r="A908" s="350" t="s">
        <v>147</v>
      </c>
      <c r="B908" s="350" t="s">
        <v>253</v>
      </c>
      <c r="C908" s="350">
        <v>2016</v>
      </c>
      <c r="D908" s="350" t="s">
        <v>65</v>
      </c>
      <c r="E908" s="350">
        <v>3798</v>
      </c>
      <c r="F908" s="353" t="s">
        <v>66</v>
      </c>
      <c r="G908" s="353">
        <v>20</v>
      </c>
    </row>
    <row r="909" spans="1:7" x14ac:dyDescent="0.3">
      <c r="A909" s="350" t="s">
        <v>147</v>
      </c>
      <c r="B909" s="350" t="s">
        <v>253</v>
      </c>
      <c r="C909" s="350">
        <v>2015</v>
      </c>
      <c r="D909" s="350" t="s">
        <v>65</v>
      </c>
      <c r="E909" s="350">
        <v>3798</v>
      </c>
      <c r="F909" s="353" t="s">
        <v>66</v>
      </c>
      <c r="G909" s="353">
        <v>27</v>
      </c>
    </row>
    <row r="910" spans="1:7" x14ac:dyDescent="0.3">
      <c r="A910" s="350" t="s">
        <v>147</v>
      </c>
      <c r="B910" s="350" t="s">
        <v>253</v>
      </c>
      <c r="C910" s="350">
        <v>2014</v>
      </c>
      <c r="D910" s="350" t="s">
        <v>65</v>
      </c>
      <c r="E910" s="350">
        <v>3798</v>
      </c>
      <c r="F910" s="353" t="s">
        <v>66</v>
      </c>
      <c r="G910" s="353">
        <v>15</v>
      </c>
    </row>
    <row r="911" spans="1:7" x14ac:dyDescent="0.3">
      <c r="A911" s="350" t="s">
        <v>147</v>
      </c>
      <c r="B911" s="350" t="s">
        <v>134</v>
      </c>
      <c r="C911" s="350">
        <v>2021</v>
      </c>
      <c r="D911" s="350" t="s">
        <v>65</v>
      </c>
      <c r="E911" s="350">
        <v>3725</v>
      </c>
      <c r="F911" s="353" t="s">
        <v>66</v>
      </c>
      <c r="G911" s="353">
        <v>5</v>
      </c>
    </row>
    <row r="912" spans="1:7" x14ac:dyDescent="0.3">
      <c r="A912" s="350" t="s">
        <v>147</v>
      </c>
      <c r="B912" s="350" t="s">
        <v>134</v>
      </c>
      <c r="C912" s="350">
        <v>2020</v>
      </c>
      <c r="D912" s="350" t="s">
        <v>65</v>
      </c>
      <c r="E912" s="350">
        <v>3725</v>
      </c>
      <c r="F912" s="353" t="s">
        <v>66</v>
      </c>
      <c r="G912" s="353">
        <v>3</v>
      </c>
    </row>
    <row r="913" spans="1:7" x14ac:dyDescent="0.3">
      <c r="A913" s="350" t="s">
        <v>147</v>
      </c>
      <c r="B913" s="350" t="s">
        <v>134</v>
      </c>
      <c r="C913" s="350">
        <v>2019</v>
      </c>
      <c r="D913" s="350" t="s">
        <v>65</v>
      </c>
      <c r="E913" s="350">
        <v>3725</v>
      </c>
      <c r="F913" s="353" t="s">
        <v>66</v>
      </c>
      <c r="G913" s="353">
        <v>23</v>
      </c>
    </row>
    <row r="914" spans="1:7" x14ac:dyDescent="0.3">
      <c r="A914" s="350" t="s">
        <v>147</v>
      </c>
      <c r="B914" s="350" t="s">
        <v>134</v>
      </c>
      <c r="C914" s="350">
        <v>2018</v>
      </c>
      <c r="D914" s="350" t="s">
        <v>65</v>
      </c>
      <c r="E914" s="350">
        <v>3725</v>
      </c>
      <c r="F914" s="353" t="s">
        <v>66</v>
      </c>
      <c r="G914" s="353">
        <v>19</v>
      </c>
    </row>
    <row r="915" spans="1:7" x14ac:dyDescent="0.3">
      <c r="A915" s="350" t="s">
        <v>147</v>
      </c>
      <c r="B915" s="350" t="s">
        <v>134</v>
      </c>
      <c r="C915" s="350">
        <v>2017</v>
      </c>
      <c r="D915" s="350" t="s">
        <v>65</v>
      </c>
      <c r="E915" s="350">
        <v>3725</v>
      </c>
      <c r="F915" s="353" t="s">
        <v>66</v>
      </c>
      <c r="G915" s="353">
        <v>23</v>
      </c>
    </row>
    <row r="916" spans="1:7" x14ac:dyDescent="0.3">
      <c r="A916" s="350" t="s">
        <v>147</v>
      </c>
      <c r="B916" s="350" t="s">
        <v>134</v>
      </c>
      <c r="C916" s="350">
        <v>2016</v>
      </c>
      <c r="D916" s="350" t="s">
        <v>65</v>
      </c>
      <c r="E916" s="350">
        <v>3725</v>
      </c>
      <c r="F916" s="353" t="s">
        <v>66</v>
      </c>
      <c r="G916" s="353">
        <v>26</v>
      </c>
    </row>
    <row r="917" spans="1:7" x14ac:dyDescent="0.3">
      <c r="A917" s="350" t="s">
        <v>147</v>
      </c>
      <c r="B917" s="350" t="s">
        <v>134</v>
      </c>
      <c r="C917" s="350">
        <v>2015</v>
      </c>
      <c r="D917" s="350" t="s">
        <v>65</v>
      </c>
      <c r="E917" s="350">
        <v>3725</v>
      </c>
      <c r="F917" s="353" t="s">
        <v>66</v>
      </c>
      <c r="G917" s="353">
        <v>29</v>
      </c>
    </row>
    <row r="918" spans="1:7" x14ac:dyDescent="0.3">
      <c r="A918" s="350" t="s">
        <v>147</v>
      </c>
      <c r="B918" s="350" t="s">
        <v>134</v>
      </c>
      <c r="C918" s="350">
        <v>2014</v>
      </c>
      <c r="D918" s="350" t="s">
        <v>65</v>
      </c>
      <c r="E918" s="350">
        <v>3725</v>
      </c>
      <c r="F918" s="353" t="s">
        <v>66</v>
      </c>
      <c r="G918" s="353">
        <v>2</v>
      </c>
    </row>
    <row r="919" spans="1:7" x14ac:dyDescent="0.3">
      <c r="A919" s="350" t="s">
        <v>147</v>
      </c>
      <c r="B919" s="350" t="s">
        <v>75</v>
      </c>
      <c r="C919" s="350">
        <v>2021</v>
      </c>
      <c r="D919" s="350" t="s">
        <v>65</v>
      </c>
      <c r="E919" s="350">
        <v>3650</v>
      </c>
      <c r="F919" s="353" t="s">
        <v>66</v>
      </c>
      <c r="G919" s="353">
        <v>52</v>
      </c>
    </row>
    <row r="920" spans="1:7" x14ac:dyDescent="0.3">
      <c r="A920" s="350" t="s">
        <v>147</v>
      </c>
      <c r="B920" s="350" t="s">
        <v>75</v>
      </c>
      <c r="C920" s="350">
        <v>2020</v>
      </c>
      <c r="D920" s="350" t="s">
        <v>65</v>
      </c>
      <c r="E920" s="350">
        <v>3650</v>
      </c>
      <c r="F920" s="353" t="s">
        <v>66</v>
      </c>
      <c r="G920" s="353">
        <v>46</v>
      </c>
    </row>
    <row r="921" spans="1:7" x14ac:dyDescent="0.3">
      <c r="A921" s="350" t="s">
        <v>147</v>
      </c>
      <c r="B921" s="350" t="s">
        <v>75</v>
      </c>
      <c r="C921" s="350">
        <v>2019</v>
      </c>
      <c r="D921" s="350" t="s">
        <v>65</v>
      </c>
      <c r="E921" s="350">
        <v>3650</v>
      </c>
      <c r="F921" s="353" t="s">
        <v>66</v>
      </c>
      <c r="G921" s="353">
        <v>39</v>
      </c>
    </row>
    <row r="922" spans="1:7" x14ac:dyDescent="0.3">
      <c r="A922" s="350" t="s">
        <v>147</v>
      </c>
      <c r="B922" s="350" t="s">
        <v>75</v>
      </c>
      <c r="C922" s="350">
        <v>2018</v>
      </c>
      <c r="D922" s="350" t="s">
        <v>65</v>
      </c>
      <c r="E922" s="350">
        <v>3650</v>
      </c>
      <c r="F922" s="353" t="s">
        <v>66</v>
      </c>
      <c r="G922" s="353">
        <v>39</v>
      </c>
    </row>
    <row r="923" spans="1:7" x14ac:dyDescent="0.3">
      <c r="A923" s="350" t="s">
        <v>147</v>
      </c>
      <c r="B923" s="350" t="s">
        <v>75</v>
      </c>
      <c r="C923" s="350">
        <v>2017</v>
      </c>
      <c r="D923" s="350" t="s">
        <v>65</v>
      </c>
      <c r="E923" s="350">
        <v>3650</v>
      </c>
      <c r="F923" s="353" t="s">
        <v>66</v>
      </c>
      <c r="G923" s="353">
        <v>42</v>
      </c>
    </row>
    <row r="924" spans="1:7" x14ac:dyDescent="0.3">
      <c r="A924" s="350" t="s">
        <v>147</v>
      </c>
      <c r="B924" s="350" t="s">
        <v>75</v>
      </c>
      <c r="C924" s="350">
        <v>2016</v>
      </c>
      <c r="D924" s="350" t="s">
        <v>65</v>
      </c>
      <c r="E924" s="350">
        <v>3650</v>
      </c>
      <c r="F924" s="353" t="s">
        <v>66</v>
      </c>
      <c r="G924" s="353">
        <v>30</v>
      </c>
    </row>
    <row r="925" spans="1:7" x14ac:dyDescent="0.3">
      <c r="A925" s="350" t="s">
        <v>147</v>
      </c>
      <c r="B925" s="350" t="s">
        <v>75</v>
      </c>
      <c r="C925" s="350">
        <v>2015</v>
      </c>
      <c r="D925" s="350" t="s">
        <v>65</v>
      </c>
      <c r="E925" s="350">
        <v>3650</v>
      </c>
      <c r="F925" s="353" t="s">
        <v>66</v>
      </c>
      <c r="G925" s="353">
        <v>36</v>
      </c>
    </row>
    <row r="926" spans="1:7" x14ac:dyDescent="0.3">
      <c r="A926" s="350" t="s">
        <v>147</v>
      </c>
      <c r="B926" s="350" t="s">
        <v>75</v>
      </c>
      <c r="C926" s="350">
        <v>2014</v>
      </c>
      <c r="D926" s="350" t="s">
        <v>65</v>
      </c>
      <c r="E926" s="350">
        <v>3650</v>
      </c>
      <c r="F926" s="353" t="s">
        <v>66</v>
      </c>
      <c r="G926" s="353">
        <v>21</v>
      </c>
    </row>
    <row r="927" spans="1:7" x14ac:dyDescent="0.3">
      <c r="A927" s="350" t="s">
        <v>147</v>
      </c>
      <c r="B927" s="350" t="s">
        <v>129</v>
      </c>
      <c r="C927" s="350">
        <v>2021</v>
      </c>
      <c r="D927" s="350" t="s">
        <v>65</v>
      </c>
      <c r="E927" s="350">
        <v>3615</v>
      </c>
      <c r="F927" s="353" t="s">
        <v>66</v>
      </c>
      <c r="G927" s="353">
        <v>5</v>
      </c>
    </row>
    <row r="928" spans="1:7" x14ac:dyDescent="0.3">
      <c r="A928" s="350" t="s">
        <v>147</v>
      </c>
      <c r="B928" s="350" t="s">
        <v>129</v>
      </c>
      <c r="C928" s="350">
        <v>2020</v>
      </c>
      <c r="D928" s="350" t="s">
        <v>65</v>
      </c>
      <c r="E928" s="350">
        <v>3615</v>
      </c>
      <c r="F928" s="353" t="s">
        <v>66</v>
      </c>
      <c r="G928" s="353">
        <v>3</v>
      </c>
    </row>
    <row r="929" spans="1:7" x14ac:dyDescent="0.3">
      <c r="A929" s="350" t="s">
        <v>147</v>
      </c>
      <c r="B929" s="350" t="s">
        <v>129</v>
      </c>
      <c r="C929" s="350">
        <v>2019</v>
      </c>
      <c r="D929" s="350" t="s">
        <v>65</v>
      </c>
      <c r="E929" s="350">
        <v>3615</v>
      </c>
      <c r="F929" s="353" t="s">
        <v>66</v>
      </c>
      <c r="G929" s="353">
        <v>1</v>
      </c>
    </row>
    <row r="930" spans="1:7" x14ac:dyDescent="0.3">
      <c r="A930" s="350" t="s">
        <v>147</v>
      </c>
      <c r="B930" s="350" t="s">
        <v>129</v>
      </c>
      <c r="C930" s="350">
        <v>2018</v>
      </c>
      <c r="D930" s="350" t="s">
        <v>65</v>
      </c>
      <c r="E930" s="350">
        <v>3615</v>
      </c>
      <c r="F930" s="353" t="s">
        <v>66</v>
      </c>
      <c r="G930" s="353">
        <v>1</v>
      </c>
    </row>
    <row r="931" spans="1:7" x14ac:dyDescent="0.3">
      <c r="A931" s="350" t="s">
        <v>147</v>
      </c>
      <c r="B931" s="350" t="s">
        <v>129</v>
      </c>
      <c r="C931" s="350">
        <v>2017</v>
      </c>
      <c r="D931" s="350" t="s">
        <v>65</v>
      </c>
      <c r="E931" s="350">
        <v>3615</v>
      </c>
      <c r="F931" s="353" t="s">
        <v>66</v>
      </c>
      <c r="G931" s="353">
        <v>9</v>
      </c>
    </row>
    <row r="932" spans="1:7" x14ac:dyDescent="0.3">
      <c r="A932" s="350" t="s">
        <v>147</v>
      </c>
      <c r="B932" s="350" t="s">
        <v>129</v>
      </c>
      <c r="C932" s="350">
        <v>2016</v>
      </c>
      <c r="D932" s="350" t="s">
        <v>65</v>
      </c>
      <c r="E932" s="350">
        <v>3615</v>
      </c>
      <c r="F932" s="353" t="s">
        <v>66</v>
      </c>
      <c r="G932" s="353">
        <v>5</v>
      </c>
    </row>
    <row r="933" spans="1:7" x14ac:dyDescent="0.3">
      <c r="A933" s="350" t="s">
        <v>147</v>
      </c>
      <c r="B933" s="350" t="s">
        <v>129</v>
      </c>
      <c r="C933" s="350">
        <v>2015</v>
      </c>
      <c r="D933" s="350" t="s">
        <v>65</v>
      </c>
      <c r="E933" s="350">
        <v>3615</v>
      </c>
      <c r="F933" s="353" t="s">
        <v>66</v>
      </c>
      <c r="G933" s="353">
        <v>4</v>
      </c>
    </row>
    <row r="934" spans="1:7" x14ac:dyDescent="0.3">
      <c r="A934" s="350" t="s">
        <v>147</v>
      </c>
      <c r="B934" s="350" t="s">
        <v>90</v>
      </c>
      <c r="C934" s="350">
        <v>2021</v>
      </c>
      <c r="D934" s="350" t="s">
        <v>65</v>
      </c>
      <c r="E934" s="350">
        <v>3600</v>
      </c>
      <c r="F934" s="353" t="s">
        <v>66</v>
      </c>
      <c r="G934" s="353">
        <v>37</v>
      </c>
    </row>
    <row r="935" spans="1:7" x14ac:dyDescent="0.3">
      <c r="A935" s="350" t="s">
        <v>147</v>
      </c>
      <c r="B935" s="350" t="s">
        <v>90</v>
      </c>
      <c r="C935" s="350">
        <v>2020</v>
      </c>
      <c r="D935" s="350" t="s">
        <v>65</v>
      </c>
      <c r="E935" s="350">
        <v>3600</v>
      </c>
      <c r="F935" s="353" t="s">
        <v>66</v>
      </c>
      <c r="G935" s="353">
        <v>49</v>
      </c>
    </row>
    <row r="936" spans="1:7" x14ac:dyDescent="0.3">
      <c r="A936" s="350" t="s">
        <v>147</v>
      </c>
      <c r="B936" s="350" t="s">
        <v>90</v>
      </c>
      <c r="C936" s="350">
        <v>2019</v>
      </c>
      <c r="D936" s="350" t="s">
        <v>65</v>
      </c>
      <c r="E936" s="350">
        <v>3600</v>
      </c>
      <c r="F936" s="353" t="s">
        <v>66</v>
      </c>
      <c r="G936" s="353">
        <v>27</v>
      </c>
    </row>
    <row r="937" spans="1:7" x14ac:dyDescent="0.3">
      <c r="A937" s="350" t="s">
        <v>147</v>
      </c>
      <c r="B937" s="350" t="s">
        <v>90</v>
      </c>
      <c r="C937" s="350">
        <v>2018</v>
      </c>
      <c r="D937" s="350" t="s">
        <v>65</v>
      </c>
      <c r="E937" s="350">
        <v>3600</v>
      </c>
      <c r="F937" s="353" t="s">
        <v>66</v>
      </c>
      <c r="G937" s="353">
        <v>9</v>
      </c>
    </row>
    <row r="938" spans="1:7" x14ac:dyDescent="0.3">
      <c r="A938" s="350" t="s">
        <v>147</v>
      </c>
      <c r="B938" s="350" t="s">
        <v>90</v>
      </c>
      <c r="C938" s="350">
        <v>2017</v>
      </c>
      <c r="D938" s="350" t="s">
        <v>65</v>
      </c>
      <c r="E938" s="350">
        <v>3600</v>
      </c>
      <c r="F938" s="353" t="s">
        <v>66</v>
      </c>
      <c r="G938" s="353">
        <v>20</v>
      </c>
    </row>
    <row r="939" spans="1:7" x14ac:dyDescent="0.3">
      <c r="A939" s="350" t="s">
        <v>147</v>
      </c>
      <c r="B939" s="350" t="s">
        <v>90</v>
      </c>
      <c r="C939" s="350">
        <v>2016</v>
      </c>
      <c r="D939" s="350" t="s">
        <v>65</v>
      </c>
      <c r="E939" s="350">
        <v>3600</v>
      </c>
      <c r="F939" s="353" t="s">
        <v>66</v>
      </c>
      <c r="G939" s="353">
        <v>16</v>
      </c>
    </row>
    <row r="940" spans="1:7" x14ac:dyDescent="0.3">
      <c r="A940" s="350" t="s">
        <v>147</v>
      </c>
      <c r="B940" s="350" t="s">
        <v>90</v>
      </c>
      <c r="C940" s="350">
        <v>2015</v>
      </c>
      <c r="D940" s="350" t="s">
        <v>65</v>
      </c>
      <c r="E940" s="350">
        <v>3600</v>
      </c>
      <c r="F940" s="353" t="s">
        <v>66</v>
      </c>
      <c r="G940" s="353">
        <v>34</v>
      </c>
    </row>
    <row r="941" spans="1:7" x14ac:dyDescent="0.3">
      <c r="A941" s="350" t="s">
        <v>147</v>
      </c>
      <c r="B941" s="350" t="s">
        <v>90</v>
      </c>
      <c r="C941" s="350">
        <v>2014</v>
      </c>
      <c r="D941" s="350" t="s">
        <v>65</v>
      </c>
      <c r="E941" s="350">
        <v>3600</v>
      </c>
      <c r="F941" s="353" t="s">
        <v>66</v>
      </c>
      <c r="G941" s="353">
        <v>23</v>
      </c>
    </row>
    <row r="942" spans="1:7" x14ac:dyDescent="0.3">
      <c r="A942" s="350" t="s">
        <v>147</v>
      </c>
      <c r="B942" s="350" t="s">
        <v>188</v>
      </c>
      <c r="C942" s="350">
        <v>2021</v>
      </c>
      <c r="D942" s="350" t="s">
        <v>65</v>
      </c>
      <c r="E942" s="350">
        <v>3600</v>
      </c>
      <c r="F942" s="353" t="s">
        <v>66</v>
      </c>
      <c r="G942" s="353">
        <v>4</v>
      </c>
    </row>
    <row r="943" spans="1:7" x14ac:dyDescent="0.3">
      <c r="A943" s="350" t="s">
        <v>147</v>
      </c>
      <c r="B943" s="350" t="s">
        <v>188</v>
      </c>
      <c r="C943" s="350">
        <v>2020</v>
      </c>
      <c r="D943" s="350" t="s">
        <v>65</v>
      </c>
      <c r="E943" s="350">
        <v>3600</v>
      </c>
      <c r="F943" s="353" t="s">
        <v>66</v>
      </c>
      <c r="G943" s="353">
        <v>5</v>
      </c>
    </row>
    <row r="944" spans="1:7" x14ac:dyDescent="0.3">
      <c r="A944" s="350" t="s">
        <v>147</v>
      </c>
      <c r="B944" s="350" t="s">
        <v>188</v>
      </c>
      <c r="C944" s="350">
        <v>2019</v>
      </c>
      <c r="D944" s="350" t="s">
        <v>65</v>
      </c>
      <c r="E944" s="350">
        <v>3600</v>
      </c>
      <c r="F944" s="353" t="s">
        <v>66</v>
      </c>
      <c r="G944" s="353">
        <v>5</v>
      </c>
    </row>
    <row r="945" spans="1:7" x14ac:dyDescent="0.3">
      <c r="A945" s="350" t="s">
        <v>147</v>
      </c>
      <c r="B945" s="350" t="s">
        <v>188</v>
      </c>
      <c r="C945" s="350">
        <v>2018</v>
      </c>
      <c r="D945" s="350" t="s">
        <v>65</v>
      </c>
      <c r="E945" s="350">
        <v>3600</v>
      </c>
      <c r="F945" s="353" t="s">
        <v>66</v>
      </c>
      <c r="G945" s="353">
        <v>6</v>
      </c>
    </row>
    <row r="946" spans="1:7" x14ac:dyDescent="0.3">
      <c r="A946" s="350" t="s">
        <v>147</v>
      </c>
      <c r="B946" s="350" t="s">
        <v>188</v>
      </c>
      <c r="C946" s="350">
        <v>2017</v>
      </c>
      <c r="D946" s="350" t="s">
        <v>65</v>
      </c>
      <c r="E946" s="350">
        <v>3600</v>
      </c>
      <c r="F946" s="353" t="s">
        <v>66</v>
      </c>
      <c r="G946" s="353">
        <v>2</v>
      </c>
    </row>
    <row r="947" spans="1:7" x14ac:dyDescent="0.3">
      <c r="A947" s="350" t="s">
        <v>147</v>
      </c>
      <c r="B947" s="350" t="s">
        <v>188</v>
      </c>
      <c r="C947" s="350">
        <v>2016</v>
      </c>
      <c r="D947" s="350" t="s">
        <v>65</v>
      </c>
      <c r="E947" s="350">
        <v>3600</v>
      </c>
      <c r="F947" s="353" t="s">
        <v>66</v>
      </c>
      <c r="G947" s="353">
        <v>2</v>
      </c>
    </row>
    <row r="948" spans="1:7" x14ac:dyDescent="0.3">
      <c r="A948" s="350" t="s">
        <v>147</v>
      </c>
      <c r="B948" s="350" t="s">
        <v>109</v>
      </c>
      <c r="C948" s="350">
        <v>2021</v>
      </c>
      <c r="D948" s="350" t="s">
        <v>65</v>
      </c>
      <c r="E948" s="350">
        <v>3600</v>
      </c>
      <c r="F948" s="353" t="s">
        <v>66</v>
      </c>
      <c r="G948" s="353">
        <v>3</v>
      </c>
    </row>
    <row r="949" spans="1:7" x14ac:dyDescent="0.3">
      <c r="A949" s="350" t="s">
        <v>147</v>
      </c>
      <c r="B949" s="350" t="s">
        <v>109</v>
      </c>
      <c r="C949" s="350">
        <v>2020</v>
      </c>
      <c r="D949" s="350" t="s">
        <v>65</v>
      </c>
      <c r="E949" s="350">
        <v>3600</v>
      </c>
      <c r="F949" s="353" t="s">
        <v>66</v>
      </c>
      <c r="G949" s="353">
        <v>4</v>
      </c>
    </row>
    <row r="950" spans="1:7" x14ac:dyDescent="0.3">
      <c r="A950" s="350" t="s">
        <v>147</v>
      </c>
      <c r="B950" s="350" t="s">
        <v>109</v>
      </c>
      <c r="C950" s="350">
        <v>2019</v>
      </c>
      <c r="D950" s="350" t="s">
        <v>65</v>
      </c>
      <c r="E950" s="350">
        <v>3600</v>
      </c>
      <c r="F950" s="353" t="s">
        <v>66</v>
      </c>
      <c r="G950" s="353">
        <v>15</v>
      </c>
    </row>
    <row r="951" spans="1:7" x14ac:dyDescent="0.3">
      <c r="A951" s="350" t="s">
        <v>147</v>
      </c>
      <c r="B951" s="350" t="s">
        <v>109</v>
      </c>
      <c r="C951" s="350">
        <v>2018</v>
      </c>
      <c r="D951" s="350" t="s">
        <v>65</v>
      </c>
      <c r="E951" s="350">
        <v>3600</v>
      </c>
      <c r="F951" s="353" t="s">
        <v>66</v>
      </c>
      <c r="G951" s="353">
        <v>3</v>
      </c>
    </row>
    <row r="952" spans="1:7" x14ac:dyDescent="0.3">
      <c r="A952" s="350" t="s">
        <v>147</v>
      </c>
      <c r="B952" s="350" t="s">
        <v>109</v>
      </c>
      <c r="C952" s="350">
        <v>2017</v>
      </c>
      <c r="D952" s="350" t="s">
        <v>65</v>
      </c>
      <c r="E952" s="350">
        <v>3600</v>
      </c>
      <c r="F952" s="353" t="s">
        <v>66</v>
      </c>
      <c r="G952" s="353">
        <v>9</v>
      </c>
    </row>
    <row r="953" spans="1:7" x14ac:dyDescent="0.3">
      <c r="A953" s="350" t="s">
        <v>147</v>
      </c>
      <c r="B953" s="350" t="s">
        <v>109</v>
      </c>
      <c r="C953" s="350">
        <v>2016</v>
      </c>
      <c r="D953" s="350" t="s">
        <v>65</v>
      </c>
      <c r="E953" s="350">
        <v>3600</v>
      </c>
      <c r="F953" s="353" t="s">
        <v>66</v>
      </c>
      <c r="G953" s="353">
        <v>9</v>
      </c>
    </row>
    <row r="954" spans="1:7" x14ac:dyDescent="0.3">
      <c r="A954" s="350" t="s">
        <v>147</v>
      </c>
      <c r="B954" s="350" t="s">
        <v>109</v>
      </c>
      <c r="C954" s="350">
        <v>2015</v>
      </c>
      <c r="D954" s="350" t="s">
        <v>65</v>
      </c>
      <c r="E954" s="350">
        <v>3600</v>
      </c>
      <c r="F954" s="353" t="s">
        <v>66</v>
      </c>
      <c r="G954" s="353">
        <v>4</v>
      </c>
    </row>
    <row r="955" spans="1:7" x14ac:dyDescent="0.3">
      <c r="A955" s="350" t="s">
        <v>147</v>
      </c>
      <c r="B955" s="350" t="s">
        <v>109</v>
      </c>
      <c r="C955" s="350">
        <v>2014</v>
      </c>
      <c r="D955" s="350" t="s">
        <v>65</v>
      </c>
      <c r="E955" s="350">
        <v>3600</v>
      </c>
      <c r="F955" s="353" t="s">
        <v>66</v>
      </c>
      <c r="G955" s="353">
        <v>6</v>
      </c>
    </row>
    <row r="956" spans="1:7" x14ac:dyDescent="0.3">
      <c r="A956" s="350" t="s">
        <v>147</v>
      </c>
      <c r="B956" s="350" t="s">
        <v>73</v>
      </c>
      <c r="C956" s="350">
        <v>2021</v>
      </c>
      <c r="D956" s="350" t="s">
        <v>65</v>
      </c>
      <c r="E956" s="350">
        <v>3500</v>
      </c>
      <c r="F956" s="353" t="s">
        <v>66</v>
      </c>
      <c r="G956" s="353">
        <v>8</v>
      </c>
    </row>
    <row r="957" spans="1:7" x14ac:dyDescent="0.3">
      <c r="A957" s="350" t="s">
        <v>147</v>
      </c>
      <c r="B957" s="350" t="s">
        <v>73</v>
      </c>
      <c r="C957" s="350">
        <v>2020</v>
      </c>
      <c r="D957" s="350" t="s">
        <v>65</v>
      </c>
      <c r="E957" s="350">
        <v>3500</v>
      </c>
      <c r="F957" s="353" t="s">
        <v>66</v>
      </c>
      <c r="G957" s="353">
        <v>14</v>
      </c>
    </row>
    <row r="958" spans="1:7" x14ac:dyDescent="0.3">
      <c r="A958" s="350" t="s">
        <v>147</v>
      </c>
      <c r="B958" s="350" t="s">
        <v>73</v>
      </c>
      <c r="C958" s="350">
        <v>2019</v>
      </c>
      <c r="D958" s="350" t="s">
        <v>65</v>
      </c>
      <c r="E958" s="350">
        <v>3500</v>
      </c>
      <c r="F958" s="353" t="s">
        <v>66</v>
      </c>
      <c r="G958" s="353">
        <v>11</v>
      </c>
    </row>
    <row r="959" spans="1:7" x14ac:dyDescent="0.3">
      <c r="A959" s="350" t="s">
        <v>147</v>
      </c>
      <c r="B959" s="350" t="s">
        <v>73</v>
      </c>
      <c r="C959" s="350">
        <v>2018</v>
      </c>
      <c r="D959" s="350" t="s">
        <v>65</v>
      </c>
      <c r="E959" s="350">
        <v>3500</v>
      </c>
      <c r="F959" s="353" t="s">
        <v>66</v>
      </c>
      <c r="G959" s="353">
        <v>19</v>
      </c>
    </row>
    <row r="960" spans="1:7" x14ac:dyDescent="0.3">
      <c r="A960" s="350" t="s">
        <v>147</v>
      </c>
      <c r="B960" s="350" t="s">
        <v>73</v>
      </c>
      <c r="C960" s="350">
        <v>2017</v>
      </c>
      <c r="D960" s="350" t="s">
        <v>65</v>
      </c>
      <c r="E960" s="350">
        <v>3500</v>
      </c>
      <c r="F960" s="353" t="s">
        <v>66</v>
      </c>
      <c r="G960" s="353">
        <v>19</v>
      </c>
    </row>
    <row r="961" spans="1:7" x14ac:dyDescent="0.3">
      <c r="A961" s="350" t="s">
        <v>147</v>
      </c>
      <c r="B961" s="350" t="s">
        <v>73</v>
      </c>
      <c r="C961" s="350">
        <v>2016</v>
      </c>
      <c r="D961" s="350" t="s">
        <v>65</v>
      </c>
      <c r="E961" s="350">
        <v>3500</v>
      </c>
      <c r="F961" s="353" t="s">
        <v>66</v>
      </c>
      <c r="G961" s="353">
        <v>19</v>
      </c>
    </row>
    <row r="962" spans="1:7" x14ac:dyDescent="0.3">
      <c r="A962" s="350" t="s">
        <v>147</v>
      </c>
      <c r="B962" s="350" t="s">
        <v>73</v>
      </c>
      <c r="C962" s="350">
        <v>2015</v>
      </c>
      <c r="D962" s="350" t="s">
        <v>65</v>
      </c>
      <c r="E962" s="350">
        <v>3500</v>
      </c>
      <c r="F962" s="353" t="s">
        <v>66</v>
      </c>
      <c r="G962" s="353">
        <v>10</v>
      </c>
    </row>
    <row r="963" spans="1:7" x14ac:dyDescent="0.3">
      <c r="A963" s="350" t="s">
        <v>147</v>
      </c>
      <c r="B963" s="350" t="s">
        <v>73</v>
      </c>
      <c r="C963" s="350">
        <v>2014</v>
      </c>
      <c r="D963" s="350" t="s">
        <v>65</v>
      </c>
      <c r="E963" s="350">
        <v>3500</v>
      </c>
      <c r="F963" s="353" t="s">
        <v>66</v>
      </c>
      <c r="G963" s="353">
        <v>4</v>
      </c>
    </row>
    <row r="964" spans="1:7" x14ac:dyDescent="0.3">
      <c r="A964" s="350" t="s">
        <v>147</v>
      </c>
      <c r="B964" s="350" t="s">
        <v>74</v>
      </c>
      <c r="C964" s="350">
        <v>2021</v>
      </c>
      <c r="D964" s="350" t="s">
        <v>65</v>
      </c>
      <c r="E964" s="350">
        <v>3400</v>
      </c>
      <c r="F964" s="353" t="s">
        <v>66</v>
      </c>
      <c r="G964" s="353">
        <v>54</v>
      </c>
    </row>
    <row r="965" spans="1:7" x14ac:dyDescent="0.3">
      <c r="A965" s="350" t="s">
        <v>147</v>
      </c>
      <c r="B965" s="350" t="s">
        <v>74</v>
      </c>
      <c r="C965" s="350">
        <v>2020</v>
      </c>
      <c r="D965" s="350" t="s">
        <v>65</v>
      </c>
      <c r="E965" s="350">
        <v>3400</v>
      </c>
      <c r="F965" s="353" t="s">
        <v>66</v>
      </c>
      <c r="G965" s="353">
        <v>56</v>
      </c>
    </row>
    <row r="966" spans="1:7" x14ac:dyDescent="0.3">
      <c r="A966" s="350" t="s">
        <v>147</v>
      </c>
      <c r="B966" s="350" t="s">
        <v>74</v>
      </c>
      <c r="C966" s="350">
        <v>2019</v>
      </c>
      <c r="D966" s="350" t="s">
        <v>65</v>
      </c>
      <c r="E966" s="350">
        <v>3400</v>
      </c>
      <c r="F966" s="353" t="s">
        <v>66</v>
      </c>
      <c r="G966" s="353">
        <v>56</v>
      </c>
    </row>
    <row r="967" spans="1:7" x14ac:dyDescent="0.3">
      <c r="A967" s="350" t="s">
        <v>147</v>
      </c>
      <c r="B967" s="350" t="s">
        <v>74</v>
      </c>
      <c r="C967" s="350">
        <v>2018</v>
      </c>
      <c r="D967" s="350" t="s">
        <v>65</v>
      </c>
      <c r="E967" s="350">
        <v>3400</v>
      </c>
      <c r="F967" s="353" t="s">
        <v>66</v>
      </c>
      <c r="G967" s="353">
        <v>45</v>
      </c>
    </row>
    <row r="968" spans="1:7" x14ac:dyDescent="0.3">
      <c r="A968" s="350" t="s">
        <v>147</v>
      </c>
      <c r="B968" s="350" t="s">
        <v>74</v>
      </c>
      <c r="C968" s="350">
        <v>2017</v>
      </c>
      <c r="D968" s="350" t="s">
        <v>65</v>
      </c>
      <c r="E968" s="350">
        <v>3400</v>
      </c>
      <c r="F968" s="353" t="s">
        <v>66</v>
      </c>
      <c r="G968" s="353">
        <v>53</v>
      </c>
    </row>
    <row r="969" spans="1:7" x14ac:dyDescent="0.3">
      <c r="A969" s="350" t="s">
        <v>147</v>
      </c>
      <c r="B969" s="350" t="s">
        <v>74</v>
      </c>
      <c r="C969" s="350">
        <v>2016</v>
      </c>
      <c r="D969" s="350" t="s">
        <v>65</v>
      </c>
      <c r="E969" s="350">
        <v>3400</v>
      </c>
      <c r="F969" s="353" t="s">
        <v>66</v>
      </c>
      <c r="G969" s="353">
        <v>32</v>
      </c>
    </row>
    <row r="970" spans="1:7" x14ac:dyDescent="0.3">
      <c r="A970" s="350" t="s">
        <v>147</v>
      </c>
      <c r="B970" s="350" t="s">
        <v>74</v>
      </c>
      <c r="C970" s="350">
        <v>2015</v>
      </c>
      <c r="D970" s="350" t="s">
        <v>65</v>
      </c>
      <c r="E970" s="350">
        <v>3400</v>
      </c>
      <c r="F970" s="353" t="s">
        <v>66</v>
      </c>
      <c r="G970" s="353">
        <v>44</v>
      </c>
    </row>
    <row r="971" spans="1:7" x14ac:dyDescent="0.3">
      <c r="A971" s="350" t="s">
        <v>147</v>
      </c>
      <c r="B971" s="350" t="s">
        <v>74</v>
      </c>
      <c r="C971" s="350">
        <v>2014</v>
      </c>
      <c r="D971" s="350" t="s">
        <v>65</v>
      </c>
      <c r="E971" s="350">
        <v>3400</v>
      </c>
      <c r="F971" s="353" t="s">
        <v>66</v>
      </c>
      <c r="G971" s="353">
        <v>25</v>
      </c>
    </row>
    <row r="972" spans="1:7" x14ac:dyDescent="0.3">
      <c r="A972" s="350" t="s">
        <v>147</v>
      </c>
      <c r="B972" s="350" t="s">
        <v>135</v>
      </c>
      <c r="C972" s="350">
        <v>2021</v>
      </c>
      <c r="D972" s="350" t="s">
        <v>65</v>
      </c>
      <c r="E972" s="350">
        <v>3400</v>
      </c>
      <c r="F972" s="353" t="s">
        <v>66</v>
      </c>
      <c r="G972" s="353">
        <v>28</v>
      </c>
    </row>
    <row r="973" spans="1:7" x14ac:dyDescent="0.3">
      <c r="A973" s="350" t="s">
        <v>147</v>
      </c>
      <c r="B973" s="350" t="s">
        <v>135</v>
      </c>
      <c r="C973" s="350">
        <v>2020</v>
      </c>
      <c r="D973" s="350" t="s">
        <v>65</v>
      </c>
      <c r="E973" s="350">
        <v>3400</v>
      </c>
      <c r="F973" s="353" t="s">
        <v>66</v>
      </c>
      <c r="G973" s="353">
        <v>16</v>
      </c>
    </row>
    <row r="974" spans="1:7" x14ac:dyDescent="0.3">
      <c r="A974" s="350" t="s">
        <v>147</v>
      </c>
      <c r="B974" s="350" t="s">
        <v>135</v>
      </c>
      <c r="C974" s="350">
        <v>2019</v>
      </c>
      <c r="D974" s="350" t="s">
        <v>65</v>
      </c>
      <c r="E974" s="350">
        <v>3400</v>
      </c>
      <c r="F974" s="353" t="s">
        <v>66</v>
      </c>
      <c r="G974" s="353">
        <v>25</v>
      </c>
    </row>
    <row r="975" spans="1:7" x14ac:dyDescent="0.3">
      <c r="A975" s="350" t="s">
        <v>147</v>
      </c>
      <c r="B975" s="350" t="s">
        <v>135</v>
      </c>
      <c r="C975" s="350">
        <v>2018</v>
      </c>
      <c r="D975" s="350" t="s">
        <v>65</v>
      </c>
      <c r="E975" s="350">
        <v>3400</v>
      </c>
      <c r="F975" s="353" t="s">
        <v>66</v>
      </c>
      <c r="G975" s="353">
        <v>17</v>
      </c>
    </row>
    <row r="976" spans="1:7" x14ac:dyDescent="0.3">
      <c r="A976" s="350" t="s">
        <v>147</v>
      </c>
      <c r="B976" s="350" t="s">
        <v>135</v>
      </c>
      <c r="C976" s="350">
        <v>2017</v>
      </c>
      <c r="D976" s="350" t="s">
        <v>65</v>
      </c>
      <c r="E976" s="350">
        <v>3400</v>
      </c>
      <c r="F976" s="353" t="s">
        <v>66</v>
      </c>
      <c r="G976" s="353">
        <v>25</v>
      </c>
    </row>
    <row r="977" spans="1:7" x14ac:dyDescent="0.3">
      <c r="A977" s="350" t="s">
        <v>147</v>
      </c>
      <c r="B977" s="350" t="s">
        <v>135</v>
      </c>
      <c r="C977" s="350">
        <v>2016</v>
      </c>
      <c r="D977" s="350" t="s">
        <v>65</v>
      </c>
      <c r="E977" s="350">
        <v>3400</v>
      </c>
      <c r="F977" s="353" t="s">
        <v>66</v>
      </c>
      <c r="G977" s="353">
        <v>24</v>
      </c>
    </row>
    <row r="978" spans="1:7" x14ac:dyDescent="0.3">
      <c r="A978" s="350" t="s">
        <v>147</v>
      </c>
      <c r="B978" s="350" t="s">
        <v>135</v>
      </c>
      <c r="C978" s="350">
        <v>2015</v>
      </c>
      <c r="D978" s="350" t="s">
        <v>65</v>
      </c>
      <c r="E978" s="350">
        <v>3400</v>
      </c>
      <c r="F978" s="353" t="s">
        <v>66</v>
      </c>
      <c r="G978" s="353">
        <v>25</v>
      </c>
    </row>
    <row r="979" spans="1:7" x14ac:dyDescent="0.3">
      <c r="A979" s="350" t="s">
        <v>147</v>
      </c>
      <c r="B979" s="350" t="s">
        <v>135</v>
      </c>
      <c r="C979" s="350">
        <v>2014</v>
      </c>
      <c r="D979" s="350" t="s">
        <v>65</v>
      </c>
      <c r="E979" s="350">
        <v>3400</v>
      </c>
      <c r="F979" s="353" t="s">
        <v>66</v>
      </c>
      <c r="G979" s="353">
        <v>16</v>
      </c>
    </row>
    <row r="980" spans="1:7" x14ac:dyDescent="0.3">
      <c r="A980" s="350" t="s">
        <v>147</v>
      </c>
      <c r="B980" s="350" t="s">
        <v>181</v>
      </c>
      <c r="C980" s="350">
        <v>2021</v>
      </c>
      <c r="D980" s="350" t="s">
        <v>65</v>
      </c>
      <c r="E980" s="350">
        <v>3368</v>
      </c>
      <c r="F980" s="353" t="s">
        <v>66</v>
      </c>
      <c r="G980" s="353">
        <v>1</v>
      </c>
    </row>
    <row r="981" spans="1:7" x14ac:dyDescent="0.3">
      <c r="A981" s="350" t="s">
        <v>147</v>
      </c>
      <c r="B981" s="350" t="s">
        <v>181</v>
      </c>
      <c r="C981" s="350">
        <v>2020</v>
      </c>
      <c r="D981" s="350" t="s">
        <v>65</v>
      </c>
      <c r="E981" s="350">
        <v>3368</v>
      </c>
      <c r="F981" s="353" t="s">
        <v>66</v>
      </c>
      <c r="G981" s="353">
        <v>3</v>
      </c>
    </row>
    <row r="982" spans="1:7" x14ac:dyDescent="0.3">
      <c r="A982" s="350" t="s">
        <v>147</v>
      </c>
      <c r="B982" s="350" t="s">
        <v>181</v>
      </c>
      <c r="C982" s="350">
        <v>2019</v>
      </c>
      <c r="D982" s="350" t="s">
        <v>65</v>
      </c>
      <c r="E982" s="350">
        <v>3368</v>
      </c>
      <c r="F982" s="353" t="s">
        <v>66</v>
      </c>
      <c r="G982" s="353">
        <v>4</v>
      </c>
    </row>
    <row r="983" spans="1:7" x14ac:dyDescent="0.3">
      <c r="A983" s="350" t="s">
        <v>147</v>
      </c>
      <c r="B983" s="350" t="s">
        <v>181</v>
      </c>
      <c r="C983" s="350">
        <v>2018</v>
      </c>
      <c r="D983" s="350" t="s">
        <v>65</v>
      </c>
      <c r="E983" s="350">
        <v>3368</v>
      </c>
      <c r="F983" s="353" t="s">
        <v>66</v>
      </c>
      <c r="G983" s="353">
        <v>3</v>
      </c>
    </row>
    <row r="984" spans="1:7" x14ac:dyDescent="0.3">
      <c r="A984" s="350" t="s">
        <v>147</v>
      </c>
      <c r="B984" s="350" t="s">
        <v>181</v>
      </c>
      <c r="C984" s="350">
        <v>2017</v>
      </c>
      <c r="D984" s="350" t="s">
        <v>65</v>
      </c>
      <c r="E984" s="350">
        <v>3368</v>
      </c>
      <c r="F984" s="353" t="s">
        <v>66</v>
      </c>
      <c r="G984" s="353">
        <v>5</v>
      </c>
    </row>
    <row r="985" spans="1:7" x14ac:dyDescent="0.3">
      <c r="A985" s="350" t="s">
        <v>147</v>
      </c>
      <c r="B985" s="350" t="s">
        <v>181</v>
      </c>
      <c r="C985" s="350">
        <v>2016</v>
      </c>
      <c r="D985" s="350" t="s">
        <v>65</v>
      </c>
      <c r="E985" s="350">
        <v>3368</v>
      </c>
      <c r="F985" s="353" t="s">
        <v>66</v>
      </c>
      <c r="G985" s="353">
        <v>5</v>
      </c>
    </row>
    <row r="986" spans="1:7" x14ac:dyDescent="0.3">
      <c r="A986" s="350" t="s">
        <v>147</v>
      </c>
      <c r="B986" s="350" t="s">
        <v>181</v>
      </c>
      <c r="C986" s="350">
        <v>2015</v>
      </c>
      <c r="D986" s="350" t="s">
        <v>65</v>
      </c>
      <c r="E986" s="350">
        <v>3368</v>
      </c>
      <c r="F986" s="353" t="s">
        <v>66</v>
      </c>
      <c r="G986" s="353">
        <v>1</v>
      </c>
    </row>
    <row r="987" spans="1:7" x14ac:dyDescent="0.3">
      <c r="A987" s="350" t="s">
        <v>147</v>
      </c>
      <c r="B987" s="350" t="s">
        <v>265</v>
      </c>
      <c r="C987" s="350">
        <v>2021</v>
      </c>
      <c r="D987" s="350" t="s">
        <v>65</v>
      </c>
      <c r="E987" s="350">
        <v>3368</v>
      </c>
      <c r="F987" s="353" t="s">
        <v>66</v>
      </c>
      <c r="G987" s="353">
        <v>7</v>
      </c>
    </row>
    <row r="988" spans="1:7" x14ac:dyDescent="0.3">
      <c r="A988" s="350" t="s">
        <v>147</v>
      </c>
      <c r="B988" s="350" t="s">
        <v>265</v>
      </c>
      <c r="C988" s="350">
        <v>2019</v>
      </c>
      <c r="D988" s="350" t="s">
        <v>65</v>
      </c>
      <c r="E988" s="350">
        <v>3368</v>
      </c>
      <c r="F988" s="353" t="s">
        <v>66</v>
      </c>
      <c r="G988" s="353">
        <v>3</v>
      </c>
    </row>
    <row r="989" spans="1:7" x14ac:dyDescent="0.3">
      <c r="A989" s="350" t="s">
        <v>147</v>
      </c>
      <c r="B989" s="350" t="s">
        <v>265</v>
      </c>
      <c r="C989" s="350">
        <v>2017</v>
      </c>
      <c r="D989" s="350" t="s">
        <v>65</v>
      </c>
      <c r="E989" s="350">
        <v>3368</v>
      </c>
      <c r="F989" s="353" t="s">
        <v>66</v>
      </c>
      <c r="G989" s="353">
        <v>3</v>
      </c>
    </row>
    <row r="990" spans="1:7" x14ac:dyDescent="0.3">
      <c r="A990" s="350" t="s">
        <v>147</v>
      </c>
      <c r="B990" s="350" t="s">
        <v>265</v>
      </c>
      <c r="C990" s="350">
        <v>2016</v>
      </c>
      <c r="D990" s="350" t="s">
        <v>65</v>
      </c>
      <c r="E990" s="350">
        <v>3368</v>
      </c>
      <c r="F990" s="353" t="s">
        <v>66</v>
      </c>
      <c r="G990" s="353">
        <v>4</v>
      </c>
    </row>
    <row r="991" spans="1:7" x14ac:dyDescent="0.3">
      <c r="A991" s="350" t="s">
        <v>147</v>
      </c>
      <c r="B991" s="350" t="s">
        <v>265</v>
      </c>
      <c r="C991" s="350">
        <v>2015</v>
      </c>
      <c r="D991" s="350" t="s">
        <v>65</v>
      </c>
      <c r="E991" s="350">
        <v>3368</v>
      </c>
      <c r="F991" s="353" t="s">
        <v>66</v>
      </c>
      <c r="G991" s="353">
        <v>6</v>
      </c>
    </row>
    <row r="992" spans="1:7" x14ac:dyDescent="0.3">
      <c r="A992" s="350" t="s">
        <v>147</v>
      </c>
      <c r="B992" s="350" t="s">
        <v>265</v>
      </c>
      <c r="C992" s="350">
        <v>2014</v>
      </c>
      <c r="D992" s="350" t="s">
        <v>65</v>
      </c>
      <c r="E992" s="350">
        <v>3368</v>
      </c>
      <c r="F992" s="353" t="s">
        <v>66</v>
      </c>
      <c r="G992" s="353">
        <v>2</v>
      </c>
    </row>
    <row r="993" spans="1:7" x14ac:dyDescent="0.3">
      <c r="A993" s="350" t="s">
        <v>147</v>
      </c>
      <c r="B993" s="350" t="s">
        <v>187</v>
      </c>
      <c r="C993" s="350">
        <v>2021</v>
      </c>
      <c r="D993" s="350" t="s">
        <v>65</v>
      </c>
      <c r="E993" s="350">
        <v>3350</v>
      </c>
      <c r="F993" s="353" t="s">
        <v>66</v>
      </c>
      <c r="G993" s="353">
        <v>1</v>
      </c>
    </row>
    <row r="994" spans="1:7" x14ac:dyDescent="0.3">
      <c r="A994" s="350" t="s">
        <v>147</v>
      </c>
      <c r="B994" s="350" t="s">
        <v>187</v>
      </c>
      <c r="C994" s="350">
        <v>2020</v>
      </c>
      <c r="D994" s="350" t="s">
        <v>65</v>
      </c>
      <c r="E994" s="350">
        <v>3350</v>
      </c>
      <c r="F994" s="353" t="s">
        <v>66</v>
      </c>
      <c r="G994" s="353">
        <v>3</v>
      </c>
    </row>
    <row r="995" spans="1:7" x14ac:dyDescent="0.3">
      <c r="A995" s="350" t="s">
        <v>147</v>
      </c>
      <c r="B995" s="350" t="s">
        <v>187</v>
      </c>
      <c r="C995" s="350">
        <v>2016</v>
      </c>
      <c r="D995" s="350" t="s">
        <v>65</v>
      </c>
      <c r="E995" s="350">
        <v>3350</v>
      </c>
      <c r="F995" s="353" t="s">
        <v>66</v>
      </c>
      <c r="G995" s="353">
        <v>1</v>
      </c>
    </row>
    <row r="996" spans="1:7" x14ac:dyDescent="0.3">
      <c r="A996" s="350" t="s">
        <v>147</v>
      </c>
      <c r="B996" s="350" t="s">
        <v>187</v>
      </c>
      <c r="C996" s="350">
        <v>2014</v>
      </c>
      <c r="D996" s="350" t="s">
        <v>65</v>
      </c>
      <c r="E996" s="350">
        <v>3350</v>
      </c>
      <c r="F996" s="353" t="s">
        <v>66</v>
      </c>
      <c r="G996" s="353">
        <v>1</v>
      </c>
    </row>
    <row r="997" spans="1:7" x14ac:dyDescent="0.3">
      <c r="A997" s="350" t="s">
        <v>147</v>
      </c>
      <c r="B997" s="350" t="s">
        <v>89</v>
      </c>
      <c r="C997" s="350">
        <v>2021</v>
      </c>
      <c r="D997" s="350" t="s">
        <v>65</v>
      </c>
      <c r="E997" s="350">
        <v>3348</v>
      </c>
      <c r="F997" s="353" t="s">
        <v>66</v>
      </c>
      <c r="G997" s="353">
        <v>10</v>
      </c>
    </row>
    <row r="998" spans="1:7" x14ac:dyDescent="0.3">
      <c r="A998" s="350" t="s">
        <v>147</v>
      </c>
      <c r="B998" s="350" t="s">
        <v>89</v>
      </c>
      <c r="C998" s="350">
        <v>2020</v>
      </c>
      <c r="D998" s="350" t="s">
        <v>65</v>
      </c>
      <c r="E998" s="350">
        <v>3348</v>
      </c>
      <c r="F998" s="353" t="s">
        <v>66</v>
      </c>
      <c r="G998" s="353">
        <v>13</v>
      </c>
    </row>
    <row r="999" spans="1:7" x14ac:dyDescent="0.3">
      <c r="A999" s="350" t="s">
        <v>147</v>
      </c>
      <c r="B999" s="350" t="s">
        <v>89</v>
      </c>
      <c r="C999" s="350">
        <v>2019</v>
      </c>
      <c r="D999" s="350" t="s">
        <v>65</v>
      </c>
      <c r="E999" s="350">
        <v>3348</v>
      </c>
      <c r="F999" s="353" t="s">
        <v>66</v>
      </c>
      <c r="G999" s="353">
        <v>10</v>
      </c>
    </row>
    <row r="1000" spans="1:7" x14ac:dyDescent="0.3">
      <c r="A1000" s="350" t="s">
        <v>147</v>
      </c>
      <c r="B1000" s="350" t="s">
        <v>89</v>
      </c>
      <c r="C1000" s="350">
        <v>2018</v>
      </c>
      <c r="D1000" s="350" t="s">
        <v>65</v>
      </c>
      <c r="E1000" s="350">
        <v>3348</v>
      </c>
      <c r="F1000" s="353" t="s">
        <v>66</v>
      </c>
      <c r="G1000" s="353">
        <v>10</v>
      </c>
    </row>
    <row r="1001" spans="1:7" x14ac:dyDescent="0.3">
      <c r="A1001" s="350" t="s">
        <v>147</v>
      </c>
      <c r="B1001" s="350" t="s">
        <v>89</v>
      </c>
      <c r="C1001" s="350">
        <v>2017</v>
      </c>
      <c r="D1001" s="350" t="s">
        <v>65</v>
      </c>
      <c r="E1001" s="350">
        <v>3348</v>
      </c>
      <c r="F1001" s="353" t="s">
        <v>66</v>
      </c>
      <c r="G1001" s="353">
        <v>19</v>
      </c>
    </row>
    <row r="1002" spans="1:7" x14ac:dyDescent="0.3">
      <c r="A1002" s="350" t="s">
        <v>147</v>
      </c>
      <c r="B1002" s="350" t="s">
        <v>89</v>
      </c>
      <c r="C1002" s="350">
        <v>2016</v>
      </c>
      <c r="D1002" s="350" t="s">
        <v>65</v>
      </c>
      <c r="E1002" s="350">
        <v>3348</v>
      </c>
      <c r="F1002" s="353" t="s">
        <v>66</v>
      </c>
      <c r="G1002" s="353">
        <v>20</v>
      </c>
    </row>
    <row r="1003" spans="1:7" x14ac:dyDescent="0.3">
      <c r="A1003" s="350" t="s">
        <v>147</v>
      </c>
      <c r="B1003" s="350" t="s">
        <v>89</v>
      </c>
      <c r="C1003" s="350">
        <v>2015</v>
      </c>
      <c r="D1003" s="350" t="s">
        <v>65</v>
      </c>
      <c r="E1003" s="350">
        <v>3348</v>
      </c>
      <c r="F1003" s="353" t="s">
        <v>66</v>
      </c>
      <c r="G1003" s="353">
        <v>13</v>
      </c>
    </row>
    <row r="1004" spans="1:7" x14ac:dyDescent="0.3">
      <c r="A1004" s="350" t="s">
        <v>147</v>
      </c>
      <c r="B1004" s="350" t="s">
        <v>89</v>
      </c>
      <c r="C1004" s="350">
        <v>2014</v>
      </c>
      <c r="D1004" s="350" t="s">
        <v>65</v>
      </c>
      <c r="E1004" s="350">
        <v>3348</v>
      </c>
      <c r="F1004" s="353" t="s">
        <v>66</v>
      </c>
      <c r="G1004" s="353">
        <v>9</v>
      </c>
    </row>
    <row r="1005" spans="1:7" x14ac:dyDescent="0.3">
      <c r="A1005" s="350" t="s">
        <v>147</v>
      </c>
      <c r="B1005" s="350" t="s">
        <v>81</v>
      </c>
      <c r="C1005" s="350">
        <v>2021</v>
      </c>
      <c r="D1005" s="350" t="s">
        <v>65</v>
      </c>
      <c r="E1005" s="350">
        <v>3325</v>
      </c>
      <c r="F1005" s="353" t="s">
        <v>66</v>
      </c>
      <c r="G1005" s="353">
        <v>5</v>
      </c>
    </row>
    <row r="1006" spans="1:7" x14ac:dyDescent="0.3">
      <c r="A1006" s="350" t="s">
        <v>147</v>
      </c>
      <c r="B1006" s="350" t="s">
        <v>81</v>
      </c>
      <c r="C1006" s="350">
        <v>2020</v>
      </c>
      <c r="D1006" s="350" t="s">
        <v>65</v>
      </c>
      <c r="E1006" s="350">
        <v>3325</v>
      </c>
      <c r="F1006" s="353" t="s">
        <v>66</v>
      </c>
      <c r="G1006" s="353">
        <v>1</v>
      </c>
    </row>
    <row r="1007" spans="1:7" x14ac:dyDescent="0.3">
      <c r="A1007" s="350" t="s">
        <v>147</v>
      </c>
      <c r="B1007" s="350" t="s">
        <v>81</v>
      </c>
      <c r="C1007" s="350">
        <v>2019</v>
      </c>
      <c r="D1007" s="350" t="s">
        <v>65</v>
      </c>
      <c r="E1007" s="350">
        <v>3325</v>
      </c>
      <c r="F1007" s="353" t="s">
        <v>66</v>
      </c>
      <c r="G1007" s="353">
        <v>7</v>
      </c>
    </row>
    <row r="1008" spans="1:7" x14ac:dyDescent="0.3">
      <c r="A1008" s="350" t="s">
        <v>147</v>
      </c>
      <c r="B1008" s="350" t="s">
        <v>81</v>
      </c>
      <c r="C1008" s="350">
        <v>2018</v>
      </c>
      <c r="D1008" s="350" t="s">
        <v>65</v>
      </c>
      <c r="E1008" s="350">
        <v>3325</v>
      </c>
      <c r="F1008" s="353" t="s">
        <v>66</v>
      </c>
      <c r="G1008" s="353">
        <v>9</v>
      </c>
    </row>
    <row r="1009" spans="1:7" x14ac:dyDescent="0.3">
      <c r="A1009" s="350" t="s">
        <v>147</v>
      </c>
      <c r="B1009" s="350" t="s">
        <v>81</v>
      </c>
      <c r="C1009" s="350">
        <v>2017</v>
      </c>
      <c r="D1009" s="350" t="s">
        <v>65</v>
      </c>
      <c r="E1009" s="350">
        <v>3325</v>
      </c>
      <c r="F1009" s="353" t="s">
        <v>66</v>
      </c>
      <c r="G1009" s="353">
        <v>7</v>
      </c>
    </row>
    <row r="1010" spans="1:7" x14ac:dyDescent="0.3">
      <c r="A1010" s="350" t="s">
        <v>147</v>
      </c>
      <c r="B1010" s="350" t="s">
        <v>81</v>
      </c>
      <c r="C1010" s="350">
        <v>2016</v>
      </c>
      <c r="D1010" s="350" t="s">
        <v>65</v>
      </c>
      <c r="E1010" s="350">
        <v>3325</v>
      </c>
      <c r="F1010" s="353" t="s">
        <v>66</v>
      </c>
      <c r="G1010" s="353">
        <v>5</v>
      </c>
    </row>
    <row r="1011" spans="1:7" x14ac:dyDescent="0.3">
      <c r="A1011" s="350" t="s">
        <v>147</v>
      </c>
      <c r="B1011" s="350" t="s">
        <v>81</v>
      </c>
      <c r="C1011" s="350">
        <v>2015</v>
      </c>
      <c r="D1011" s="350" t="s">
        <v>65</v>
      </c>
      <c r="E1011" s="350">
        <v>3325</v>
      </c>
      <c r="F1011" s="353" t="s">
        <v>66</v>
      </c>
      <c r="G1011" s="353">
        <v>4</v>
      </c>
    </row>
    <row r="1012" spans="1:7" x14ac:dyDescent="0.3">
      <c r="A1012" s="350" t="s">
        <v>147</v>
      </c>
      <c r="B1012" s="350" t="s">
        <v>81</v>
      </c>
      <c r="C1012" s="350">
        <v>2014</v>
      </c>
      <c r="D1012" s="350" t="s">
        <v>65</v>
      </c>
      <c r="E1012" s="350">
        <v>3325</v>
      </c>
      <c r="F1012" s="353" t="s">
        <v>66</v>
      </c>
      <c r="G1012" s="353">
        <v>3</v>
      </c>
    </row>
    <row r="1013" spans="1:7" x14ac:dyDescent="0.3">
      <c r="A1013" s="350" t="s">
        <v>147</v>
      </c>
      <c r="B1013" s="350" t="s">
        <v>118</v>
      </c>
      <c r="C1013" s="350">
        <v>2021</v>
      </c>
      <c r="D1013" s="350" t="s">
        <v>65</v>
      </c>
      <c r="E1013" s="350">
        <v>3306</v>
      </c>
      <c r="F1013" s="353" t="s">
        <v>66</v>
      </c>
      <c r="G1013" s="353">
        <v>1</v>
      </c>
    </row>
    <row r="1014" spans="1:7" x14ac:dyDescent="0.3">
      <c r="A1014" s="350" t="s">
        <v>147</v>
      </c>
      <c r="B1014" s="350" t="s">
        <v>118</v>
      </c>
      <c r="C1014" s="350">
        <v>2020</v>
      </c>
      <c r="D1014" s="350" t="s">
        <v>65</v>
      </c>
      <c r="E1014" s="350">
        <v>3306</v>
      </c>
      <c r="F1014" s="353" t="s">
        <v>66</v>
      </c>
      <c r="G1014" s="353">
        <v>3</v>
      </c>
    </row>
    <row r="1015" spans="1:7" x14ac:dyDescent="0.3">
      <c r="A1015" s="350" t="s">
        <v>147</v>
      </c>
      <c r="B1015" s="350" t="s">
        <v>118</v>
      </c>
      <c r="C1015" s="350">
        <v>2019</v>
      </c>
      <c r="D1015" s="350" t="s">
        <v>65</v>
      </c>
      <c r="E1015" s="350">
        <v>3306</v>
      </c>
      <c r="F1015" s="353" t="s">
        <v>66</v>
      </c>
      <c r="G1015" s="353">
        <v>5</v>
      </c>
    </row>
    <row r="1016" spans="1:7" x14ac:dyDescent="0.3">
      <c r="A1016" s="350" t="s">
        <v>147</v>
      </c>
      <c r="B1016" s="350" t="s">
        <v>118</v>
      </c>
      <c r="C1016" s="350">
        <v>2018</v>
      </c>
      <c r="D1016" s="350" t="s">
        <v>65</v>
      </c>
      <c r="E1016" s="350">
        <v>3306</v>
      </c>
      <c r="F1016" s="353" t="s">
        <v>66</v>
      </c>
      <c r="G1016" s="353">
        <v>2</v>
      </c>
    </row>
    <row r="1017" spans="1:7" x14ac:dyDescent="0.3">
      <c r="A1017" s="350" t="s">
        <v>147</v>
      </c>
      <c r="B1017" s="350" t="s">
        <v>118</v>
      </c>
      <c r="C1017" s="350">
        <v>2017</v>
      </c>
      <c r="D1017" s="350" t="s">
        <v>65</v>
      </c>
      <c r="E1017" s="350">
        <v>3306</v>
      </c>
      <c r="F1017" s="353" t="s">
        <v>66</v>
      </c>
      <c r="G1017" s="353">
        <v>13</v>
      </c>
    </row>
    <row r="1018" spans="1:7" x14ac:dyDescent="0.3">
      <c r="A1018" s="350" t="s">
        <v>147</v>
      </c>
      <c r="B1018" s="350" t="s">
        <v>118</v>
      </c>
      <c r="C1018" s="350">
        <v>2016</v>
      </c>
      <c r="D1018" s="350" t="s">
        <v>65</v>
      </c>
      <c r="E1018" s="350">
        <v>3306</v>
      </c>
      <c r="F1018" s="353" t="s">
        <v>66</v>
      </c>
      <c r="G1018" s="353">
        <v>2</v>
      </c>
    </row>
    <row r="1019" spans="1:7" x14ac:dyDescent="0.3">
      <c r="A1019" s="350" t="s">
        <v>147</v>
      </c>
      <c r="B1019" s="350" t="s">
        <v>118</v>
      </c>
      <c r="C1019" s="350">
        <v>2015</v>
      </c>
      <c r="D1019" s="350" t="s">
        <v>65</v>
      </c>
      <c r="E1019" s="350">
        <v>3306</v>
      </c>
      <c r="F1019" s="353" t="s">
        <v>66</v>
      </c>
      <c r="G1019" s="353">
        <v>1</v>
      </c>
    </row>
    <row r="1020" spans="1:7" x14ac:dyDescent="0.3">
      <c r="A1020" s="350" t="s">
        <v>147</v>
      </c>
      <c r="B1020" s="350" t="s">
        <v>118</v>
      </c>
      <c r="C1020" s="350">
        <v>2014</v>
      </c>
      <c r="D1020" s="350" t="s">
        <v>65</v>
      </c>
      <c r="E1020" s="350">
        <v>3306</v>
      </c>
      <c r="F1020" s="353" t="s">
        <v>66</v>
      </c>
      <c r="G1020" s="353">
        <v>2</v>
      </c>
    </row>
    <row r="1021" spans="1:7" x14ac:dyDescent="0.3">
      <c r="A1021" s="350" t="s">
        <v>147</v>
      </c>
      <c r="B1021" s="350" t="s">
        <v>68</v>
      </c>
      <c r="C1021" s="350">
        <v>2020</v>
      </c>
      <c r="D1021" s="350" t="s">
        <v>65</v>
      </c>
      <c r="E1021" s="350">
        <v>3262</v>
      </c>
      <c r="F1021" s="353" t="s">
        <v>66</v>
      </c>
      <c r="G1021" s="353">
        <v>1</v>
      </c>
    </row>
    <row r="1022" spans="1:7" x14ac:dyDescent="0.3">
      <c r="A1022" s="350" t="s">
        <v>147</v>
      </c>
      <c r="B1022" s="350" t="s">
        <v>68</v>
      </c>
      <c r="C1022" s="350">
        <v>2017</v>
      </c>
      <c r="D1022" s="350" t="s">
        <v>65</v>
      </c>
      <c r="E1022" s="350">
        <v>3262</v>
      </c>
      <c r="F1022" s="353" t="s">
        <v>66</v>
      </c>
      <c r="G1022" s="353">
        <v>6</v>
      </c>
    </row>
    <row r="1023" spans="1:7" x14ac:dyDescent="0.3">
      <c r="A1023" s="350" t="s">
        <v>147</v>
      </c>
      <c r="B1023" s="350" t="s">
        <v>68</v>
      </c>
      <c r="C1023" s="350">
        <v>2016</v>
      </c>
      <c r="D1023" s="350" t="s">
        <v>65</v>
      </c>
      <c r="E1023" s="350">
        <v>3262</v>
      </c>
      <c r="F1023" s="353" t="s">
        <v>66</v>
      </c>
      <c r="G1023" s="353">
        <v>2</v>
      </c>
    </row>
    <row r="1024" spans="1:7" x14ac:dyDescent="0.3">
      <c r="A1024" s="350" t="s">
        <v>147</v>
      </c>
      <c r="B1024" s="350" t="s">
        <v>68</v>
      </c>
      <c r="C1024" s="350">
        <v>2015</v>
      </c>
      <c r="D1024" s="350" t="s">
        <v>65</v>
      </c>
      <c r="E1024" s="350">
        <v>3262</v>
      </c>
      <c r="F1024" s="353" t="s">
        <v>66</v>
      </c>
      <c r="G1024" s="353">
        <v>3</v>
      </c>
    </row>
    <row r="1025" spans="1:7" x14ac:dyDescent="0.3">
      <c r="A1025" s="350" t="s">
        <v>147</v>
      </c>
      <c r="B1025" s="350" t="s">
        <v>68</v>
      </c>
      <c r="C1025" s="350">
        <v>2014</v>
      </c>
      <c r="D1025" s="350" t="s">
        <v>65</v>
      </c>
      <c r="E1025" s="350">
        <v>3262</v>
      </c>
      <c r="F1025" s="353" t="s">
        <v>66</v>
      </c>
      <c r="G1025" s="353">
        <v>3</v>
      </c>
    </row>
    <row r="1026" spans="1:7" x14ac:dyDescent="0.3">
      <c r="A1026" s="350" t="s">
        <v>147</v>
      </c>
      <c r="B1026" s="350" t="s">
        <v>132</v>
      </c>
      <c r="C1026" s="350">
        <v>2021</v>
      </c>
      <c r="D1026" s="350" t="s">
        <v>65</v>
      </c>
      <c r="E1026" s="350">
        <v>3200</v>
      </c>
      <c r="F1026" s="353" t="s">
        <v>66</v>
      </c>
      <c r="G1026" s="353">
        <v>29</v>
      </c>
    </row>
    <row r="1027" spans="1:7" x14ac:dyDescent="0.3">
      <c r="A1027" s="350" t="s">
        <v>147</v>
      </c>
      <c r="B1027" s="350" t="s">
        <v>132</v>
      </c>
      <c r="C1027" s="350">
        <v>2020</v>
      </c>
      <c r="D1027" s="350" t="s">
        <v>65</v>
      </c>
      <c r="E1027" s="350">
        <v>3200</v>
      </c>
      <c r="F1027" s="353" t="s">
        <v>66</v>
      </c>
      <c r="G1027" s="353">
        <v>54</v>
      </c>
    </row>
    <row r="1028" spans="1:7" x14ac:dyDescent="0.3">
      <c r="A1028" s="350" t="s">
        <v>147</v>
      </c>
      <c r="B1028" s="350" t="s">
        <v>132</v>
      </c>
      <c r="C1028" s="350">
        <v>2019</v>
      </c>
      <c r="D1028" s="350" t="s">
        <v>65</v>
      </c>
      <c r="E1028" s="350">
        <v>3200</v>
      </c>
      <c r="F1028" s="353" t="s">
        <v>66</v>
      </c>
      <c r="G1028" s="353">
        <v>48</v>
      </c>
    </row>
    <row r="1029" spans="1:7" x14ac:dyDescent="0.3">
      <c r="A1029" s="350" t="s">
        <v>147</v>
      </c>
      <c r="B1029" s="350" t="s">
        <v>132</v>
      </c>
      <c r="C1029" s="350">
        <v>2018</v>
      </c>
      <c r="D1029" s="350" t="s">
        <v>65</v>
      </c>
      <c r="E1029" s="350">
        <v>3200</v>
      </c>
      <c r="F1029" s="353" t="s">
        <v>66</v>
      </c>
      <c r="G1029" s="353">
        <v>48</v>
      </c>
    </row>
    <row r="1030" spans="1:7" x14ac:dyDescent="0.3">
      <c r="A1030" s="350" t="s">
        <v>147</v>
      </c>
      <c r="B1030" s="350" t="s">
        <v>132</v>
      </c>
      <c r="C1030" s="350">
        <v>2017</v>
      </c>
      <c r="D1030" s="350" t="s">
        <v>65</v>
      </c>
      <c r="E1030" s="350">
        <v>3200</v>
      </c>
      <c r="F1030" s="353" t="s">
        <v>66</v>
      </c>
      <c r="G1030" s="353">
        <v>31</v>
      </c>
    </row>
    <row r="1031" spans="1:7" x14ac:dyDescent="0.3">
      <c r="A1031" s="350" t="s">
        <v>147</v>
      </c>
      <c r="B1031" s="350" t="s">
        <v>132</v>
      </c>
      <c r="C1031" s="350">
        <v>2016</v>
      </c>
      <c r="D1031" s="350" t="s">
        <v>65</v>
      </c>
      <c r="E1031" s="350">
        <v>3200</v>
      </c>
      <c r="F1031" s="353" t="s">
        <v>66</v>
      </c>
      <c r="G1031" s="353">
        <v>18</v>
      </c>
    </row>
    <row r="1032" spans="1:7" x14ac:dyDescent="0.3">
      <c r="A1032" s="350" t="s">
        <v>147</v>
      </c>
      <c r="B1032" s="350" t="s">
        <v>132</v>
      </c>
      <c r="C1032" s="350">
        <v>2015</v>
      </c>
      <c r="D1032" s="350" t="s">
        <v>65</v>
      </c>
      <c r="E1032" s="350">
        <v>3200</v>
      </c>
      <c r="F1032" s="353" t="s">
        <v>66</v>
      </c>
      <c r="G1032" s="353">
        <v>34</v>
      </c>
    </row>
    <row r="1033" spans="1:7" x14ac:dyDescent="0.3">
      <c r="A1033" s="350" t="s">
        <v>147</v>
      </c>
      <c r="B1033" s="350" t="s">
        <v>132</v>
      </c>
      <c r="C1033" s="350">
        <v>2014</v>
      </c>
      <c r="D1033" s="350" t="s">
        <v>65</v>
      </c>
      <c r="E1033" s="350">
        <v>3200</v>
      </c>
      <c r="F1033" s="353" t="s">
        <v>66</v>
      </c>
      <c r="G1033" s="353">
        <v>14</v>
      </c>
    </row>
    <row r="1034" spans="1:7" x14ac:dyDescent="0.3">
      <c r="A1034" s="350" t="s">
        <v>147</v>
      </c>
      <c r="B1034" s="350" t="s">
        <v>92</v>
      </c>
      <c r="C1034" s="350">
        <v>2021</v>
      </c>
      <c r="D1034" s="350" t="s">
        <v>65</v>
      </c>
      <c r="E1034" s="350">
        <v>3100</v>
      </c>
      <c r="F1034" s="353" t="s">
        <v>66</v>
      </c>
      <c r="G1034" s="353">
        <v>48</v>
      </c>
    </row>
    <row r="1035" spans="1:7" x14ac:dyDescent="0.3">
      <c r="A1035" s="350" t="s">
        <v>147</v>
      </c>
      <c r="B1035" s="350" t="s">
        <v>92</v>
      </c>
      <c r="C1035" s="350">
        <v>2020</v>
      </c>
      <c r="D1035" s="350" t="s">
        <v>65</v>
      </c>
      <c r="E1035" s="350">
        <v>3100</v>
      </c>
      <c r="F1035" s="353" t="s">
        <v>66</v>
      </c>
      <c r="G1035" s="353">
        <v>43</v>
      </c>
    </row>
    <row r="1036" spans="1:7" x14ac:dyDescent="0.3">
      <c r="A1036" s="350" t="s">
        <v>147</v>
      </c>
      <c r="B1036" s="350" t="s">
        <v>92</v>
      </c>
      <c r="C1036" s="350">
        <v>2019</v>
      </c>
      <c r="D1036" s="350" t="s">
        <v>65</v>
      </c>
      <c r="E1036" s="350">
        <v>3100</v>
      </c>
      <c r="F1036" s="353" t="s">
        <v>66</v>
      </c>
      <c r="G1036" s="353">
        <v>45</v>
      </c>
    </row>
    <row r="1037" spans="1:7" x14ac:dyDescent="0.3">
      <c r="A1037" s="350" t="s">
        <v>147</v>
      </c>
      <c r="B1037" s="350" t="s">
        <v>92</v>
      </c>
      <c r="C1037" s="350">
        <v>2018</v>
      </c>
      <c r="D1037" s="350" t="s">
        <v>65</v>
      </c>
      <c r="E1037" s="350">
        <v>3100</v>
      </c>
      <c r="F1037" s="353" t="s">
        <v>66</v>
      </c>
      <c r="G1037" s="353">
        <v>74</v>
      </c>
    </row>
    <row r="1038" spans="1:7" x14ac:dyDescent="0.3">
      <c r="A1038" s="350" t="s">
        <v>147</v>
      </c>
      <c r="B1038" s="350" t="s">
        <v>92</v>
      </c>
      <c r="C1038" s="350">
        <v>2017</v>
      </c>
      <c r="D1038" s="350" t="s">
        <v>65</v>
      </c>
      <c r="E1038" s="350">
        <v>3100</v>
      </c>
      <c r="F1038" s="353" t="s">
        <v>66</v>
      </c>
      <c r="G1038" s="353">
        <v>70</v>
      </c>
    </row>
    <row r="1039" spans="1:7" x14ac:dyDescent="0.3">
      <c r="A1039" s="350" t="s">
        <v>147</v>
      </c>
      <c r="B1039" s="350" t="s">
        <v>92</v>
      </c>
      <c r="C1039" s="350">
        <v>2016</v>
      </c>
      <c r="D1039" s="350" t="s">
        <v>65</v>
      </c>
      <c r="E1039" s="350">
        <v>3100</v>
      </c>
      <c r="F1039" s="353" t="s">
        <v>66</v>
      </c>
      <c r="G1039" s="353">
        <v>59</v>
      </c>
    </row>
    <row r="1040" spans="1:7" x14ac:dyDescent="0.3">
      <c r="A1040" s="350" t="s">
        <v>147</v>
      </c>
      <c r="B1040" s="350" t="s">
        <v>92</v>
      </c>
      <c r="C1040" s="350">
        <v>2015</v>
      </c>
      <c r="D1040" s="350" t="s">
        <v>65</v>
      </c>
      <c r="E1040" s="350">
        <v>3100</v>
      </c>
      <c r="F1040" s="353" t="s">
        <v>66</v>
      </c>
      <c r="G1040" s="353">
        <v>72</v>
      </c>
    </row>
    <row r="1041" spans="1:7" x14ac:dyDescent="0.3">
      <c r="A1041" s="350" t="s">
        <v>147</v>
      </c>
      <c r="B1041" s="350" t="s">
        <v>92</v>
      </c>
      <c r="C1041" s="350">
        <v>2014</v>
      </c>
      <c r="D1041" s="350" t="s">
        <v>65</v>
      </c>
      <c r="E1041" s="350">
        <v>3100</v>
      </c>
      <c r="F1041" s="353" t="s">
        <v>66</v>
      </c>
      <c r="G1041" s="353">
        <v>37</v>
      </c>
    </row>
    <row r="1042" spans="1:7" x14ac:dyDescent="0.3">
      <c r="A1042" s="350" t="s">
        <v>147</v>
      </c>
      <c r="B1042" s="350" t="s">
        <v>122</v>
      </c>
      <c r="C1042" s="350">
        <v>2021</v>
      </c>
      <c r="D1042" s="350" t="s">
        <v>65</v>
      </c>
      <c r="E1042" s="350">
        <v>3086</v>
      </c>
      <c r="F1042" s="353" t="s">
        <v>66</v>
      </c>
      <c r="G1042" s="353">
        <v>4</v>
      </c>
    </row>
    <row r="1043" spans="1:7" x14ac:dyDescent="0.3">
      <c r="A1043" s="350" t="s">
        <v>147</v>
      </c>
      <c r="B1043" s="350" t="s">
        <v>122</v>
      </c>
      <c r="C1043" s="350">
        <v>2020</v>
      </c>
      <c r="D1043" s="350" t="s">
        <v>65</v>
      </c>
      <c r="E1043" s="350">
        <v>3086</v>
      </c>
      <c r="F1043" s="353" t="s">
        <v>66</v>
      </c>
      <c r="G1043" s="353">
        <v>4</v>
      </c>
    </row>
    <row r="1044" spans="1:7" x14ac:dyDescent="0.3">
      <c r="A1044" s="350" t="s">
        <v>147</v>
      </c>
      <c r="B1044" s="350" t="s">
        <v>122</v>
      </c>
      <c r="C1044" s="350">
        <v>2019</v>
      </c>
      <c r="D1044" s="350" t="s">
        <v>65</v>
      </c>
      <c r="E1044" s="350">
        <v>3086</v>
      </c>
      <c r="F1044" s="353" t="s">
        <v>66</v>
      </c>
      <c r="G1044" s="353">
        <v>5</v>
      </c>
    </row>
    <row r="1045" spans="1:7" x14ac:dyDescent="0.3">
      <c r="A1045" s="350" t="s">
        <v>147</v>
      </c>
      <c r="B1045" s="350" t="s">
        <v>122</v>
      </c>
      <c r="C1045" s="350">
        <v>2018</v>
      </c>
      <c r="D1045" s="350" t="s">
        <v>65</v>
      </c>
      <c r="E1045" s="350">
        <v>3086</v>
      </c>
      <c r="F1045" s="353" t="s">
        <v>66</v>
      </c>
      <c r="G1045" s="353">
        <v>4</v>
      </c>
    </row>
    <row r="1046" spans="1:7" x14ac:dyDescent="0.3">
      <c r="A1046" s="350" t="s">
        <v>147</v>
      </c>
      <c r="B1046" s="350" t="s">
        <v>122</v>
      </c>
      <c r="C1046" s="350">
        <v>2017</v>
      </c>
      <c r="D1046" s="350" t="s">
        <v>65</v>
      </c>
      <c r="E1046" s="350">
        <v>3086</v>
      </c>
      <c r="F1046" s="353" t="s">
        <v>66</v>
      </c>
      <c r="G1046" s="353">
        <v>4</v>
      </c>
    </row>
    <row r="1047" spans="1:7" x14ac:dyDescent="0.3">
      <c r="A1047" s="350" t="s">
        <v>147</v>
      </c>
      <c r="B1047" s="350" t="s">
        <v>122</v>
      </c>
      <c r="C1047" s="350">
        <v>2016</v>
      </c>
      <c r="D1047" s="350" t="s">
        <v>65</v>
      </c>
      <c r="E1047" s="350">
        <v>3086</v>
      </c>
      <c r="F1047" s="353" t="s">
        <v>66</v>
      </c>
      <c r="G1047" s="353">
        <v>5</v>
      </c>
    </row>
    <row r="1048" spans="1:7" x14ac:dyDescent="0.3">
      <c r="A1048" s="350" t="s">
        <v>147</v>
      </c>
      <c r="B1048" s="350" t="s">
        <v>122</v>
      </c>
      <c r="C1048" s="350">
        <v>2015</v>
      </c>
      <c r="D1048" s="350" t="s">
        <v>65</v>
      </c>
      <c r="E1048" s="350">
        <v>3086</v>
      </c>
      <c r="F1048" s="353" t="s">
        <v>66</v>
      </c>
      <c r="G1048" s="353">
        <v>4</v>
      </c>
    </row>
    <row r="1049" spans="1:7" x14ac:dyDescent="0.3">
      <c r="A1049" s="350" t="s">
        <v>147</v>
      </c>
      <c r="B1049" s="350" t="s">
        <v>122</v>
      </c>
      <c r="C1049" s="350">
        <v>2014</v>
      </c>
      <c r="D1049" s="350" t="s">
        <v>65</v>
      </c>
      <c r="E1049" s="350">
        <v>3086</v>
      </c>
      <c r="F1049" s="353" t="s">
        <v>66</v>
      </c>
      <c r="G1049" s="353">
        <v>4</v>
      </c>
    </row>
    <row r="1050" spans="1:7" x14ac:dyDescent="0.3">
      <c r="A1050" s="350" t="s">
        <v>147</v>
      </c>
      <c r="B1050" s="350" t="s">
        <v>142</v>
      </c>
      <c r="C1050" s="350">
        <v>2021</v>
      </c>
      <c r="D1050" s="350" t="s">
        <v>65</v>
      </c>
      <c r="E1050" s="350">
        <v>3000</v>
      </c>
      <c r="F1050" s="353" t="s">
        <v>66</v>
      </c>
      <c r="G1050" s="353">
        <v>58</v>
      </c>
    </row>
    <row r="1051" spans="1:7" x14ac:dyDescent="0.3">
      <c r="A1051" s="350" t="s">
        <v>147</v>
      </c>
      <c r="B1051" s="350" t="s">
        <v>142</v>
      </c>
      <c r="C1051" s="350">
        <v>2020</v>
      </c>
      <c r="D1051" s="350" t="s">
        <v>65</v>
      </c>
      <c r="E1051" s="350">
        <v>3000</v>
      </c>
      <c r="F1051" s="353" t="s">
        <v>66</v>
      </c>
      <c r="G1051" s="353">
        <v>48</v>
      </c>
    </row>
    <row r="1052" spans="1:7" x14ac:dyDescent="0.3">
      <c r="A1052" s="350" t="s">
        <v>147</v>
      </c>
      <c r="B1052" s="350" t="s">
        <v>142</v>
      </c>
      <c r="C1052" s="350">
        <v>2019</v>
      </c>
      <c r="D1052" s="350" t="s">
        <v>65</v>
      </c>
      <c r="E1052" s="350">
        <v>3000</v>
      </c>
      <c r="F1052" s="353" t="s">
        <v>66</v>
      </c>
      <c r="G1052" s="353">
        <v>69</v>
      </c>
    </row>
    <row r="1053" spans="1:7" x14ac:dyDescent="0.3">
      <c r="A1053" s="350" t="s">
        <v>147</v>
      </c>
      <c r="B1053" s="350" t="s">
        <v>142</v>
      </c>
      <c r="C1053" s="350">
        <v>2018</v>
      </c>
      <c r="D1053" s="350" t="s">
        <v>65</v>
      </c>
      <c r="E1053" s="350">
        <v>3000</v>
      </c>
      <c r="F1053" s="353" t="s">
        <v>66</v>
      </c>
      <c r="G1053" s="353">
        <v>36</v>
      </c>
    </row>
    <row r="1054" spans="1:7" x14ac:dyDescent="0.3">
      <c r="A1054" s="350" t="s">
        <v>147</v>
      </c>
      <c r="B1054" s="350" t="s">
        <v>142</v>
      </c>
      <c r="C1054" s="350">
        <v>2017</v>
      </c>
      <c r="D1054" s="350" t="s">
        <v>65</v>
      </c>
      <c r="E1054" s="350">
        <v>3000</v>
      </c>
      <c r="F1054" s="353" t="s">
        <v>66</v>
      </c>
      <c r="G1054" s="353">
        <v>20</v>
      </c>
    </row>
    <row r="1055" spans="1:7" x14ac:dyDescent="0.3">
      <c r="A1055" s="350" t="s">
        <v>147</v>
      </c>
      <c r="B1055" s="350" t="s">
        <v>142</v>
      </c>
      <c r="C1055" s="350">
        <v>2016</v>
      </c>
      <c r="D1055" s="350" t="s">
        <v>65</v>
      </c>
      <c r="E1055" s="350">
        <v>3000</v>
      </c>
      <c r="F1055" s="353" t="s">
        <v>66</v>
      </c>
      <c r="G1055" s="353">
        <v>31</v>
      </c>
    </row>
    <row r="1056" spans="1:7" x14ac:dyDescent="0.3">
      <c r="A1056" s="350" t="s">
        <v>147</v>
      </c>
      <c r="B1056" s="350" t="s">
        <v>142</v>
      </c>
      <c r="C1056" s="350">
        <v>2015</v>
      </c>
      <c r="D1056" s="350" t="s">
        <v>65</v>
      </c>
      <c r="E1056" s="350">
        <v>3000</v>
      </c>
      <c r="F1056" s="353" t="s">
        <v>66</v>
      </c>
      <c r="G1056" s="353">
        <v>30</v>
      </c>
    </row>
    <row r="1057" spans="1:7" x14ac:dyDescent="0.3">
      <c r="A1057" s="350" t="s">
        <v>147</v>
      </c>
      <c r="B1057" s="350" t="s">
        <v>142</v>
      </c>
      <c r="C1057" s="350">
        <v>2014</v>
      </c>
      <c r="D1057" s="350" t="s">
        <v>65</v>
      </c>
      <c r="E1057" s="350">
        <v>3000</v>
      </c>
      <c r="F1057" s="353" t="s">
        <v>66</v>
      </c>
      <c r="G1057" s="353">
        <v>17</v>
      </c>
    </row>
    <row r="1058" spans="1:7" x14ac:dyDescent="0.3">
      <c r="A1058" s="350" t="s">
        <v>147</v>
      </c>
      <c r="B1058" s="350" t="s">
        <v>112</v>
      </c>
      <c r="C1058" s="350">
        <v>2021</v>
      </c>
      <c r="D1058" s="350" t="s">
        <v>65</v>
      </c>
      <c r="E1058" s="350">
        <v>2888</v>
      </c>
      <c r="F1058" s="353" t="s">
        <v>66</v>
      </c>
      <c r="G1058" s="353">
        <v>12</v>
      </c>
    </row>
    <row r="1059" spans="1:7" x14ac:dyDescent="0.3">
      <c r="A1059" s="350" t="s">
        <v>147</v>
      </c>
      <c r="B1059" s="350" t="s">
        <v>112</v>
      </c>
      <c r="C1059" s="350">
        <v>2020</v>
      </c>
      <c r="D1059" s="350" t="s">
        <v>65</v>
      </c>
      <c r="E1059" s="350">
        <v>2888</v>
      </c>
      <c r="F1059" s="353" t="s">
        <v>66</v>
      </c>
      <c r="G1059" s="353">
        <v>15</v>
      </c>
    </row>
    <row r="1060" spans="1:7" x14ac:dyDescent="0.3">
      <c r="A1060" s="350" t="s">
        <v>147</v>
      </c>
      <c r="B1060" s="350" t="s">
        <v>112</v>
      </c>
      <c r="C1060" s="350">
        <v>2019</v>
      </c>
      <c r="D1060" s="350" t="s">
        <v>65</v>
      </c>
      <c r="E1060" s="350">
        <v>2888</v>
      </c>
      <c r="F1060" s="353" t="s">
        <v>66</v>
      </c>
      <c r="G1060" s="353">
        <v>18</v>
      </c>
    </row>
    <row r="1061" spans="1:7" x14ac:dyDescent="0.3">
      <c r="A1061" s="350" t="s">
        <v>147</v>
      </c>
      <c r="B1061" s="350" t="s">
        <v>112</v>
      </c>
      <c r="C1061" s="350">
        <v>2018</v>
      </c>
      <c r="D1061" s="350" t="s">
        <v>65</v>
      </c>
      <c r="E1061" s="350">
        <v>2888</v>
      </c>
      <c r="F1061" s="353" t="s">
        <v>66</v>
      </c>
      <c r="G1061" s="353">
        <v>20</v>
      </c>
    </row>
    <row r="1062" spans="1:7" x14ac:dyDescent="0.3">
      <c r="A1062" s="350" t="s">
        <v>147</v>
      </c>
      <c r="B1062" s="350" t="s">
        <v>112</v>
      </c>
      <c r="C1062" s="350">
        <v>2017</v>
      </c>
      <c r="D1062" s="350" t="s">
        <v>65</v>
      </c>
      <c r="E1062" s="350">
        <v>2888</v>
      </c>
      <c r="F1062" s="353" t="s">
        <v>66</v>
      </c>
      <c r="G1062" s="353">
        <v>23</v>
      </c>
    </row>
    <row r="1063" spans="1:7" x14ac:dyDescent="0.3">
      <c r="A1063" s="350" t="s">
        <v>147</v>
      </c>
      <c r="B1063" s="350" t="s">
        <v>112</v>
      </c>
      <c r="C1063" s="350">
        <v>2016</v>
      </c>
      <c r="D1063" s="350" t="s">
        <v>65</v>
      </c>
      <c r="E1063" s="350">
        <v>2888</v>
      </c>
      <c r="F1063" s="353" t="s">
        <v>66</v>
      </c>
      <c r="G1063" s="353">
        <v>19</v>
      </c>
    </row>
    <row r="1064" spans="1:7" x14ac:dyDescent="0.3">
      <c r="A1064" s="350" t="s">
        <v>147</v>
      </c>
      <c r="B1064" s="350" t="s">
        <v>112</v>
      </c>
      <c r="C1064" s="350">
        <v>2015</v>
      </c>
      <c r="D1064" s="350" t="s">
        <v>65</v>
      </c>
      <c r="E1064" s="350">
        <v>2888</v>
      </c>
      <c r="F1064" s="353" t="s">
        <v>66</v>
      </c>
      <c r="G1064" s="353">
        <v>17</v>
      </c>
    </row>
    <row r="1065" spans="1:7" x14ac:dyDescent="0.3">
      <c r="A1065" s="350" t="s">
        <v>147</v>
      </c>
      <c r="B1065" s="350" t="s">
        <v>112</v>
      </c>
      <c r="C1065" s="350">
        <v>2014</v>
      </c>
      <c r="D1065" s="350" t="s">
        <v>65</v>
      </c>
      <c r="E1065" s="350">
        <v>2888</v>
      </c>
      <c r="F1065" s="353" t="s">
        <v>66</v>
      </c>
      <c r="G1065" s="353">
        <v>5</v>
      </c>
    </row>
    <row r="1066" spans="1:7" x14ac:dyDescent="0.3">
      <c r="A1066" s="350" t="s">
        <v>147</v>
      </c>
      <c r="B1066" s="350" t="s">
        <v>128</v>
      </c>
      <c r="C1066" s="350">
        <v>2021</v>
      </c>
      <c r="D1066" s="350" t="s">
        <v>65</v>
      </c>
      <c r="E1066" s="350">
        <v>2866</v>
      </c>
      <c r="F1066" s="353" t="s">
        <v>66</v>
      </c>
      <c r="G1066" s="353">
        <v>57</v>
      </c>
    </row>
    <row r="1067" spans="1:7" x14ac:dyDescent="0.3">
      <c r="A1067" s="350" t="s">
        <v>147</v>
      </c>
      <c r="B1067" s="350" t="s">
        <v>128</v>
      </c>
      <c r="C1067" s="350">
        <v>2020</v>
      </c>
      <c r="D1067" s="350" t="s">
        <v>65</v>
      </c>
      <c r="E1067" s="350">
        <v>2866</v>
      </c>
      <c r="F1067" s="353" t="s">
        <v>66</v>
      </c>
      <c r="G1067" s="353">
        <v>40</v>
      </c>
    </row>
    <row r="1068" spans="1:7" x14ac:dyDescent="0.3">
      <c r="A1068" s="350" t="s">
        <v>147</v>
      </c>
      <c r="B1068" s="350" t="s">
        <v>128</v>
      </c>
      <c r="C1068" s="350">
        <v>2019</v>
      </c>
      <c r="D1068" s="350" t="s">
        <v>65</v>
      </c>
      <c r="E1068" s="350">
        <v>2866</v>
      </c>
      <c r="F1068" s="353" t="s">
        <v>66</v>
      </c>
      <c r="G1068" s="353">
        <v>33</v>
      </c>
    </row>
    <row r="1069" spans="1:7" x14ac:dyDescent="0.3">
      <c r="A1069" s="350" t="s">
        <v>147</v>
      </c>
      <c r="B1069" s="350" t="s">
        <v>128</v>
      </c>
      <c r="C1069" s="350">
        <v>2018</v>
      </c>
      <c r="D1069" s="350" t="s">
        <v>65</v>
      </c>
      <c r="E1069" s="350">
        <v>2866</v>
      </c>
      <c r="F1069" s="353" t="s">
        <v>66</v>
      </c>
      <c r="G1069" s="353">
        <v>31</v>
      </c>
    </row>
    <row r="1070" spans="1:7" x14ac:dyDescent="0.3">
      <c r="A1070" s="350" t="s">
        <v>147</v>
      </c>
      <c r="B1070" s="350" t="s">
        <v>128</v>
      </c>
      <c r="C1070" s="350">
        <v>2017</v>
      </c>
      <c r="D1070" s="350" t="s">
        <v>65</v>
      </c>
      <c r="E1070" s="350">
        <v>2866</v>
      </c>
      <c r="F1070" s="353" t="s">
        <v>66</v>
      </c>
      <c r="G1070" s="353">
        <v>19</v>
      </c>
    </row>
    <row r="1071" spans="1:7" x14ac:dyDescent="0.3">
      <c r="A1071" s="350" t="s">
        <v>147</v>
      </c>
      <c r="B1071" s="350" t="s">
        <v>128</v>
      </c>
      <c r="C1071" s="350">
        <v>2016</v>
      </c>
      <c r="D1071" s="350" t="s">
        <v>65</v>
      </c>
      <c r="E1071" s="350">
        <v>2866</v>
      </c>
      <c r="F1071" s="353" t="s">
        <v>66</v>
      </c>
      <c r="G1071" s="353">
        <v>20</v>
      </c>
    </row>
    <row r="1072" spans="1:7" x14ac:dyDescent="0.3">
      <c r="A1072" s="350" t="s">
        <v>147</v>
      </c>
      <c r="B1072" s="350" t="s">
        <v>128</v>
      </c>
      <c r="C1072" s="350">
        <v>2015</v>
      </c>
      <c r="D1072" s="350" t="s">
        <v>65</v>
      </c>
      <c r="E1072" s="350">
        <v>2866</v>
      </c>
      <c r="F1072" s="353" t="s">
        <v>66</v>
      </c>
      <c r="G1072" s="353">
        <v>11</v>
      </c>
    </row>
    <row r="1073" spans="1:7" x14ac:dyDescent="0.3">
      <c r="A1073" s="350" t="s">
        <v>147</v>
      </c>
      <c r="B1073" s="350" t="s">
        <v>128</v>
      </c>
      <c r="C1073" s="350">
        <v>2014</v>
      </c>
      <c r="D1073" s="350" t="s">
        <v>65</v>
      </c>
      <c r="E1073" s="350">
        <v>2866</v>
      </c>
      <c r="F1073" s="353" t="s">
        <v>66</v>
      </c>
      <c r="G1073" s="353">
        <v>7</v>
      </c>
    </row>
    <row r="1074" spans="1:7" x14ac:dyDescent="0.3">
      <c r="A1074" s="350" t="s">
        <v>147</v>
      </c>
      <c r="B1074" s="350" t="s">
        <v>177</v>
      </c>
      <c r="C1074" s="350">
        <v>2020</v>
      </c>
      <c r="D1074" s="350" t="s">
        <v>65</v>
      </c>
      <c r="E1074" s="350">
        <v>2750</v>
      </c>
      <c r="F1074" s="353" t="s">
        <v>66</v>
      </c>
      <c r="G1074" s="353">
        <v>3</v>
      </c>
    </row>
    <row r="1075" spans="1:7" x14ac:dyDescent="0.3">
      <c r="A1075" s="350" t="s">
        <v>147</v>
      </c>
      <c r="B1075" s="350" t="s">
        <v>177</v>
      </c>
      <c r="C1075" s="350">
        <v>2018</v>
      </c>
      <c r="D1075" s="350" t="s">
        <v>65</v>
      </c>
      <c r="E1075" s="350">
        <v>2750</v>
      </c>
      <c r="F1075" s="353" t="s">
        <v>66</v>
      </c>
      <c r="G1075" s="353">
        <v>1</v>
      </c>
    </row>
    <row r="1076" spans="1:7" x14ac:dyDescent="0.3">
      <c r="A1076" s="350" t="s">
        <v>147</v>
      </c>
      <c r="B1076" s="350" t="s">
        <v>177</v>
      </c>
      <c r="C1076" s="350">
        <v>2016</v>
      </c>
      <c r="D1076" s="350" t="s">
        <v>65</v>
      </c>
      <c r="E1076" s="350">
        <v>2750</v>
      </c>
      <c r="F1076" s="353" t="s">
        <v>66</v>
      </c>
      <c r="G1076" s="353">
        <v>1</v>
      </c>
    </row>
    <row r="1077" spans="1:7" x14ac:dyDescent="0.3">
      <c r="A1077" s="350" t="s">
        <v>147</v>
      </c>
      <c r="B1077" s="350" t="s">
        <v>177</v>
      </c>
      <c r="C1077" s="350">
        <v>2015</v>
      </c>
      <c r="D1077" s="350" t="s">
        <v>65</v>
      </c>
      <c r="E1077" s="350">
        <v>2750</v>
      </c>
      <c r="F1077" s="353" t="s">
        <v>66</v>
      </c>
      <c r="G1077" s="353">
        <v>1</v>
      </c>
    </row>
    <row r="1078" spans="1:7" x14ac:dyDescent="0.3">
      <c r="A1078" s="350" t="s">
        <v>147</v>
      </c>
      <c r="B1078" s="350" t="s">
        <v>259</v>
      </c>
      <c r="C1078" s="350">
        <v>2021</v>
      </c>
      <c r="D1078" s="350" t="s">
        <v>65</v>
      </c>
      <c r="E1078" s="350">
        <v>2700</v>
      </c>
      <c r="F1078" s="353" t="s">
        <v>66</v>
      </c>
      <c r="G1078" s="353">
        <v>2</v>
      </c>
    </row>
    <row r="1079" spans="1:7" x14ac:dyDescent="0.3">
      <c r="A1079" s="350" t="s">
        <v>147</v>
      </c>
      <c r="B1079" s="350" t="s">
        <v>259</v>
      </c>
      <c r="C1079" s="350">
        <v>2020</v>
      </c>
      <c r="D1079" s="350" t="s">
        <v>65</v>
      </c>
      <c r="E1079" s="350">
        <v>2700</v>
      </c>
      <c r="F1079" s="353" t="s">
        <v>66</v>
      </c>
      <c r="G1079" s="353">
        <v>1</v>
      </c>
    </row>
    <row r="1080" spans="1:7" x14ac:dyDescent="0.3">
      <c r="A1080" s="350" t="s">
        <v>147</v>
      </c>
      <c r="B1080" s="350" t="s">
        <v>259</v>
      </c>
      <c r="C1080" s="350">
        <v>2017</v>
      </c>
      <c r="D1080" s="350" t="s">
        <v>65</v>
      </c>
      <c r="E1080" s="350">
        <v>2700</v>
      </c>
      <c r="F1080" s="353" t="s">
        <v>66</v>
      </c>
      <c r="G1080" s="353">
        <v>3</v>
      </c>
    </row>
    <row r="1081" spans="1:7" x14ac:dyDescent="0.3">
      <c r="A1081" s="350" t="s">
        <v>147</v>
      </c>
      <c r="B1081" s="350" t="s">
        <v>259</v>
      </c>
      <c r="C1081" s="350">
        <v>2016</v>
      </c>
      <c r="D1081" s="350" t="s">
        <v>65</v>
      </c>
      <c r="E1081" s="350">
        <v>2700</v>
      </c>
      <c r="F1081" s="353" t="s">
        <v>66</v>
      </c>
      <c r="G1081" s="353">
        <v>1</v>
      </c>
    </row>
    <row r="1082" spans="1:7" x14ac:dyDescent="0.3">
      <c r="A1082" s="350" t="s">
        <v>147</v>
      </c>
      <c r="B1082" s="350" t="s">
        <v>259</v>
      </c>
      <c r="C1082" s="350">
        <v>2015</v>
      </c>
      <c r="D1082" s="350" t="s">
        <v>65</v>
      </c>
      <c r="E1082" s="350">
        <v>2700</v>
      </c>
      <c r="F1082" s="353" t="s">
        <v>66</v>
      </c>
      <c r="G1082" s="353">
        <v>1</v>
      </c>
    </row>
    <row r="1083" spans="1:7" x14ac:dyDescent="0.3">
      <c r="A1083" s="350" t="s">
        <v>147</v>
      </c>
      <c r="B1083" s="350" t="s">
        <v>259</v>
      </c>
      <c r="C1083" s="350">
        <v>2014</v>
      </c>
      <c r="D1083" s="350" t="s">
        <v>65</v>
      </c>
      <c r="E1083" s="350">
        <v>2700</v>
      </c>
      <c r="F1083" s="353" t="s">
        <v>66</v>
      </c>
      <c r="G1083" s="353">
        <v>1</v>
      </c>
    </row>
    <row r="1084" spans="1:7" x14ac:dyDescent="0.3">
      <c r="A1084" s="350" t="s">
        <v>147</v>
      </c>
      <c r="B1084" s="350" t="s">
        <v>123</v>
      </c>
      <c r="C1084" s="350">
        <v>2021</v>
      </c>
      <c r="D1084" s="350" t="s">
        <v>65</v>
      </c>
      <c r="E1084" s="350">
        <v>2579</v>
      </c>
      <c r="F1084" s="353" t="s">
        <v>66</v>
      </c>
      <c r="G1084" s="353">
        <v>52</v>
      </c>
    </row>
    <row r="1085" spans="1:7" x14ac:dyDescent="0.3">
      <c r="A1085" s="350" t="s">
        <v>147</v>
      </c>
      <c r="B1085" s="350" t="s">
        <v>123</v>
      </c>
      <c r="C1085" s="350">
        <v>2020</v>
      </c>
      <c r="D1085" s="350" t="s">
        <v>65</v>
      </c>
      <c r="E1085" s="350">
        <v>2579</v>
      </c>
      <c r="F1085" s="353" t="s">
        <v>66</v>
      </c>
      <c r="G1085" s="353">
        <v>45</v>
      </c>
    </row>
    <row r="1086" spans="1:7" x14ac:dyDescent="0.3">
      <c r="A1086" s="350" t="s">
        <v>147</v>
      </c>
      <c r="B1086" s="350" t="s">
        <v>123</v>
      </c>
      <c r="C1086" s="350">
        <v>2019</v>
      </c>
      <c r="D1086" s="350" t="s">
        <v>65</v>
      </c>
      <c r="E1086" s="350">
        <v>2579</v>
      </c>
      <c r="F1086" s="353" t="s">
        <v>66</v>
      </c>
      <c r="G1086" s="353">
        <v>43</v>
      </c>
    </row>
    <row r="1087" spans="1:7" x14ac:dyDescent="0.3">
      <c r="A1087" s="350" t="s">
        <v>147</v>
      </c>
      <c r="B1087" s="350" t="s">
        <v>123</v>
      </c>
      <c r="C1087" s="350">
        <v>2018</v>
      </c>
      <c r="D1087" s="350" t="s">
        <v>65</v>
      </c>
      <c r="E1087" s="350">
        <v>2579</v>
      </c>
      <c r="F1087" s="353" t="s">
        <v>66</v>
      </c>
      <c r="G1087" s="353">
        <v>50</v>
      </c>
    </row>
    <row r="1088" spans="1:7" x14ac:dyDescent="0.3">
      <c r="A1088" s="350" t="s">
        <v>147</v>
      </c>
      <c r="B1088" s="350" t="s">
        <v>123</v>
      </c>
      <c r="C1088" s="350">
        <v>2017</v>
      </c>
      <c r="D1088" s="350" t="s">
        <v>65</v>
      </c>
      <c r="E1088" s="350">
        <v>2579</v>
      </c>
      <c r="F1088" s="353" t="s">
        <v>66</v>
      </c>
      <c r="G1088" s="353">
        <v>40</v>
      </c>
    </row>
    <row r="1089" spans="1:7" x14ac:dyDescent="0.3">
      <c r="A1089" s="350" t="s">
        <v>147</v>
      </c>
      <c r="B1089" s="350" t="s">
        <v>123</v>
      </c>
      <c r="C1089" s="350">
        <v>2016</v>
      </c>
      <c r="D1089" s="350" t="s">
        <v>65</v>
      </c>
      <c r="E1089" s="350">
        <v>2579</v>
      </c>
      <c r="F1089" s="353" t="s">
        <v>66</v>
      </c>
      <c r="G1089" s="353">
        <v>17</v>
      </c>
    </row>
    <row r="1090" spans="1:7" x14ac:dyDescent="0.3">
      <c r="A1090" s="350" t="s">
        <v>147</v>
      </c>
      <c r="B1090" s="350" t="s">
        <v>123</v>
      </c>
      <c r="C1090" s="350">
        <v>2015</v>
      </c>
      <c r="D1090" s="350" t="s">
        <v>65</v>
      </c>
      <c r="E1090" s="350">
        <v>2579</v>
      </c>
      <c r="F1090" s="353" t="s">
        <v>66</v>
      </c>
      <c r="G1090" s="353">
        <v>16</v>
      </c>
    </row>
    <row r="1091" spans="1:7" x14ac:dyDescent="0.3">
      <c r="A1091" s="350" t="s">
        <v>147</v>
      </c>
      <c r="B1091" s="350" t="s">
        <v>123</v>
      </c>
      <c r="C1091" s="350">
        <v>2014</v>
      </c>
      <c r="D1091" s="350" t="s">
        <v>65</v>
      </c>
      <c r="E1091" s="350">
        <v>2579</v>
      </c>
      <c r="F1091" s="353" t="s">
        <v>66</v>
      </c>
      <c r="G1091" s="353">
        <v>16</v>
      </c>
    </row>
    <row r="1092" spans="1:7" x14ac:dyDescent="0.3">
      <c r="A1092" s="350" t="s">
        <v>147</v>
      </c>
      <c r="B1092" s="350" t="s">
        <v>88</v>
      </c>
      <c r="C1092" s="350">
        <v>2021</v>
      </c>
      <c r="D1092" s="350" t="s">
        <v>65</v>
      </c>
      <c r="E1092" s="350">
        <v>2550</v>
      </c>
      <c r="F1092" s="353" t="s">
        <v>66</v>
      </c>
      <c r="G1092" s="353">
        <v>142</v>
      </c>
    </row>
    <row r="1093" spans="1:7" x14ac:dyDescent="0.3">
      <c r="A1093" s="350" t="s">
        <v>147</v>
      </c>
      <c r="B1093" s="350" t="s">
        <v>88</v>
      </c>
      <c r="C1093" s="350">
        <v>2020</v>
      </c>
      <c r="D1093" s="350" t="s">
        <v>65</v>
      </c>
      <c r="E1093" s="350">
        <v>2550</v>
      </c>
      <c r="F1093" s="353" t="s">
        <v>66</v>
      </c>
      <c r="G1093" s="353">
        <v>185</v>
      </c>
    </row>
    <row r="1094" spans="1:7" x14ac:dyDescent="0.3">
      <c r="A1094" s="350" t="s">
        <v>147</v>
      </c>
      <c r="B1094" s="350" t="s">
        <v>88</v>
      </c>
      <c r="C1094" s="350">
        <v>2019</v>
      </c>
      <c r="D1094" s="350" t="s">
        <v>65</v>
      </c>
      <c r="E1094" s="350">
        <v>2550</v>
      </c>
      <c r="F1094" s="353" t="s">
        <v>66</v>
      </c>
      <c r="G1094" s="353">
        <v>166</v>
      </c>
    </row>
    <row r="1095" spans="1:7" x14ac:dyDescent="0.3">
      <c r="A1095" s="350" t="s">
        <v>147</v>
      </c>
      <c r="B1095" s="350" t="s">
        <v>88</v>
      </c>
      <c r="C1095" s="350">
        <v>2018</v>
      </c>
      <c r="D1095" s="350" t="s">
        <v>65</v>
      </c>
      <c r="E1095" s="350">
        <v>2550</v>
      </c>
      <c r="F1095" s="353" t="s">
        <v>66</v>
      </c>
      <c r="G1095" s="353">
        <v>186</v>
      </c>
    </row>
    <row r="1096" spans="1:7" x14ac:dyDescent="0.3">
      <c r="A1096" s="350" t="s">
        <v>147</v>
      </c>
      <c r="B1096" s="350" t="s">
        <v>88</v>
      </c>
      <c r="C1096" s="350">
        <v>2017</v>
      </c>
      <c r="D1096" s="350" t="s">
        <v>65</v>
      </c>
      <c r="E1096" s="350">
        <v>2550</v>
      </c>
      <c r="F1096" s="353" t="s">
        <v>66</v>
      </c>
      <c r="G1096" s="353">
        <v>214</v>
      </c>
    </row>
    <row r="1097" spans="1:7" x14ac:dyDescent="0.3">
      <c r="A1097" s="350" t="s">
        <v>147</v>
      </c>
      <c r="B1097" s="350" t="s">
        <v>88</v>
      </c>
      <c r="C1097" s="350">
        <v>2016</v>
      </c>
      <c r="D1097" s="350" t="s">
        <v>65</v>
      </c>
      <c r="E1097" s="350">
        <v>2550</v>
      </c>
      <c r="F1097" s="353" t="s">
        <v>66</v>
      </c>
      <c r="G1097" s="353">
        <v>236</v>
      </c>
    </row>
    <row r="1098" spans="1:7" x14ac:dyDescent="0.3">
      <c r="A1098" s="350" t="s">
        <v>147</v>
      </c>
      <c r="B1098" s="350" t="s">
        <v>88</v>
      </c>
      <c r="C1098" s="350">
        <v>2015</v>
      </c>
      <c r="D1098" s="350" t="s">
        <v>65</v>
      </c>
      <c r="E1098" s="350">
        <v>2550</v>
      </c>
      <c r="F1098" s="353" t="s">
        <v>66</v>
      </c>
      <c r="G1098" s="353">
        <v>190</v>
      </c>
    </row>
    <row r="1099" spans="1:7" x14ac:dyDescent="0.3">
      <c r="A1099" s="350" t="s">
        <v>147</v>
      </c>
      <c r="B1099" s="350" t="s">
        <v>88</v>
      </c>
      <c r="C1099" s="350">
        <v>2014</v>
      </c>
      <c r="D1099" s="350" t="s">
        <v>65</v>
      </c>
      <c r="E1099" s="350">
        <v>2550</v>
      </c>
      <c r="F1099" s="353" t="s">
        <v>66</v>
      </c>
      <c r="G1099" s="353">
        <v>78</v>
      </c>
    </row>
    <row r="1100" spans="1:7" x14ac:dyDescent="0.3">
      <c r="A1100" s="350" t="s">
        <v>147</v>
      </c>
      <c r="B1100" s="350" t="s">
        <v>126</v>
      </c>
      <c r="C1100" s="350">
        <v>2021</v>
      </c>
      <c r="D1100" s="350" t="s">
        <v>65</v>
      </c>
      <c r="E1100" s="350">
        <v>2548</v>
      </c>
      <c r="F1100" s="353" t="s">
        <v>66</v>
      </c>
      <c r="G1100" s="353">
        <v>206</v>
      </c>
    </row>
    <row r="1101" spans="1:7" x14ac:dyDescent="0.3">
      <c r="A1101" s="350" t="s">
        <v>147</v>
      </c>
      <c r="B1101" s="350" t="s">
        <v>126</v>
      </c>
      <c r="C1101" s="350">
        <v>2020</v>
      </c>
      <c r="D1101" s="350" t="s">
        <v>65</v>
      </c>
      <c r="E1101" s="350">
        <v>2548</v>
      </c>
      <c r="F1101" s="353" t="s">
        <v>66</v>
      </c>
      <c r="G1101" s="353">
        <v>208</v>
      </c>
    </row>
    <row r="1102" spans="1:7" x14ac:dyDescent="0.3">
      <c r="A1102" s="350" t="s">
        <v>147</v>
      </c>
      <c r="B1102" s="350" t="s">
        <v>126</v>
      </c>
      <c r="C1102" s="350">
        <v>2019</v>
      </c>
      <c r="D1102" s="350" t="s">
        <v>65</v>
      </c>
      <c r="E1102" s="350">
        <v>2548</v>
      </c>
      <c r="F1102" s="353" t="s">
        <v>66</v>
      </c>
      <c r="G1102" s="353">
        <v>152</v>
      </c>
    </row>
    <row r="1103" spans="1:7" x14ac:dyDescent="0.3">
      <c r="A1103" s="350" t="s">
        <v>147</v>
      </c>
      <c r="B1103" s="350" t="s">
        <v>126</v>
      </c>
      <c r="C1103" s="350">
        <v>2018</v>
      </c>
      <c r="D1103" s="350" t="s">
        <v>65</v>
      </c>
      <c r="E1103" s="350">
        <v>2548</v>
      </c>
      <c r="F1103" s="353" t="s">
        <v>66</v>
      </c>
      <c r="G1103" s="353">
        <v>87</v>
      </c>
    </row>
    <row r="1104" spans="1:7" x14ac:dyDescent="0.3">
      <c r="A1104" s="350" t="s">
        <v>147</v>
      </c>
      <c r="B1104" s="350" t="s">
        <v>126</v>
      </c>
      <c r="C1104" s="350">
        <v>2017</v>
      </c>
      <c r="D1104" s="350" t="s">
        <v>65</v>
      </c>
      <c r="E1104" s="350">
        <v>2548</v>
      </c>
      <c r="F1104" s="353" t="s">
        <v>66</v>
      </c>
      <c r="G1104" s="353">
        <v>73</v>
      </c>
    </row>
    <row r="1105" spans="1:7" x14ac:dyDescent="0.3">
      <c r="A1105" s="350" t="s">
        <v>147</v>
      </c>
      <c r="B1105" s="350" t="s">
        <v>126</v>
      </c>
      <c r="C1105" s="350">
        <v>2016</v>
      </c>
      <c r="D1105" s="350" t="s">
        <v>65</v>
      </c>
      <c r="E1105" s="350">
        <v>2548</v>
      </c>
      <c r="F1105" s="353" t="s">
        <v>66</v>
      </c>
      <c r="G1105" s="353">
        <v>68</v>
      </c>
    </row>
    <row r="1106" spans="1:7" x14ac:dyDescent="0.3">
      <c r="A1106" s="350" t="s">
        <v>147</v>
      </c>
      <c r="B1106" s="350" t="s">
        <v>126</v>
      </c>
      <c r="C1106" s="350">
        <v>2015</v>
      </c>
      <c r="D1106" s="350" t="s">
        <v>65</v>
      </c>
      <c r="E1106" s="350">
        <v>2548</v>
      </c>
      <c r="F1106" s="353" t="s">
        <v>66</v>
      </c>
      <c r="G1106" s="353">
        <v>44</v>
      </c>
    </row>
    <row r="1107" spans="1:7" x14ac:dyDescent="0.3">
      <c r="A1107" s="350" t="s">
        <v>147</v>
      </c>
      <c r="B1107" s="350" t="s">
        <v>126</v>
      </c>
      <c r="C1107" s="350">
        <v>2014</v>
      </c>
      <c r="D1107" s="350" t="s">
        <v>65</v>
      </c>
      <c r="E1107" s="350">
        <v>2548</v>
      </c>
      <c r="F1107" s="353" t="s">
        <v>66</v>
      </c>
      <c r="G1107" s="353">
        <v>12</v>
      </c>
    </row>
    <row r="1108" spans="1:7" x14ac:dyDescent="0.3">
      <c r="A1108" s="350" t="s">
        <v>147</v>
      </c>
      <c r="B1108" s="350" t="s">
        <v>87</v>
      </c>
      <c r="C1108" s="350">
        <v>2021</v>
      </c>
      <c r="D1108" s="350" t="s">
        <v>65</v>
      </c>
      <c r="E1108" s="350">
        <v>2500</v>
      </c>
      <c r="F1108" s="353" t="s">
        <v>66</v>
      </c>
      <c r="G1108" s="353">
        <v>11</v>
      </c>
    </row>
    <row r="1109" spans="1:7" x14ac:dyDescent="0.3">
      <c r="A1109" s="350" t="s">
        <v>147</v>
      </c>
      <c r="B1109" s="350" t="s">
        <v>87</v>
      </c>
      <c r="C1109" s="350">
        <v>2020</v>
      </c>
      <c r="D1109" s="350" t="s">
        <v>65</v>
      </c>
      <c r="E1109" s="350">
        <v>2500</v>
      </c>
      <c r="F1109" s="353" t="s">
        <v>66</v>
      </c>
      <c r="G1109" s="353">
        <v>14</v>
      </c>
    </row>
    <row r="1110" spans="1:7" x14ac:dyDescent="0.3">
      <c r="A1110" s="350" t="s">
        <v>147</v>
      </c>
      <c r="B1110" s="350" t="s">
        <v>87</v>
      </c>
      <c r="C1110" s="350">
        <v>2019</v>
      </c>
      <c r="D1110" s="350" t="s">
        <v>65</v>
      </c>
      <c r="E1110" s="350">
        <v>2500</v>
      </c>
      <c r="F1110" s="353" t="s">
        <v>66</v>
      </c>
      <c r="G1110" s="353">
        <v>29</v>
      </c>
    </row>
    <row r="1111" spans="1:7" x14ac:dyDescent="0.3">
      <c r="A1111" s="350" t="s">
        <v>147</v>
      </c>
      <c r="B1111" s="350" t="s">
        <v>87</v>
      </c>
      <c r="C1111" s="350">
        <v>2018</v>
      </c>
      <c r="D1111" s="350" t="s">
        <v>65</v>
      </c>
      <c r="E1111" s="350">
        <v>2500</v>
      </c>
      <c r="F1111" s="353" t="s">
        <v>66</v>
      </c>
      <c r="G1111" s="353">
        <v>7</v>
      </c>
    </row>
    <row r="1112" spans="1:7" x14ac:dyDescent="0.3">
      <c r="A1112" s="350" t="s">
        <v>147</v>
      </c>
      <c r="B1112" s="350" t="s">
        <v>87</v>
      </c>
      <c r="C1112" s="350">
        <v>2017</v>
      </c>
      <c r="D1112" s="350" t="s">
        <v>65</v>
      </c>
      <c r="E1112" s="350">
        <v>2500</v>
      </c>
      <c r="F1112" s="353" t="s">
        <v>66</v>
      </c>
      <c r="G1112" s="353">
        <v>6</v>
      </c>
    </row>
    <row r="1113" spans="1:7" x14ac:dyDescent="0.3">
      <c r="A1113" s="350" t="s">
        <v>147</v>
      </c>
      <c r="B1113" s="350" t="s">
        <v>87</v>
      </c>
      <c r="C1113" s="350">
        <v>2016</v>
      </c>
      <c r="D1113" s="350" t="s">
        <v>65</v>
      </c>
      <c r="E1113" s="350">
        <v>2500</v>
      </c>
      <c r="F1113" s="353" t="s">
        <v>66</v>
      </c>
      <c r="G1113" s="353">
        <v>9</v>
      </c>
    </row>
    <row r="1114" spans="1:7" x14ac:dyDescent="0.3">
      <c r="A1114" s="350" t="s">
        <v>147</v>
      </c>
      <c r="B1114" s="350" t="s">
        <v>87</v>
      </c>
      <c r="C1114" s="350">
        <v>2015</v>
      </c>
      <c r="D1114" s="350" t="s">
        <v>65</v>
      </c>
      <c r="E1114" s="350">
        <v>2500</v>
      </c>
      <c r="F1114" s="353" t="s">
        <v>66</v>
      </c>
      <c r="G1114" s="353">
        <v>9</v>
      </c>
    </row>
    <row r="1115" spans="1:7" x14ac:dyDescent="0.3">
      <c r="A1115" s="350" t="s">
        <v>147</v>
      </c>
      <c r="B1115" s="350" t="s">
        <v>87</v>
      </c>
      <c r="C1115" s="350">
        <v>2014</v>
      </c>
      <c r="D1115" s="350" t="s">
        <v>65</v>
      </c>
      <c r="E1115" s="350">
        <v>2500</v>
      </c>
      <c r="F1115" s="353" t="s">
        <v>66</v>
      </c>
      <c r="G1115" s="353">
        <v>2</v>
      </c>
    </row>
    <row r="1116" spans="1:7" x14ac:dyDescent="0.3">
      <c r="A1116" s="350" t="s">
        <v>147</v>
      </c>
      <c r="B1116" s="350" t="s">
        <v>86</v>
      </c>
      <c r="C1116" s="350">
        <v>2021</v>
      </c>
      <c r="D1116" s="350" t="s">
        <v>65</v>
      </c>
      <c r="E1116" s="350">
        <v>2450</v>
      </c>
      <c r="F1116" s="353" t="s">
        <v>66</v>
      </c>
      <c r="G1116" s="353">
        <v>680</v>
      </c>
    </row>
    <row r="1117" spans="1:7" x14ac:dyDescent="0.3">
      <c r="A1117" s="350" t="s">
        <v>147</v>
      </c>
      <c r="B1117" s="350" t="s">
        <v>86</v>
      </c>
      <c r="C1117" s="350">
        <v>2020</v>
      </c>
      <c r="D1117" s="350" t="s">
        <v>65</v>
      </c>
      <c r="E1117" s="350">
        <v>2450</v>
      </c>
      <c r="F1117" s="353" t="s">
        <v>66</v>
      </c>
      <c r="G1117" s="353">
        <v>540</v>
      </c>
    </row>
    <row r="1118" spans="1:7" x14ac:dyDescent="0.3">
      <c r="A1118" s="350" t="s">
        <v>147</v>
      </c>
      <c r="B1118" s="350" t="s">
        <v>86</v>
      </c>
      <c r="C1118" s="350">
        <v>2019</v>
      </c>
      <c r="D1118" s="350" t="s">
        <v>65</v>
      </c>
      <c r="E1118" s="350">
        <v>2450</v>
      </c>
      <c r="F1118" s="353" t="s">
        <v>66</v>
      </c>
      <c r="G1118" s="353">
        <v>397</v>
      </c>
    </row>
    <row r="1119" spans="1:7" x14ac:dyDescent="0.3">
      <c r="A1119" s="350" t="s">
        <v>147</v>
      </c>
      <c r="B1119" s="350" t="s">
        <v>86</v>
      </c>
      <c r="C1119" s="350">
        <v>2018</v>
      </c>
      <c r="D1119" s="350" t="s">
        <v>65</v>
      </c>
      <c r="E1119" s="350">
        <v>2450</v>
      </c>
      <c r="F1119" s="353" t="s">
        <v>66</v>
      </c>
      <c r="G1119" s="353">
        <v>428</v>
      </c>
    </row>
    <row r="1120" spans="1:7" x14ac:dyDescent="0.3">
      <c r="A1120" s="350" t="s">
        <v>147</v>
      </c>
      <c r="B1120" s="350" t="s">
        <v>86</v>
      </c>
      <c r="C1120" s="350">
        <v>2017</v>
      </c>
      <c r="D1120" s="350" t="s">
        <v>65</v>
      </c>
      <c r="E1120" s="350">
        <v>2450</v>
      </c>
      <c r="F1120" s="353" t="s">
        <v>66</v>
      </c>
      <c r="G1120" s="353">
        <v>658</v>
      </c>
    </row>
    <row r="1121" spans="1:7" x14ac:dyDescent="0.3">
      <c r="A1121" s="350" t="s">
        <v>147</v>
      </c>
      <c r="B1121" s="350" t="s">
        <v>86</v>
      </c>
      <c r="C1121" s="350">
        <v>2016</v>
      </c>
      <c r="D1121" s="350" t="s">
        <v>65</v>
      </c>
      <c r="E1121" s="350">
        <v>2450</v>
      </c>
      <c r="F1121" s="353" t="s">
        <v>66</v>
      </c>
      <c r="G1121" s="353">
        <v>674</v>
      </c>
    </row>
    <row r="1122" spans="1:7" x14ac:dyDescent="0.3">
      <c r="A1122" s="350" t="s">
        <v>147</v>
      </c>
      <c r="B1122" s="350" t="s">
        <v>86</v>
      </c>
      <c r="C1122" s="350">
        <v>2015</v>
      </c>
      <c r="D1122" s="350" t="s">
        <v>65</v>
      </c>
      <c r="E1122" s="350">
        <v>2450</v>
      </c>
      <c r="F1122" s="353" t="s">
        <v>66</v>
      </c>
      <c r="G1122" s="353">
        <v>603</v>
      </c>
    </row>
    <row r="1123" spans="1:7" x14ac:dyDescent="0.3">
      <c r="A1123" s="350" t="s">
        <v>147</v>
      </c>
      <c r="B1123" s="350" t="s">
        <v>86</v>
      </c>
      <c r="C1123" s="350">
        <v>2014</v>
      </c>
      <c r="D1123" s="350" t="s">
        <v>65</v>
      </c>
      <c r="E1123" s="350">
        <v>2450</v>
      </c>
      <c r="F1123" s="353" t="s">
        <v>66</v>
      </c>
      <c r="G1123" s="353">
        <v>258</v>
      </c>
    </row>
    <row r="1124" spans="1:7" x14ac:dyDescent="0.3">
      <c r="A1124" s="354" t="s">
        <v>147</v>
      </c>
      <c r="B1124" s="354" t="s">
        <v>67</v>
      </c>
      <c r="C1124" s="354">
        <v>2021</v>
      </c>
      <c r="D1124" s="354" t="s">
        <v>65</v>
      </c>
      <c r="E1124" s="354">
        <v>2400</v>
      </c>
      <c r="F1124" s="355" t="s">
        <v>66</v>
      </c>
      <c r="G1124" s="355">
        <v>15</v>
      </c>
    </row>
    <row r="1125" spans="1:7" x14ac:dyDescent="0.3">
      <c r="A1125" s="354" t="s">
        <v>147</v>
      </c>
      <c r="B1125" s="354" t="s">
        <v>67</v>
      </c>
      <c r="C1125" s="354">
        <v>2020</v>
      </c>
      <c r="D1125" s="354" t="s">
        <v>65</v>
      </c>
      <c r="E1125" s="354">
        <v>2400</v>
      </c>
      <c r="F1125" s="355" t="s">
        <v>66</v>
      </c>
      <c r="G1125" s="355">
        <v>11</v>
      </c>
    </row>
    <row r="1126" spans="1:7" x14ac:dyDescent="0.3">
      <c r="A1126" s="354" t="s">
        <v>147</v>
      </c>
      <c r="B1126" s="354" t="s">
        <v>67</v>
      </c>
      <c r="C1126" s="354">
        <v>2019</v>
      </c>
      <c r="D1126" s="354" t="s">
        <v>65</v>
      </c>
      <c r="E1126" s="354">
        <v>2400</v>
      </c>
      <c r="F1126" s="355" t="s">
        <v>66</v>
      </c>
      <c r="G1126" s="355">
        <v>16</v>
      </c>
    </row>
    <row r="1127" spans="1:7" x14ac:dyDescent="0.3">
      <c r="A1127" s="354" t="s">
        <v>147</v>
      </c>
      <c r="B1127" s="354" t="s">
        <v>67</v>
      </c>
      <c r="C1127" s="354">
        <v>2018</v>
      </c>
      <c r="D1127" s="354" t="s">
        <v>65</v>
      </c>
      <c r="E1127" s="354">
        <v>2400</v>
      </c>
      <c r="F1127" s="355" t="s">
        <v>66</v>
      </c>
      <c r="G1127" s="355">
        <v>13</v>
      </c>
    </row>
    <row r="1128" spans="1:7" x14ac:dyDescent="0.3">
      <c r="A1128" s="354" t="s">
        <v>147</v>
      </c>
      <c r="B1128" s="354" t="s">
        <v>67</v>
      </c>
      <c r="C1128" s="354">
        <v>2017</v>
      </c>
      <c r="D1128" s="354" t="s">
        <v>65</v>
      </c>
      <c r="E1128" s="354">
        <v>2400</v>
      </c>
      <c r="F1128" s="355" t="s">
        <v>66</v>
      </c>
      <c r="G1128" s="355">
        <v>7</v>
      </c>
    </row>
    <row r="1129" spans="1:7" x14ac:dyDescent="0.3">
      <c r="A1129" s="354" t="s">
        <v>147</v>
      </c>
      <c r="B1129" s="354" t="s">
        <v>67</v>
      </c>
      <c r="C1129" s="354">
        <v>2016</v>
      </c>
      <c r="D1129" s="354" t="s">
        <v>65</v>
      </c>
      <c r="E1129" s="354">
        <v>2400</v>
      </c>
      <c r="F1129" s="355" t="s">
        <v>66</v>
      </c>
      <c r="G1129" s="355">
        <v>13</v>
      </c>
    </row>
    <row r="1130" spans="1:7" x14ac:dyDescent="0.3">
      <c r="A1130" s="354" t="s">
        <v>147</v>
      </c>
      <c r="B1130" s="354" t="s">
        <v>67</v>
      </c>
      <c r="C1130" s="354">
        <v>2015</v>
      </c>
      <c r="D1130" s="354" t="s">
        <v>65</v>
      </c>
      <c r="E1130" s="354">
        <v>2400</v>
      </c>
      <c r="F1130" s="355" t="s">
        <v>66</v>
      </c>
      <c r="G1130" s="355">
        <v>8</v>
      </c>
    </row>
    <row r="1131" spans="1:7" x14ac:dyDescent="0.3">
      <c r="A1131" s="350" t="s">
        <v>147</v>
      </c>
      <c r="B1131" s="350" t="s">
        <v>176</v>
      </c>
      <c r="C1131" s="350">
        <v>2021</v>
      </c>
      <c r="D1131" s="350" t="s">
        <v>65</v>
      </c>
      <c r="E1131" s="350">
        <v>2250</v>
      </c>
      <c r="F1131" s="353" t="s">
        <v>66</v>
      </c>
      <c r="G1131" s="353">
        <v>4</v>
      </c>
    </row>
    <row r="1132" spans="1:7" x14ac:dyDescent="0.3">
      <c r="A1132" s="350" t="s">
        <v>147</v>
      </c>
      <c r="B1132" s="350" t="s">
        <v>176</v>
      </c>
      <c r="C1132" s="350">
        <v>2018</v>
      </c>
      <c r="D1132" s="350" t="s">
        <v>65</v>
      </c>
      <c r="E1132" s="350">
        <v>2250</v>
      </c>
      <c r="F1132" s="353" t="s">
        <v>66</v>
      </c>
      <c r="G1132" s="353">
        <v>3</v>
      </c>
    </row>
    <row r="1133" spans="1:7" x14ac:dyDescent="0.3">
      <c r="A1133" s="350" t="s">
        <v>147</v>
      </c>
      <c r="B1133" s="350" t="s">
        <v>176</v>
      </c>
      <c r="C1133" s="350">
        <v>2017</v>
      </c>
      <c r="D1133" s="350" t="s">
        <v>65</v>
      </c>
      <c r="E1133" s="350">
        <v>2250</v>
      </c>
      <c r="F1133" s="353" t="s">
        <v>66</v>
      </c>
      <c r="G1133" s="353">
        <v>3</v>
      </c>
    </row>
    <row r="1134" spans="1:7" x14ac:dyDescent="0.3">
      <c r="A1134" s="350" t="s">
        <v>147</v>
      </c>
      <c r="B1134" s="350" t="s">
        <v>176</v>
      </c>
      <c r="C1134" s="350">
        <v>2016</v>
      </c>
      <c r="D1134" s="350" t="s">
        <v>65</v>
      </c>
      <c r="E1134" s="350">
        <v>2250</v>
      </c>
      <c r="F1134" s="353" t="s">
        <v>66</v>
      </c>
      <c r="G1134" s="353">
        <v>2</v>
      </c>
    </row>
    <row r="1135" spans="1:7" x14ac:dyDescent="0.3">
      <c r="A1135" s="350" t="s">
        <v>147</v>
      </c>
      <c r="B1135" s="350" t="s">
        <v>176</v>
      </c>
      <c r="C1135" s="350">
        <v>2014</v>
      </c>
      <c r="D1135" s="350" t="s">
        <v>65</v>
      </c>
      <c r="E1135" s="350">
        <v>2250</v>
      </c>
      <c r="F1135" s="353" t="s">
        <v>66</v>
      </c>
      <c r="G1135" s="353">
        <v>1</v>
      </c>
    </row>
    <row r="1136" spans="1:7" x14ac:dyDescent="0.3">
      <c r="A1136" s="350" t="s">
        <v>147</v>
      </c>
      <c r="B1136" s="350" t="s">
        <v>239</v>
      </c>
      <c r="C1136" s="350">
        <v>2018</v>
      </c>
      <c r="D1136" s="350" t="s">
        <v>65</v>
      </c>
      <c r="E1136" s="350">
        <v>2200</v>
      </c>
      <c r="F1136" s="353" t="s">
        <v>66</v>
      </c>
      <c r="G1136" s="353">
        <v>1</v>
      </c>
    </row>
    <row r="1137" spans="1:7" x14ac:dyDescent="0.3">
      <c r="A1137" s="350" t="s">
        <v>147</v>
      </c>
      <c r="B1137" s="350" t="s">
        <v>239</v>
      </c>
      <c r="C1137" s="350">
        <v>2017</v>
      </c>
      <c r="D1137" s="350" t="s">
        <v>65</v>
      </c>
      <c r="E1137" s="350">
        <v>2200</v>
      </c>
      <c r="F1137" s="353" t="s">
        <v>66</v>
      </c>
      <c r="G1137" s="353">
        <v>1</v>
      </c>
    </row>
    <row r="1138" spans="1:7" x14ac:dyDescent="0.3">
      <c r="A1138" s="350" t="s">
        <v>147</v>
      </c>
      <c r="B1138" s="350" t="s">
        <v>239</v>
      </c>
      <c r="C1138" s="350">
        <v>2016</v>
      </c>
      <c r="D1138" s="350" t="s">
        <v>65</v>
      </c>
      <c r="E1138" s="350">
        <v>2200</v>
      </c>
      <c r="F1138" s="353" t="s">
        <v>66</v>
      </c>
      <c r="G1138" s="353">
        <v>5</v>
      </c>
    </row>
    <row r="1139" spans="1:7" x14ac:dyDescent="0.3">
      <c r="A1139" s="350" t="s">
        <v>147</v>
      </c>
      <c r="B1139" s="350" t="s">
        <v>127</v>
      </c>
      <c r="C1139" s="350">
        <v>2021</v>
      </c>
      <c r="D1139" s="350" t="s">
        <v>65</v>
      </c>
      <c r="E1139" s="350">
        <v>2150</v>
      </c>
      <c r="F1139" s="353" t="s">
        <v>66</v>
      </c>
      <c r="G1139" s="353">
        <v>2</v>
      </c>
    </row>
    <row r="1140" spans="1:7" x14ac:dyDescent="0.3">
      <c r="A1140" s="350" t="s">
        <v>147</v>
      </c>
      <c r="B1140" s="350" t="s">
        <v>127</v>
      </c>
      <c r="C1140" s="350">
        <v>2020</v>
      </c>
      <c r="D1140" s="350" t="s">
        <v>65</v>
      </c>
      <c r="E1140" s="350">
        <v>2150</v>
      </c>
      <c r="F1140" s="353" t="s">
        <v>66</v>
      </c>
      <c r="G1140" s="353">
        <v>6</v>
      </c>
    </row>
    <row r="1141" spans="1:7" x14ac:dyDescent="0.3">
      <c r="A1141" s="350" t="s">
        <v>147</v>
      </c>
      <c r="B1141" s="350" t="s">
        <v>127</v>
      </c>
      <c r="C1141" s="350">
        <v>2019</v>
      </c>
      <c r="D1141" s="350" t="s">
        <v>65</v>
      </c>
      <c r="E1141" s="350">
        <v>2150</v>
      </c>
      <c r="F1141" s="353" t="s">
        <v>66</v>
      </c>
      <c r="G1141" s="353">
        <v>3</v>
      </c>
    </row>
    <row r="1142" spans="1:7" x14ac:dyDescent="0.3">
      <c r="A1142" s="350" t="s">
        <v>147</v>
      </c>
      <c r="B1142" s="350" t="s">
        <v>127</v>
      </c>
      <c r="C1142" s="350">
        <v>2018</v>
      </c>
      <c r="D1142" s="350" t="s">
        <v>65</v>
      </c>
      <c r="E1142" s="350">
        <v>2150</v>
      </c>
      <c r="F1142" s="353" t="s">
        <v>66</v>
      </c>
      <c r="G1142" s="353">
        <v>1</v>
      </c>
    </row>
    <row r="1143" spans="1:7" x14ac:dyDescent="0.3">
      <c r="A1143" s="350" t="s">
        <v>147</v>
      </c>
      <c r="B1143" s="350" t="s">
        <v>127</v>
      </c>
      <c r="C1143" s="350">
        <v>2017</v>
      </c>
      <c r="D1143" s="350" t="s">
        <v>65</v>
      </c>
      <c r="E1143" s="350">
        <v>2150</v>
      </c>
      <c r="F1143" s="353" t="s">
        <v>66</v>
      </c>
      <c r="G1143" s="353">
        <v>6</v>
      </c>
    </row>
    <row r="1144" spans="1:7" x14ac:dyDescent="0.3">
      <c r="A1144" s="350" t="s">
        <v>147</v>
      </c>
      <c r="B1144" s="350" t="s">
        <v>127</v>
      </c>
      <c r="C1144" s="350">
        <v>2016</v>
      </c>
      <c r="D1144" s="350" t="s">
        <v>65</v>
      </c>
      <c r="E1144" s="350">
        <v>2150</v>
      </c>
      <c r="F1144" s="353" t="s">
        <v>66</v>
      </c>
      <c r="G1144" s="353">
        <v>3</v>
      </c>
    </row>
    <row r="1145" spans="1:7" x14ac:dyDescent="0.3">
      <c r="A1145" s="350" t="s">
        <v>147</v>
      </c>
      <c r="B1145" s="350" t="s">
        <v>127</v>
      </c>
      <c r="C1145" s="350">
        <v>2015</v>
      </c>
      <c r="D1145" s="350" t="s">
        <v>65</v>
      </c>
      <c r="E1145" s="350">
        <v>2150</v>
      </c>
      <c r="F1145" s="353" t="s">
        <v>66</v>
      </c>
      <c r="G1145" s="353">
        <v>5</v>
      </c>
    </row>
    <row r="1146" spans="1:7" x14ac:dyDescent="0.3">
      <c r="A1146" s="350" t="s">
        <v>147</v>
      </c>
      <c r="B1146" s="350" t="s">
        <v>127</v>
      </c>
      <c r="C1146" s="350">
        <v>2014</v>
      </c>
      <c r="D1146" s="350" t="s">
        <v>65</v>
      </c>
      <c r="E1146" s="350">
        <v>2150</v>
      </c>
      <c r="F1146" s="353" t="s">
        <v>66</v>
      </c>
      <c r="G1146" s="353">
        <v>1</v>
      </c>
    </row>
    <row r="1147" spans="1:7" x14ac:dyDescent="0.3">
      <c r="A1147" s="350" t="s">
        <v>147</v>
      </c>
      <c r="B1147" s="350" t="s">
        <v>133</v>
      </c>
      <c r="C1147" s="350">
        <v>2021</v>
      </c>
      <c r="D1147" s="350" t="s">
        <v>65</v>
      </c>
      <c r="E1147" s="350">
        <v>2150</v>
      </c>
      <c r="F1147" s="353" t="s">
        <v>66</v>
      </c>
      <c r="G1147" s="353">
        <v>67</v>
      </c>
    </row>
    <row r="1148" spans="1:7" x14ac:dyDescent="0.3">
      <c r="A1148" s="350" t="s">
        <v>147</v>
      </c>
      <c r="B1148" s="350" t="s">
        <v>133</v>
      </c>
      <c r="C1148" s="350">
        <v>2020</v>
      </c>
      <c r="D1148" s="350" t="s">
        <v>65</v>
      </c>
      <c r="E1148" s="350">
        <v>2150</v>
      </c>
      <c r="F1148" s="353" t="s">
        <v>66</v>
      </c>
      <c r="G1148" s="353">
        <v>99</v>
      </c>
    </row>
    <row r="1149" spans="1:7" x14ac:dyDescent="0.3">
      <c r="A1149" s="350" t="s">
        <v>147</v>
      </c>
      <c r="B1149" s="350" t="s">
        <v>133</v>
      </c>
      <c r="C1149" s="350">
        <v>2019</v>
      </c>
      <c r="D1149" s="350" t="s">
        <v>65</v>
      </c>
      <c r="E1149" s="350">
        <v>2150</v>
      </c>
      <c r="F1149" s="353" t="s">
        <v>66</v>
      </c>
      <c r="G1149" s="353">
        <v>75</v>
      </c>
    </row>
    <row r="1150" spans="1:7" x14ac:dyDescent="0.3">
      <c r="A1150" s="350" t="s">
        <v>147</v>
      </c>
      <c r="B1150" s="350" t="s">
        <v>133</v>
      </c>
      <c r="C1150" s="350">
        <v>2018</v>
      </c>
      <c r="D1150" s="350" t="s">
        <v>65</v>
      </c>
      <c r="E1150" s="350">
        <v>2150</v>
      </c>
      <c r="F1150" s="353" t="s">
        <v>66</v>
      </c>
      <c r="G1150" s="353">
        <v>48</v>
      </c>
    </row>
    <row r="1151" spans="1:7" x14ac:dyDescent="0.3">
      <c r="A1151" s="350" t="s">
        <v>147</v>
      </c>
      <c r="B1151" s="350" t="s">
        <v>133</v>
      </c>
      <c r="C1151" s="350">
        <v>2017</v>
      </c>
      <c r="D1151" s="350" t="s">
        <v>65</v>
      </c>
      <c r="E1151" s="350">
        <v>2150</v>
      </c>
      <c r="F1151" s="353" t="s">
        <v>66</v>
      </c>
      <c r="G1151" s="353">
        <v>44</v>
      </c>
    </row>
    <row r="1152" spans="1:7" x14ac:dyDescent="0.3">
      <c r="A1152" s="350" t="s">
        <v>147</v>
      </c>
      <c r="B1152" s="350" t="s">
        <v>133</v>
      </c>
      <c r="C1152" s="350">
        <v>2016</v>
      </c>
      <c r="D1152" s="350" t="s">
        <v>65</v>
      </c>
      <c r="E1152" s="350">
        <v>2150</v>
      </c>
      <c r="F1152" s="353" t="s">
        <v>66</v>
      </c>
      <c r="G1152" s="353">
        <v>43</v>
      </c>
    </row>
    <row r="1153" spans="1:7" x14ac:dyDescent="0.3">
      <c r="A1153" s="350" t="s">
        <v>147</v>
      </c>
      <c r="B1153" s="350" t="s">
        <v>133</v>
      </c>
      <c r="C1153" s="350">
        <v>2015</v>
      </c>
      <c r="D1153" s="350" t="s">
        <v>65</v>
      </c>
      <c r="E1153" s="350">
        <v>2150</v>
      </c>
      <c r="F1153" s="353" t="s">
        <v>66</v>
      </c>
      <c r="G1153" s="353">
        <v>75</v>
      </c>
    </row>
    <row r="1154" spans="1:7" x14ac:dyDescent="0.3">
      <c r="A1154" s="350" t="s">
        <v>147</v>
      </c>
      <c r="B1154" s="350" t="s">
        <v>133</v>
      </c>
      <c r="C1154" s="350">
        <v>2014</v>
      </c>
      <c r="D1154" s="350" t="s">
        <v>65</v>
      </c>
      <c r="E1154" s="350">
        <v>2150</v>
      </c>
      <c r="F1154" s="353" t="s">
        <v>66</v>
      </c>
      <c r="G1154" s="353">
        <v>36</v>
      </c>
    </row>
    <row r="1155" spans="1:7" x14ac:dyDescent="0.3">
      <c r="A1155" s="350" t="s">
        <v>147</v>
      </c>
      <c r="B1155" s="350" t="s">
        <v>131</v>
      </c>
      <c r="C1155" s="350">
        <v>2020</v>
      </c>
      <c r="D1155" s="350" t="s">
        <v>65</v>
      </c>
      <c r="E1155" s="350">
        <v>1950</v>
      </c>
      <c r="F1155" s="353" t="s">
        <v>66</v>
      </c>
      <c r="G1155" s="353">
        <v>1</v>
      </c>
    </row>
    <row r="1156" spans="1:7" x14ac:dyDescent="0.3">
      <c r="A1156" s="350" t="s">
        <v>147</v>
      </c>
      <c r="B1156" s="350" t="s">
        <v>131</v>
      </c>
      <c r="C1156" s="350">
        <v>2016</v>
      </c>
      <c r="D1156" s="350" t="s">
        <v>65</v>
      </c>
      <c r="E1156" s="350">
        <v>1950</v>
      </c>
      <c r="F1156" s="353" t="s">
        <v>66</v>
      </c>
      <c r="G1156" s="353">
        <v>2</v>
      </c>
    </row>
    <row r="1157" spans="1:7" x14ac:dyDescent="0.3">
      <c r="A1157" s="350" t="s">
        <v>147</v>
      </c>
      <c r="B1157" s="350" t="s">
        <v>131</v>
      </c>
      <c r="C1157" s="350">
        <v>2015</v>
      </c>
      <c r="D1157" s="350" t="s">
        <v>65</v>
      </c>
      <c r="E1157" s="350">
        <v>1950</v>
      </c>
      <c r="F1157" s="353" t="s">
        <v>66</v>
      </c>
      <c r="G1157" s="353">
        <v>3</v>
      </c>
    </row>
    <row r="1158" spans="1:7" x14ac:dyDescent="0.3">
      <c r="A1158" s="350" t="s">
        <v>147</v>
      </c>
      <c r="B1158" s="350" t="s">
        <v>131</v>
      </c>
      <c r="C1158" s="350">
        <v>2014</v>
      </c>
      <c r="D1158" s="350" t="s">
        <v>65</v>
      </c>
      <c r="E1158" s="350">
        <v>1950</v>
      </c>
      <c r="F1158" s="353" t="s">
        <v>66</v>
      </c>
      <c r="G1158" s="353">
        <v>11</v>
      </c>
    </row>
    <row r="1159" spans="1:7" x14ac:dyDescent="0.3">
      <c r="A1159" s="350" t="s">
        <v>147</v>
      </c>
      <c r="B1159" s="350" t="s">
        <v>111</v>
      </c>
      <c r="C1159" s="350">
        <v>2021</v>
      </c>
      <c r="D1159" s="350" t="s">
        <v>65</v>
      </c>
      <c r="E1159" s="350">
        <v>1764</v>
      </c>
      <c r="F1159" s="353" t="s">
        <v>66</v>
      </c>
      <c r="G1159" s="353">
        <v>3</v>
      </c>
    </row>
    <row r="1160" spans="1:7" x14ac:dyDescent="0.3">
      <c r="A1160" s="350" t="s">
        <v>147</v>
      </c>
      <c r="B1160" s="350" t="s">
        <v>111</v>
      </c>
      <c r="C1160" s="350">
        <v>2020</v>
      </c>
      <c r="D1160" s="350" t="s">
        <v>65</v>
      </c>
      <c r="E1160" s="350">
        <v>1764</v>
      </c>
      <c r="F1160" s="353" t="s">
        <v>66</v>
      </c>
      <c r="G1160" s="353">
        <v>10</v>
      </c>
    </row>
    <row r="1161" spans="1:7" x14ac:dyDescent="0.3">
      <c r="A1161" s="350" t="s">
        <v>147</v>
      </c>
      <c r="B1161" s="350" t="s">
        <v>111</v>
      </c>
      <c r="C1161" s="350">
        <v>2019</v>
      </c>
      <c r="D1161" s="350" t="s">
        <v>65</v>
      </c>
      <c r="E1161" s="350">
        <v>1764</v>
      </c>
      <c r="F1161" s="353" t="s">
        <v>66</v>
      </c>
      <c r="G1161" s="353">
        <v>21</v>
      </c>
    </row>
    <row r="1162" spans="1:7" x14ac:dyDescent="0.3">
      <c r="A1162" s="350" t="s">
        <v>147</v>
      </c>
      <c r="B1162" s="350" t="s">
        <v>111</v>
      </c>
      <c r="C1162" s="350">
        <v>2018</v>
      </c>
      <c r="D1162" s="350" t="s">
        <v>65</v>
      </c>
      <c r="E1162" s="350">
        <v>1764</v>
      </c>
      <c r="F1162" s="353" t="s">
        <v>66</v>
      </c>
      <c r="G1162" s="353">
        <v>41</v>
      </c>
    </row>
    <row r="1163" spans="1:7" x14ac:dyDescent="0.3">
      <c r="A1163" s="350" t="s">
        <v>147</v>
      </c>
      <c r="B1163" s="350" t="s">
        <v>111</v>
      </c>
      <c r="C1163" s="350">
        <v>2017</v>
      </c>
      <c r="D1163" s="350" t="s">
        <v>65</v>
      </c>
      <c r="E1163" s="350">
        <v>1764</v>
      </c>
      <c r="F1163" s="353" t="s">
        <v>66</v>
      </c>
      <c r="G1163" s="353">
        <v>90</v>
      </c>
    </row>
    <row r="1164" spans="1:7" x14ac:dyDescent="0.3">
      <c r="A1164" s="350" t="s">
        <v>147</v>
      </c>
      <c r="B1164" s="350" t="s">
        <v>111</v>
      </c>
      <c r="C1164" s="350">
        <v>2016</v>
      </c>
      <c r="D1164" s="350" t="s">
        <v>65</v>
      </c>
      <c r="E1164" s="350">
        <v>1764</v>
      </c>
      <c r="F1164" s="353" t="s">
        <v>66</v>
      </c>
      <c r="G1164" s="353">
        <v>41</v>
      </c>
    </row>
    <row r="1165" spans="1:7" x14ac:dyDescent="0.3">
      <c r="A1165" s="350" t="s">
        <v>147</v>
      </c>
      <c r="B1165" s="350" t="s">
        <v>111</v>
      </c>
      <c r="C1165" s="350">
        <v>2015</v>
      </c>
      <c r="D1165" s="350" t="s">
        <v>65</v>
      </c>
      <c r="E1165" s="350">
        <v>1764</v>
      </c>
      <c r="F1165" s="353" t="s">
        <v>66</v>
      </c>
      <c r="G1165" s="353">
        <v>47</v>
      </c>
    </row>
    <row r="1166" spans="1:7" x14ac:dyDescent="0.3">
      <c r="A1166" s="350" t="s">
        <v>147</v>
      </c>
      <c r="B1166" s="350" t="s">
        <v>111</v>
      </c>
      <c r="C1166" s="350">
        <v>2014</v>
      </c>
      <c r="D1166" s="350" t="s">
        <v>65</v>
      </c>
      <c r="E1166" s="350">
        <v>1764</v>
      </c>
      <c r="F1166" s="353" t="s">
        <v>66</v>
      </c>
      <c r="G1166" s="353">
        <v>15</v>
      </c>
    </row>
    <row r="1167" spans="1:7" x14ac:dyDescent="0.3">
      <c r="A1167" s="350" t="s">
        <v>147</v>
      </c>
      <c r="B1167" s="350" t="s">
        <v>115</v>
      </c>
      <c r="C1167" s="350">
        <v>2021</v>
      </c>
      <c r="D1167" s="350" t="s">
        <v>65</v>
      </c>
      <c r="E1167" s="350">
        <v>1764</v>
      </c>
      <c r="F1167" s="353" t="s">
        <v>66</v>
      </c>
      <c r="G1167" s="353">
        <v>9555</v>
      </c>
    </row>
    <row r="1168" spans="1:7" x14ac:dyDescent="0.3">
      <c r="A1168" s="350" t="s">
        <v>147</v>
      </c>
      <c r="B1168" s="350" t="s">
        <v>115</v>
      </c>
      <c r="C1168" s="350">
        <v>2020</v>
      </c>
      <c r="D1168" s="350" t="s">
        <v>65</v>
      </c>
      <c r="E1168" s="350">
        <v>1764</v>
      </c>
      <c r="F1168" s="353" t="s">
        <v>66</v>
      </c>
      <c r="G1168" s="353">
        <v>8726</v>
      </c>
    </row>
    <row r="1169" spans="1:7" x14ac:dyDescent="0.3">
      <c r="A1169" s="350" t="s">
        <v>147</v>
      </c>
      <c r="B1169" s="350" t="s">
        <v>115</v>
      </c>
      <c r="C1169" s="350">
        <v>2019</v>
      </c>
      <c r="D1169" s="350" t="s">
        <v>65</v>
      </c>
      <c r="E1169" s="350">
        <v>1764</v>
      </c>
      <c r="F1169" s="353" t="s">
        <v>66</v>
      </c>
      <c r="G1169" s="353">
        <v>12352</v>
      </c>
    </row>
    <row r="1170" spans="1:7" x14ac:dyDescent="0.3">
      <c r="A1170" s="350" t="s">
        <v>147</v>
      </c>
      <c r="B1170" s="350" t="s">
        <v>115</v>
      </c>
      <c r="C1170" s="350">
        <v>2018</v>
      </c>
      <c r="D1170" s="350" t="s">
        <v>65</v>
      </c>
      <c r="E1170" s="350">
        <v>1764</v>
      </c>
      <c r="F1170" s="353" t="s">
        <v>66</v>
      </c>
      <c r="G1170" s="353">
        <v>11595</v>
      </c>
    </row>
    <row r="1171" spans="1:7" x14ac:dyDescent="0.3">
      <c r="A1171" s="350" t="s">
        <v>147</v>
      </c>
      <c r="B1171" s="350" t="s">
        <v>115</v>
      </c>
      <c r="C1171" s="350">
        <v>2017</v>
      </c>
      <c r="D1171" s="350" t="s">
        <v>65</v>
      </c>
      <c r="E1171" s="350">
        <v>1764</v>
      </c>
      <c r="F1171" s="353" t="s">
        <v>66</v>
      </c>
      <c r="G1171" s="353">
        <v>10980</v>
      </c>
    </row>
    <row r="1172" spans="1:7" x14ac:dyDescent="0.3">
      <c r="A1172" s="350" t="s">
        <v>147</v>
      </c>
      <c r="B1172" s="350" t="s">
        <v>115</v>
      </c>
      <c r="C1172" s="350">
        <v>2016</v>
      </c>
      <c r="D1172" s="350" t="s">
        <v>65</v>
      </c>
      <c r="E1172" s="350">
        <v>1764</v>
      </c>
      <c r="F1172" s="353" t="s">
        <v>66</v>
      </c>
      <c r="G1172" s="353">
        <v>11622</v>
      </c>
    </row>
    <row r="1173" spans="1:7" x14ac:dyDescent="0.3">
      <c r="A1173" s="350" t="s">
        <v>147</v>
      </c>
      <c r="B1173" s="350" t="s">
        <v>115</v>
      </c>
      <c r="C1173" s="350">
        <v>2015</v>
      </c>
      <c r="D1173" s="350" t="s">
        <v>65</v>
      </c>
      <c r="E1173" s="350">
        <v>1764</v>
      </c>
      <c r="F1173" s="353" t="s">
        <v>66</v>
      </c>
      <c r="G1173" s="353">
        <v>10601</v>
      </c>
    </row>
    <row r="1174" spans="1:7" x14ac:dyDescent="0.3">
      <c r="A1174" s="350" t="s">
        <v>147</v>
      </c>
      <c r="B1174" s="350" t="s">
        <v>115</v>
      </c>
      <c r="C1174" s="350">
        <v>2014</v>
      </c>
      <c r="D1174" s="350" t="s">
        <v>65</v>
      </c>
      <c r="E1174" s="350">
        <v>1764</v>
      </c>
      <c r="F1174" s="353" t="s">
        <v>66</v>
      </c>
      <c r="G1174" s="353">
        <v>4453</v>
      </c>
    </row>
    <row r="1175" spans="1:7" x14ac:dyDescent="0.3">
      <c r="A1175" s="350" t="s">
        <v>147</v>
      </c>
      <c r="B1175" s="350" t="s">
        <v>140</v>
      </c>
      <c r="C1175" s="350">
        <v>2021</v>
      </c>
      <c r="D1175" s="350" t="s">
        <v>65</v>
      </c>
      <c r="E1175" s="350">
        <v>1650</v>
      </c>
      <c r="F1175" s="353" t="s">
        <v>66</v>
      </c>
      <c r="G1175" s="353">
        <v>8</v>
      </c>
    </row>
    <row r="1176" spans="1:7" x14ac:dyDescent="0.3">
      <c r="A1176" s="350" t="s">
        <v>147</v>
      </c>
      <c r="B1176" s="350" t="s">
        <v>140</v>
      </c>
      <c r="C1176" s="350">
        <v>2020</v>
      </c>
      <c r="D1176" s="350" t="s">
        <v>65</v>
      </c>
      <c r="E1176" s="350">
        <v>1650</v>
      </c>
      <c r="F1176" s="353" t="s">
        <v>66</v>
      </c>
      <c r="G1176" s="353">
        <v>6</v>
      </c>
    </row>
    <row r="1177" spans="1:7" x14ac:dyDescent="0.3">
      <c r="A1177" s="350" t="s">
        <v>147</v>
      </c>
      <c r="B1177" s="350" t="s">
        <v>140</v>
      </c>
      <c r="C1177" s="350">
        <v>2019</v>
      </c>
      <c r="D1177" s="350" t="s">
        <v>65</v>
      </c>
      <c r="E1177" s="350">
        <v>1650</v>
      </c>
      <c r="F1177" s="353" t="s">
        <v>66</v>
      </c>
      <c r="G1177" s="353">
        <v>3</v>
      </c>
    </row>
    <row r="1178" spans="1:7" x14ac:dyDescent="0.3">
      <c r="A1178" s="350" t="s">
        <v>147</v>
      </c>
      <c r="B1178" s="350" t="s">
        <v>140</v>
      </c>
      <c r="C1178" s="350">
        <v>2018</v>
      </c>
      <c r="D1178" s="350" t="s">
        <v>65</v>
      </c>
      <c r="E1178" s="350">
        <v>1650</v>
      </c>
      <c r="F1178" s="353" t="s">
        <v>66</v>
      </c>
      <c r="G1178" s="353">
        <v>5</v>
      </c>
    </row>
    <row r="1179" spans="1:7" x14ac:dyDescent="0.3">
      <c r="A1179" s="350" t="s">
        <v>147</v>
      </c>
      <c r="B1179" s="350" t="s">
        <v>140</v>
      </c>
      <c r="C1179" s="350">
        <v>2017</v>
      </c>
      <c r="D1179" s="350" t="s">
        <v>65</v>
      </c>
      <c r="E1179" s="350">
        <v>1650</v>
      </c>
      <c r="F1179" s="353" t="s">
        <v>66</v>
      </c>
      <c r="G1179" s="353">
        <v>1</v>
      </c>
    </row>
    <row r="1180" spans="1:7" x14ac:dyDescent="0.3">
      <c r="A1180" s="350" t="s">
        <v>147</v>
      </c>
      <c r="B1180" s="350" t="s">
        <v>140</v>
      </c>
      <c r="C1180" s="350">
        <v>2016</v>
      </c>
      <c r="D1180" s="350" t="s">
        <v>65</v>
      </c>
      <c r="E1180" s="350">
        <v>1650</v>
      </c>
      <c r="F1180" s="353" t="s">
        <v>66</v>
      </c>
      <c r="G1180" s="353">
        <v>3</v>
      </c>
    </row>
    <row r="1181" spans="1:7" x14ac:dyDescent="0.3">
      <c r="A1181" s="350" t="s">
        <v>147</v>
      </c>
      <c r="B1181" s="350" t="s">
        <v>140</v>
      </c>
      <c r="C1181" s="350">
        <v>2015</v>
      </c>
      <c r="D1181" s="350" t="s">
        <v>65</v>
      </c>
      <c r="E1181" s="350">
        <v>1650</v>
      </c>
      <c r="F1181" s="353" t="s">
        <v>66</v>
      </c>
      <c r="G1181" s="353">
        <v>2</v>
      </c>
    </row>
    <row r="1182" spans="1:7" x14ac:dyDescent="0.3">
      <c r="A1182" s="350" t="s">
        <v>147</v>
      </c>
      <c r="B1182" s="350" t="s">
        <v>140</v>
      </c>
      <c r="C1182" s="350">
        <v>2014</v>
      </c>
      <c r="D1182" s="350" t="s">
        <v>65</v>
      </c>
      <c r="E1182" s="350">
        <v>1650</v>
      </c>
      <c r="F1182" s="353" t="s">
        <v>66</v>
      </c>
      <c r="G1182" s="353">
        <v>2</v>
      </c>
    </row>
    <row r="1183" spans="1:7" x14ac:dyDescent="0.3">
      <c r="A1183" s="350" t="s">
        <v>147</v>
      </c>
      <c r="B1183" s="350" t="s">
        <v>141</v>
      </c>
      <c r="C1183" s="350">
        <v>2021</v>
      </c>
      <c r="D1183" s="350" t="s">
        <v>65</v>
      </c>
      <c r="E1183" s="350">
        <v>1600</v>
      </c>
      <c r="F1183" s="353" t="s">
        <v>66</v>
      </c>
      <c r="G1183" s="353">
        <v>2</v>
      </c>
    </row>
    <row r="1184" spans="1:7" x14ac:dyDescent="0.3">
      <c r="A1184" s="350" t="s">
        <v>147</v>
      </c>
      <c r="B1184" s="350" t="s">
        <v>141</v>
      </c>
      <c r="C1184" s="350">
        <v>2020</v>
      </c>
      <c r="D1184" s="350" t="s">
        <v>65</v>
      </c>
      <c r="E1184" s="350">
        <v>1600</v>
      </c>
      <c r="F1184" s="353" t="s">
        <v>66</v>
      </c>
      <c r="G1184" s="353">
        <v>7</v>
      </c>
    </row>
    <row r="1185" spans="1:7" x14ac:dyDescent="0.3">
      <c r="A1185" s="350" t="s">
        <v>147</v>
      </c>
      <c r="B1185" s="350" t="s">
        <v>141</v>
      </c>
      <c r="C1185" s="350">
        <v>2019</v>
      </c>
      <c r="D1185" s="350" t="s">
        <v>65</v>
      </c>
      <c r="E1185" s="350">
        <v>1600</v>
      </c>
      <c r="F1185" s="353" t="s">
        <v>66</v>
      </c>
      <c r="G1185" s="353">
        <v>6</v>
      </c>
    </row>
    <row r="1186" spans="1:7" x14ac:dyDescent="0.3">
      <c r="A1186" s="350" t="s">
        <v>147</v>
      </c>
      <c r="B1186" s="350" t="s">
        <v>141</v>
      </c>
      <c r="C1186" s="350">
        <v>2018</v>
      </c>
      <c r="D1186" s="350" t="s">
        <v>65</v>
      </c>
      <c r="E1186" s="350">
        <v>1600</v>
      </c>
      <c r="F1186" s="353" t="s">
        <v>66</v>
      </c>
      <c r="G1186" s="353">
        <v>14</v>
      </c>
    </row>
    <row r="1187" spans="1:7" x14ac:dyDescent="0.3">
      <c r="A1187" s="350" t="s">
        <v>147</v>
      </c>
      <c r="B1187" s="350" t="s">
        <v>141</v>
      </c>
      <c r="C1187" s="350">
        <v>2017</v>
      </c>
      <c r="D1187" s="350" t="s">
        <v>65</v>
      </c>
      <c r="E1187" s="350">
        <v>1600</v>
      </c>
      <c r="F1187" s="353" t="s">
        <v>66</v>
      </c>
      <c r="G1187" s="353">
        <v>13</v>
      </c>
    </row>
    <row r="1188" spans="1:7" x14ac:dyDescent="0.3">
      <c r="A1188" s="350" t="s">
        <v>147</v>
      </c>
      <c r="B1188" s="350" t="s">
        <v>141</v>
      </c>
      <c r="C1188" s="350">
        <v>2016</v>
      </c>
      <c r="D1188" s="350" t="s">
        <v>65</v>
      </c>
      <c r="E1188" s="350">
        <v>1600</v>
      </c>
      <c r="F1188" s="353" t="s">
        <v>66</v>
      </c>
      <c r="G1188" s="353">
        <v>2</v>
      </c>
    </row>
    <row r="1189" spans="1:7" x14ac:dyDescent="0.3">
      <c r="A1189" s="350" t="s">
        <v>147</v>
      </c>
      <c r="B1189" s="350" t="s">
        <v>141</v>
      </c>
      <c r="C1189" s="350">
        <v>2015</v>
      </c>
      <c r="D1189" s="350" t="s">
        <v>65</v>
      </c>
      <c r="E1189" s="350">
        <v>1600</v>
      </c>
      <c r="F1189" s="353" t="s">
        <v>66</v>
      </c>
      <c r="G1189" s="353">
        <v>1</v>
      </c>
    </row>
    <row r="1190" spans="1:7" x14ac:dyDescent="0.3">
      <c r="A1190" s="350" t="s">
        <v>147</v>
      </c>
      <c r="B1190" s="350" t="s">
        <v>141</v>
      </c>
      <c r="C1190" s="350">
        <v>2014</v>
      </c>
      <c r="D1190" s="350" t="s">
        <v>65</v>
      </c>
      <c r="E1190" s="350">
        <v>1600</v>
      </c>
      <c r="F1190" s="353" t="s">
        <v>66</v>
      </c>
      <c r="G1190" s="353">
        <v>2</v>
      </c>
    </row>
    <row r="1191" spans="1:7" x14ac:dyDescent="0.3">
      <c r="A1191" s="350" t="s">
        <v>147</v>
      </c>
      <c r="B1191" s="350" t="s">
        <v>183</v>
      </c>
      <c r="C1191" s="350">
        <v>2021</v>
      </c>
      <c r="D1191" s="350" t="s">
        <v>65</v>
      </c>
      <c r="E1191" s="350">
        <v>1543</v>
      </c>
      <c r="F1191" s="353" t="s">
        <v>72</v>
      </c>
      <c r="G1191" s="353">
        <v>9</v>
      </c>
    </row>
    <row r="1192" spans="1:7" x14ac:dyDescent="0.3">
      <c r="A1192" s="350" t="s">
        <v>147</v>
      </c>
      <c r="B1192" s="350" t="s">
        <v>183</v>
      </c>
      <c r="C1192" s="350">
        <v>2020</v>
      </c>
      <c r="D1192" s="350" t="s">
        <v>65</v>
      </c>
      <c r="E1192" s="350">
        <v>1543</v>
      </c>
      <c r="F1192" s="353" t="s">
        <v>72</v>
      </c>
      <c r="G1192" s="353">
        <v>12</v>
      </c>
    </row>
    <row r="1193" spans="1:7" x14ac:dyDescent="0.3">
      <c r="A1193" s="350" t="s">
        <v>147</v>
      </c>
      <c r="B1193" s="350" t="s">
        <v>183</v>
      </c>
      <c r="C1193" s="350">
        <v>2019</v>
      </c>
      <c r="D1193" s="350" t="s">
        <v>65</v>
      </c>
      <c r="E1193" s="350">
        <v>1543</v>
      </c>
      <c r="F1193" s="353" t="s">
        <v>72</v>
      </c>
      <c r="G1193" s="353">
        <v>4</v>
      </c>
    </row>
    <row r="1194" spans="1:7" x14ac:dyDescent="0.3">
      <c r="A1194" s="350" t="s">
        <v>147</v>
      </c>
      <c r="B1194" s="350" t="s">
        <v>183</v>
      </c>
      <c r="C1194" s="350">
        <v>2018</v>
      </c>
      <c r="D1194" s="350" t="s">
        <v>65</v>
      </c>
      <c r="E1194" s="350">
        <v>1543</v>
      </c>
      <c r="F1194" s="353" t="s">
        <v>72</v>
      </c>
      <c r="G1194" s="353">
        <v>2</v>
      </c>
    </row>
    <row r="1195" spans="1:7" x14ac:dyDescent="0.3">
      <c r="A1195" s="350" t="s">
        <v>147</v>
      </c>
      <c r="B1195" s="350" t="s">
        <v>183</v>
      </c>
      <c r="C1195" s="350">
        <v>2017</v>
      </c>
      <c r="D1195" s="350" t="s">
        <v>65</v>
      </c>
      <c r="E1195" s="350">
        <v>1543</v>
      </c>
      <c r="F1195" s="353" t="s">
        <v>72</v>
      </c>
      <c r="G1195" s="353">
        <v>3</v>
      </c>
    </row>
    <row r="1196" spans="1:7" x14ac:dyDescent="0.3">
      <c r="A1196" s="350" t="s">
        <v>147</v>
      </c>
      <c r="B1196" s="350" t="s">
        <v>183</v>
      </c>
      <c r="C1196" s="350">
        <v>2015</v>
      </c>
      <c r="D1196" s="350" t="s">
        <v>65</v>
      </c>
      <c r="E1196" s="350">
        <v>1543</v>
      </c>
      <c r="F1196" s="353" t="s">
        <v>72</v>
      </c>
      <c r="G1196" s="353">
        <v>14</v>
      </c>
    </row>
    <row r="1197" spans="1:7" x14ac:dyDescent="0.3">
      <c r="A1197" s="350" t="s">
        <v>147</v>
      </c>
      <c r="B1197" s="350" t="s">
        <v>183</v>
      </c>
      <c r="C1197" s="350">
        <v>2014</v>
      </c>
      <c r="D1197" s="350" t="s">
        <v>65</v>
      </c>
      <c r="E1197" s="350">
        <v>1543</v>
      </c>
      <c r="F1197" s="353" t="s">
        <v>72</v>
      </c>
      <c r="G1197" s="353">
        <v>3</v>
      </c>
    </row>
    <row r="1198" spans="1:7" x14ac:dyDescent="0.3">
      <c r="A1198" s="350" t="s">
        <v>147</v>
      </c>
      <c r="B1198" s="350" t="s">
        <v>84</v>
      </c>
      <c r="C1198" s="350">
        <v>2021</v>
      </c>
      <c r="D1198" s="350" t="s">
        <v>65</v>
      </c>
      <c r="E1198" s="350">
        <v>1543</v>
      </c>
      <c r="F1198" s="353" t="s">
        <v>66</v>
      </c>
      <c r="G1198" s="353">
        <v>3</v>
      </c>
    </row>
    <row r="1199" spans="1:7" x14ac:dyDescent="0.3">
      <c r="A1199" s="350" t="s">
        <v>147</v>
      </c>
      <c r="B1199" s="350" t="s">
        <v>84</v>
      </c>
      <c r="C1199" s="350">
        <v>2020</v>
      </c>
      <c r="D1199" s="350" t="s">
        <v>65</v>
      </c>
      <c r="E1199" s="350">
        <v>1543</v>
      </c>
      <c r="F1199" s="353" t="s">
        <v>66</v>
      </c>
      <c r="G1199" s="353">
        <v>8</v>
      </c>
    </row>
    <row r="1200" spans="1:7" x14ac:dyDescent="0.3">
      <c r="A1200" s="350" t="s">
        <v>147</v>
      </c>
      <c r="B1200" s="350" t="s">
        <v>84</v>
      </c>
      <c r="C1200" s="350">
        <v>2019</v>
      </c>
      <c r="D1200" s="350" t="s">
        <v>65</v>
      </c>
      <c r="E1200" s="350">
        <v>1543</v>
      </c>
      <c r="F1200" s="353" t="s">
        <v>66</v>
      </c>
      <c r="G1200" s="353">
        <v>10</v>
      </c>
    </row>
    <row r="1201" spans="1:7" x14ac:dyDescent="0.3">
      <c r="A1201" s="350" t="s">
        <v>147</v>
      </c>
      <c r="B1201" s="350" t="s">
        <v>84</v>
      </c>
      <c r="C1201" s="350">
        <v>2018</v>
      </c>
      <c r="D1201" s="350" t="s">
        <v>65</v>
      </c>
      <c r="E1201" s="350">
        <v>1543</v>
      </c>
      <c r="F1201" s="353" t="s">
        <v>66</v>
      </c>
      <c r="G1201" s="353">
        <v>3</v>
      </c>
    </row>
    <row r="1202" spans="1:7" x14ac:dyDescent="0.3">
      <c r="A1202" s="350" t="s">
        <v>147</v>
      </c>
      <c r="B1202" s="350" t="s">
        <v>84</v>
      </c>
      <c r="C1202" s="350">
        <v>2017</v>
      </c>
      <c r="D1202" s="350" t="s">
        <v>65</v>
      </c>
      <c r="E1202" s="350">
        <v>1543</v>
      </c>
      <c r="F1202" s="353" t="s">
        <v>66</v>
      </c>
      <c r="G1202" s="353">
        <v>6</v>
      </c>
    </row>
    <row r="1203" spans="1:7" x14ac:dyDescent="0.3">
      <c r="A1203" s="350" t="s">
        <v>147</v>
      </c>
      <c r="B1203" s="350" t="s">
        <v>84</v>
      </c>
      <c r="C1203" s="350">
        <v>2016</v>
      </c>
      <c r="D1203" s="350" t="s">
        <v>65</v>
      </c>
      <c r="E1203" s="350">
        <v>1543</v>
      </c>
      <c r="F1203" s="353" t="s">
        <v>66</v>
      </c>
      <c r="G1203" s="353">
        <v>3</v>
      </c>
    </row>
    <row r="1204" spans="1:7" x14ac:dyDescent="0.3">
      <c r="A1204" s="350" t="s">
        <v>147</v>
      </c>
      <c r="B1204" s="350" t="s">
        <v>84</v>
      </c>
      <c r="C1204" s="350">
        <v>2015</v>
      </c>
      <c r="D1204" s="350" t="s">
        <v>65</v>
      </c>
      <c r="E1204" s="350">
        <v>1543</v>
      </c>
      <c r="F1204" s="353" t="s">
        <v>66</v>
      </c>
      <c r="G1204" s="353">
        <v>10</v>
      </c>
    </row>
    <row r="1205" spans="1:7" x14ac:dyDescent="0.3">
      <c r="A1205" s="350" t="s">
        <v>147</v>
      </c>
      <c r="B1205" s="350" t="s">
        <v>84</v>
      </c>
      <c r="C1205" s="350">
        <v>2014</v>
      </c>
      <c r="D1205" s="350" t="s">
        <v>65</v>
      </c>
      <c r="E1205" s="350">
        <v>1543</v>
      </c>
      <c r="F1205" s="353" t="s">
        <v>66</v>
      </c>
      <c r="G1205" s="353">
        <v>5</v>
      </c>
    </row>
    <row r="1206" spans="1:7" x14ac:dyDescent="0.3">
      <c r="A1206" s="350" t="s">
        <v>147</v>
      </c>
      <c r="B1206" s="350" t="s">
        <v>184</v>
      </c>
      <c r="C1206" s="350">
        <v>2021</v>
      </c>
      <c r="D1206" s="350" t="s">
        <v>65</v>
      </c>
      <c r="E1206" s="350">
        <v>1450</v>
      </c>
      <c r="F1206" s="353" t="s">
        <v>66</v>
      </c>
      <c r="G1206" s="353">
        <v>1</v>
      </c>
    </row>
    <row r="1207" spans="1:7" x14ac:dyDescent="0.3">
      <c r="A1207" s="350" t="s">
        <v>147</v>
      </c>
      <c r="B1207" s="350" t="s">
        <v>184</v>
      </c>
      <c r="C1207" s="350">
        <v>2020</v>
      </c>
      <c r="D1207" s="350" t="s">
        <v>65</v>
      </c>
      <c r="E1207" s="350">
        <v>1450</v>
      </c>
      <c r="F1207" s="353" t="s">
        <v>66</v>
      </c>
      <c r="G1207" s="353">
        <v>1</v>
      </c>
    </row>
    <row r="1208" spans="1:7" x14ac:dyDescent="0.3">
      <c r="A1208" s="350" t="s">
        <v>147</v>
      </c>
      <c r="B1208" s="350" t="s">
        <v>184</v>
      </c>
      <c r="C1208" s="350">
        <v>2019</v>
      </c>
      <c r="D1208" s="350" t="s">
        <v>65</v>
      </c>
      <c r="E1208" s="350">
        <v>1450</v>
      </c>
      <c r="F1208" s="353" t="s">
        <v>66</v>
      </c>
      <c r="G1208" s="353">
        <v>5</v>
      </c>
    </row>
    <row r="1209" spans="1:7" x14ac:dyDescent="0.3">
      <c r="A1209" s="350" t="s">
        <v>147</v>
      </c>
      <c r="B1209" s="350" t="s">
        <v>184</v>
      </c>
      <c r="C1209" s="350">
        <v>2017</v>
      </c>
      <c r="D1209" s="350" t="s">
        <v>65</v>
      </c>
      <c r="E1209" s="350">
        <v>1450</v>
      </c>
      <c r="F1209" s="353" t="s">
        <v>66</v>
      </c>
      <c r="G1209" s="353">
        <v>3</v>
      </c>
    </row>
    <row r="1210" spans="1:7" x14ac:dyDescent="0.3">
      <c r="A1210" s="350" t="s">
        <v>147</v>
      </c>
      <c r="B1210" s="350" t="s">
        <v>184</v>
      </c>
      <c r="C1210" s="350">
        <v>2014</v>
      </c>
      <c r="D1210" s="350" t="s">
        <v>65</v>
      </c>
      <c r="E1210" s="350">
        <v>1450</v>
      </c>
      <c r="F1210" s="353" t="s">
        <v>66</v>
      </c>
      <c r="G1210" s="353">
        <v>3</v>
      </c>
    </row>
    <row r="1211" spans="1:7" x14ac:dyDescent="0.3">
      <c r="A1211" s="350" t="s">
        <v>147</v>
      </c>
      <c r="B1211" s="350" t="s">
        <v>240</v>
      </c>
      <c r="C1211" s="350">
        <v>2021</v>
      </c>
      <c r="D1211" s="350" t="s">
        <v>65</v>
      </c>
      <c r="E1211" s="350">
        <v>1425</v>
      </c>
      <c r="F1211" s="353" t="s">
        <v>66</v>
      </c>
      <c r="G1211" s="353">
        <v>1</v>
      </c>
    </row>
    <row r="1212" spans="1:7" x14ac:dyDescent="0.3">
      <c r="A1212" s="350" t="s">
        <v>147</v>
      </c>
      <c r="B1212" s="350" t="s">
        <v>240</v>
      </c>
      <c r="C1212" s="350">
        <v>2018</v>
      </c>
      <c r="D1212" s="350" t="s">
        <v>65</v>
      </c>
      <c r="E1212" s="350">
        <v>1425</v>
      </c>
      <c r="F1212" s="353" t="s">
        <v>66</v>
      </c>
      <c r="G1212" s="353">
        <v>2</v>
      </c>
    </row>
    <row r="1213" spans="1:7" x14ac:dyDescent="0.3">
      <c r="A1213" s="350" t="s">
        <v>147</v>
      </c>
      <c r="B1213" s="350" t="s">
        <v>185</v>
      </c>
      <c r="C1213" s="350">
        <v>2021</v>
      </c>
      <c r="D1213" s="350" t="s">
        <v>65</v>
      </c>
      <c r="E1213" s="350">
        <v>1320</v>
      </c>
      <c r="F1213" s="353" t="s">
        <v>66</v>
      </c>
      <c r="G1213" s="353">
        <v>1</v>
      </c>
    </row>
    <row r="1214" spans="1:7" x14ac:dyDescent="0.3">
      <c r="A1214" s="350" t="s">
        <v>147</v>
      </c>
      <c r="B1214" s="350" t="s">
        <v>185</v>
      </c>
      <c r="C1214" s="350">
        <v>2016</v>
      </c>
      <c r="D1214" s="350" t="s">
        <v>65</v>
      </c>
      <c r="E1214" s="350">
        <v>1320</v>
      </c>
      <c r="F1214" s="353" t="s">
        <v>66</v>
      </c>
      <c r="G1214" s="353">
        <v>1</v>
      </c>
    </row>
    <row r="1215" spans="1:7" x14ac:dyDescent="0.3">
      <c r="A1215" s="350" t="s">
        <v>147</v>
      </c>
      <c r="B1215" s="350" t="s">
        <v>260</v>
      </c>
      <c r="C1215" s="350">
        <v>2021</v>
      </c>
      <c r="D1215" s="350" t="s">
        <v>65</v>
      </c>
      <c r="E1215" s="350">
        <v>1320</v>
      </c>
      <c r="F1215" s="353" t="s">
        <v>66</v>
      </c>
      <c r="G1215" s="353">
        <v>1</v>
      </c>
    </row>
    <row r="1216" spans="1:7" x14ac:dyDescent="0.3">
      <c r="A1216" s="350" t="s">
        <v>147</v>
      </c>
      <c r="B1216" s="350" t="s">
        <v>260</v>
      </c>
      <c r="C1216" s="350">
        <v>2018</v>
      </c>
      <c r="D1216" s="350" t="s">
        <v>65</v>
      </c>
      <c r="E1216" s="350">
        <v>1320</v>
      </c>
      <c r="F1216" s="353" t="s">
        <v>66</v>
      </c>
      <c r="G1216" s="353">
        <v>1</v>
      </c>
    </row>
    <row r="1217" spans="1:7" x14ac:dyDescent="0.3">
      <c r="A1217" s="350" t="s">
        <v>147</v>
      </c>
      <c r="B1217" s="350" t="s">
        <v>260</v>
      </c>
      <c r="C1217" s="350">
        <v>2017</v>
      </c>
      <c r="D1217" s="350" t="s">
        <v>65</v>
      </c>
      <c r="E1217" s="350">
        <v>1320</v>
      </c>
      <c r="F1217" s="353" t="s">
        <v>66</v>
      </c>
      <c r="G1217" s="353">
        <v>4</v>
      </c>
    </row>
    <row r="1218" spans="1:7" x14ac:dyDescent="0.3">
      <c r="A1218" s="350" t="s">
        <v>147</v>
      </c>
      <c r="B1218" s="350" t="s">
        <v>201</v>
      </c>
      <c r="C1218" s="350">
        <v>2021</v>
      </c>
      <c r="D1218" s="350" t="s">
        <v>65</v>
      </c>
      <c r="E1218" s="350">
        <v>1300</v>
      </c>
      <c r="F1218" s="353" t="s">
        <v>66</v>
      </c>
      <c r="G1218" s="353">
        <v>1</v>
      </c>
    </row>
    <row r="1219" spans="1:7" x14ac:dyDescent="0.3">
      <c r="A1219" s="350" t="s">
        <v>147</v>
      </c>
      <c r="B1219" s="350" t="s">
        <v>201</v>
      </c>
      <c r="C1219" s="350">
        <v>2020</v>
      </c>
      <c r="D1219" s="350" t="s">
        <v>65</v>
      </c>
      <c r="E1219" s="350">
        <v>1300</v>
      </c>
      <c r="F1219" s="353" t="s">
        <v>66</v>
      </c>
      <c r="G1219" s="353">
        <v>1</v>
      </c>
    </row>
    <row r="1220" spans="1:7" x14ac:dyDescent="0.3">
      <c r="A1220" s="350" t="s">
        <v>147</v>
      </c>
      <c r="B1220" s="350" t="s">
        <v>201</v>
      </c>
      <c r="C1220" s="350">
        <v>2018</v>
      </c>
      <c r="D1220" s="350" t="s">
        <v>65</v>
      </c>
      <c r="E1220" s="350">
        <v>1300</v>
      </c>
      <c r="F1220" s="353" t="s">
        <v>66</v>
      </c>
      <c r="G1220" s="353">
        <v>1</v>
      </c>
    </row>
    <row r="1221" spans="1:7" x14ac:dyDescent="0.3">
      <c r="A1221" s="350" t="s">
        <v>147</v>
      </c>
      <c r="B1221" s="350" t="s">
        <v>201</v>
      </c>
      <c r="C1221" s="350">
        <v>2017</v>
      </c>
      <c r="D1221" s="350" t="s">
        <v>65</v>
      </c>
      <c r="E1221" s="350">
        <v>1300</v>
      </c>
      <c r="F1221" s="353" t="s">
        <v>66</v>
      </c>
      <c r="G1221" s="353">
        <v>2</v>
      </c>
    </row>
    <row r="1222" spans="1:7" x14ac:dyDescent="0.3">
      <c r="A1222" s="350" t="s">
        <v>147</v>
      </c>
      <c r="B1222" s="350" t="s">
        <v>201</v>
      </c>
      <c r="C1222" s="350">
        <v>2015</v>
      </c>
      <c r="D1222" s="350" t="s">
        <v>65</v>
      </c>
      <c r="E1222" s="350">
        <v>1300</v>
      </c>
      <c r="F1222" s="353" t="s">
        <v>66</v>
      </c>
      <c r="G1222" s="353">
        <v>2</v>
      </c>
    </row>
    <row r="1223" spans="1:7" x14ac:dyDescent="0.3">
      <c r="A1223" s="350" t="s">
        <v>147</v>
      </c>
      <c r="B1223" s="350" t="s">
        <v>270</v>
      </c>
      <c r="C1223" s="350">
        <v>2021</v>
      </c>
      <c r="D1223" s="350" t="s">
        <v>65</v>
      </c>
      <c r="E1223" s="350">
        <v>-1</v>
      </c>
      <c r="F1223" s="353" t="s">
        <v>270</v>
      </c>
      <c r="G1223" s="353">
        <v>2083</v>
      </c>
    </row>
    <row r="1224" spans="1:7" x14ac:dyDescent="0.3">
      <c r="A1224" s="350" t="s">
        <v>147</v>
      </c>
      <c r="B1224" s="350" t="s">
        <v>270</v>
      </c>
      <c r="C1224" s="350">
        <v>2020</v>
      </c>
      <c r="D1224" s="350" t="s">
        <v>65</v>
      </c>
      <c r="E1224" s="350">
        <v>-1</v>
      </c>
      <c r="F1224" s="353" t="s">
        <v>270</v>
      </c>
      <c r="G1224" s="353">
        <v>2081</v>
      </c>
    </row>
    <row r="1225" spans="1:7" x14ac:dyDescent="0.3">
      <c r="A1225" s="350" t="s">
        <v>147</v>
      </c>
      <c r="B1225" s="350" t="s">
        <v>270</v>
      </c>
      <c r="C1225" s="350">
        <v>2019</v>
      </c>
      <c r="D1225" s="350" t="s">
        <v>65</v>
      </c>
      <c r="E1225" s="350">
        <v>-1</v>
      </c>
      <c r="F1225" s="353" t="s">
        <v>270</v>
      </c>
      <c r="G1225" s="353">
        <v>1517</v>
      </c>
    </row>
    <row r="1226" spans="1:7" x14ac:dyDescent="0.3">
      <c r="A1226" s="350" t="s">
        <v>147</v>
      </c>
      <c r="B1226" s="350" t="s">
        <v>270</v>
      </c>
      <c r="C1226" s="350">
        <v>2018</v>
      </c>
      <c r="D1226" s="350" t="s">
        <v>65</v>
      </c>
      <c r="E1226" s="350">
        <v>-1</v>
      </c>
      <c r="F1226" s="353" t="s">
        <v>270</v>
      </c>
      <c r="G1226" s="353">
        <v>1186</v>
      </c>
    </row>
    <row r="1227" spans="1:7" x14ac:dyDescent="0.3">
      <c r="A1227" s="350" t="s">
        <v>147</v>
      </c>
      <c r="B1227" s="350" t="s">
        <v>270</v>
      </c>
      <c r="C1227" s="350">
        <v>2017</v>
      </c>
      <c r="D1227" s="350" t="s">
        <v>65</v>
      </c>
      <c r="E1227" s="350">
        <v>-1</v>
      </c>
      <c r="F1227" s="353" t="s">
        <v>270</v>
      </c>
      <c r="G1227" s="353">
        <v>930</v>
      </c>
    </row>
    <row r="1228" spans="1:7" x14ac:dyDescent="0.3">
      <c r="A1228" s="350" t="s">
        <v>147</v>
      </c>
      <c r="B1228" s="350" t="s">
        <v>270</v>
      </c>
      <c r="C1228" s="350">
        <v>2016</v>
      </c>
      <c r="D1228" s="350" t="s">
        <v>65</v>
      </c>
      <c r="E1228" s="350">
        <v>-1</v>
      </c>
      <c r="F1228" s="353" t="s">
        <v>270</v>
      </c>
      <c r="G1228" s="353">
        <v>312</v>
      </c>
    </row>
    <row r="1229" spans="1:7" x14ac:dyDescent="0.3">
      <c r="A1229" s="350" t="s">
        <v>147</v>
      </c>
      <c r="B1229" s="350" t="s">
        <v>270</v>
      </c>
      <c r="C1229" s="350">
        <v>2015</v>
      </c>
      <c r="D1229" s="350" t="s">
        <v>65</v>
      </c>
      <c r="E1229" s="350">
        <v>-1</v>
      </c>
      <c r="F1229" s="353" t="s">
        <v>270</v>
      </c>
      <c r="G1229" s="353">
        <v>339</v>
      </c>
    </row>
    <row r="1230" spans="1:7" x14ac:dyDescent="0.3">
      <c r="A1230" s="350" t="s">
        <v>147</v>
      </c>
      <c r="B1230" s="350" t="s">
        <v>270</v>
      </c>
      <c r="C1230" s="350">
        <v>2014</v>
      </c>
      <c r="D1230" s="350" t="s">
        <v>65</v>
      </c>
      <c r="E1230" s="350">
        <v>-1</v>
      </c>
      <c r="F1230" s="353" t="s">
        <v>270</v>
      </c>
      <c r="G1230" s="353">
        <v>116</v>
      </c>
    </row>
  </sheetData>
  <sortState xmlns:xlrd2="http://schemas.microsoft.com/office/spreadsheetml/2017/richdata2" ref="A2:G1230">
    <sortCondition descending="1" ref="E2:E1230"/>
  </sortState>
  <conditionalFormatting sqref="B1:B104857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:E1048576">
    <cfRule type="cellIs" dxfId="1" priority="2" operator="lessThan">
      <formula>30000</formula>
    </cfRule>
  </conditionalFormatting>
  <conditionalFormatting sqref="G1:G1048576">
    <cfRule type="cellIs" dxfId="0" priority="1" operator="lessThan">
      <formula>250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16F1-71E7-49BE-BF21-DCF35240D7EC}">
  <dimension ref="A1:H886"/>
  <sheetViews>
    <sheetView workbookViewId="0">
      <selection activeCell="H890" sqref="H890"/>
    </sheetView>
  </sheetViews>
  <sheetFormatPr defaultRowHeight="14.4" x14ac:dyDescent="0.3"/>
  <sheetData>
    <row r="1" spans="1:8" x14ac:dyDescent="0.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x14ac:dyDescent="0.3">
      <c r="A2" t="s">
        <v>62</v>
      </c>
      <c r="B2">
        <v>2015</v>
      </c>
      <c r="C2" t="s">
        <v>307</v>
      </c>
      <c r="D2" t="s">
        <v>308</v>
      </c>
      <c r="E2" t="s">
        <v>65</v>
      </c>
      <c r="F2">
        <v>50044</v>
      </c>
      <c r="G2" t="s">
        <v>66</v>
      </c>
      <c r="H2">
        <v>1</v>
      </c>
    </row>
    <row r="3" spans="1:8" x14ac:dyDescent="0.3">
      <c r="A3" t="s">
        <v>150</v>
      </c>
      <c r="B3">
        <v>2017</v>
      </c>
      <c r="C3" t="s">
        <v>307</v>
      </c>
      <c r="D3" t="s">
        <v>308</v>
      </c>
      <c r="E3" t="s">
        <v>65</v>
      </c>
      <c r="F3">
        <v>174165</v>
      </c>
      <c r="G3" t="s">
        <v>72</v>
      </c>
      <c r="H3">
        <v>1</v>
      </c>
    </row>
    <row r="4" spans="1:8" x14ac:dyDescent="0.3">
      <c r="A4" t="s">
        <v>67</v>
      </c>
      <c r="B4">
        <v>2014</v>
      </c>
      <c r="C4" t="s">
        <v>307</v>
      </c>
      <c r="D4" t="s">
        <v>308</v>
      </c>
      <c r="E4" t="s">
        <v>65</v>
      </c>
      <c r="F4">
        <v>2400</v>
      </c>
      <c r="G4" t="s">
        <v>66</v>
      </c>
      <c r="H4">
        <v>10</v>
      </c>
    </row>
    <row r="5" spans="1:8" x14ac:dyDescent="0.3">
      <c r="A5" t="s">
        <v>67</v>
      </c>
      <c r="B5">
        <v>2015</v>
      </c>
      <c r="C5" t="s">
        <v>307</v>
      </c>
      <c r="D5" t="s">
        <v>308</v>
      </c>
      <c r="E5" t="s">
        <v>65</v>
      </c>
      <c r="F5">
        <v>2400</v>
      </c>
      <c r="G5" t="s">
        <v>66</v>
      </c>
      <c r="H5">
        <v>12</v>
      </c>
    </row>
    <row r="6" spans="1:8" x14ac:dyDescent="0.3">
      <c r="A6" t="s">
        <v>67</v>
      </c>
      <c r="B6">
        <v>2016</v>
      </c>
      <c r="C6" t="s">
        <v>307</v>
      </c>
      <c r="D6" t="s">
        <v>308</v>
      </c>
      <c r="E6" t="s">
        <v>65</v>
      </c>
      <c r="F6">
        <v>2400</v>
      </c>
      <c r="G6" t="s">
        <v>66</v>
      </c>
      <c r="H6">
        <v>10</v>
      </c>
    </row>
    <row r="7" spans="1:8" x14ac:dyDescent="0.3">
      <c r="A7" t="s">
        <v>67</v>
      </c>
      <c r="B7">
        <v>2017</v>
      </c>
      <c r="C7" t="s">
        <v>307</v>
      </c>
      <c r="D7" t="s">
        <v>308</v>
      </c>
      <c r="E7" t="s">
        <v>65</v>
      </c>
      <c r="F7">
        <v>2400</v>
      </c>
      <c r="G7" t="s">
        <v>66</v>
      </c>
      <c r="H7">
        <v>5</v>
      </c>
    </row>
    <row r="8" spans="1:8" x14ac:dyDescent="0.3">
      <c r="A8" t="s">
        <v>67</v>
      </c>
      <c r="B8">
        <v>2018</v>
      </c>
      <c r="C8" t="s">
        <v>307</v>
      </c>
      <c r="D8" t="s">
        <v>308</v>
      </c>
      <c r="E8" t="s">
        <v>65</v>
      </c>
      <c r="F8">
        <v>2400</v>
      </c>
      <c r="G8" t="s">
        <v>66</v>
      </c>
      <c r="H8">
        <v>17</v>
      </c>
    </row>
    <row r="9" spans="1:8" x14ac:dyDescent="0.3">
      <c r="A9" t="s">
        <v>67</v>
      </c>
      <c r="B9">
        <v>2019</v>
      </c>
      <c r="C9" t="s">
        <v>307</v>
      </c>
      <c r="D9" t="s">
        <v>308</v>
      </c>
      <c r="E9" t="s">
        <v>65</v>
      </c>
      <c r="F9">
        <v>2400</v>
      </c>
      <c r="G9" t="s">
        <v>66</v>
      </c>
      <c r="H9">
        <v>7</v>
      </c>
    </row>
    <row r="10" spans="1:8" x14ac:dyDescent="0.3">
      <c r="A10" t="s">
        <v>67</v>
      </c>
      <c r="B10">
        <v>2020</v>
      </c>
      <c r="C10" t="s">
        <v>307</v>
      </c>
      <c r="D10" t="s">
        <v>308</v>
      </c>
      <c r="E10" t="s">
        <v>65</v>
      </c>
      <c r="F10">
        <v>2400</v>
      </c>
      <c r="G10" t="s">
        <v>66</v>
      </c>
      <c r="H10">
        <v>10</v>
      </c>
    </row>
    <row r="11" spans="1:8" x14ac:dyDescent="0.3">
      <c r="A11" t="s">
        <v>67</v>
      </c>
      <c r="B11">
        <v>2021</v>
      </c>
      <c r="C11" t="s">
        <v>307</v>
      </c>
      <c r="D11" t="s">
        <v>308</v>
      </c>
      <c r="E11" t="s">
        <v>65</v>
      </c>
      <c r="F11">
        <v>2400</v>
      </c>
      <c r="G11" t="s">
        <v>66</v>
      </c>
      <c r="H11">
        <v>13</v>
      </c>
    </row>
    <row r="12" spans="1:8" x14ac:dyDescent="0.3">
      <c r="A12" t="s">
        <v>68</v>
      </c>
      <c r="B12">
        <v>2014</v>
      </c>
      <c r="C12" t="s">
        <v>307</v>
      </c>
      <c r="D12" t="s">
        <v>308</v>
      </c>
      <c r="E12" t="s">
        <v>65</v>
      </c>
      <c r="F12">
        <v>3262</v>
      </c>
      <c r="G12" t="s">
        <v>66</v>
      </c>
      <c r="H12">
        <v>1</v>
      </c>
    </row>
    <row r="13" spans="1:8" x14ac:dyDescent="0.3">
      <c r="A13" t="s">
        <v>68</v>
      </c>
      <c r="B13">
        <v>2016</v>
      </c>
      <c r="C13" t="s">
        <v>307</v>
      </c>
      <c r="D13" t="s">
        <v>308</v>
      </c>
      <c r="E13" t="s">
        <v>65</v>
      </c>
      <c r="F13">
        <v>3262</v>
      </c>
      <c r="G13" t="s">
        <v>66</v>
      </c>
      <c r="H13">
        <v>2</v>
      </c>
    </row>
    <row r="14" spans="1:8" x14ac:dyDescent="0.3">
      <c r="A14" t="s">
        <v>68</v>
      </c>
      <c r="B14">
        <v>2017</v>
      </c>
      <c r="C14" t="s">
        <v>307</v>
      </c>
      <c r="D14" t="s">
        <v>308</v>
      </c>
      <c r="E14" t="s">
        <v>65</v>
      </c>
      <c r="F14">
        <v>3262</v>
      </c>
      <c r="G14" t="s">
        <v>66</v>
      </c>
      <c r="H14">
        <v>2</v>
      </c>
    </row>
    <row r="15" spans="1:8" x14ac:dyDescent="0.3">
      <c r="A15" t="s">
        <v>68</v>
      </c>
      <c r="B15">
        <v>2018</v>
      </c>
      <c r="C15" t="s">
        <v>307</v>
      </c>
      <c r="D15" t="s">
        <v>308</v>
      </c>
      <c r="E15" t="s">
        <v>65</v>
      </c>
      <c r="F15">
        <v>3262</v>
      </c>
      <c r="G15" t="s">
        <v>66</v>
      </c>
      <c r="H15">
        <v>1</v>
      </c>
    </row>
    <row r="16" spans="1:8" x14ac:dyDescent="0.3">
      <c r="A16" t="s">
        <v>68</v>
      </c>
      <c r="B16">
        <v>2021</v>
      </c>
      <c r="C16" t="s">
        <v>307</v>
      </c>
      <c r="D16" t="s">
        <v>308</v>
      </c>
      <c r="E16" t="s">
        <v>65</v>
      </c>
      <c r="F16">
        <v>3262</v>
      </c>
      <c r="G16" t="s">
        <v>66</v>
      </c>
      <c r="H16">
        <v>1</v>
      </c>
    </row>
    <row r="17" spans="1:8" x14ac:dyDescent="0.3">
      <c r="A17" t="s">
        <v>152</v>
      </c>
      <c r="B17">
        <v>2015</v>
      </c>
      <c r="C17" t="s">
        <v>307</v>
      </c>
      <c r="D17" t="s">
        <v>308</v>
      </c>
      <c r="E17" t="s">
        <v>65</v>
      </c>
      <c r="F17">
        <v>6750</v>
      </c>
      <c r="G17" t="s">
        <v>66</v>
      </c>
      <c r="H17">
        <v>1</v>
      </c>
    </row>
    <row r="18" spans="1:8" x14ac:dyDescent="0.3">
      <c r="A18" t="s">
        <v>152</v>
      </c>
      <c r="B18">
        <v>2018</v>
      </c>
      <c r="C18" t="s">
        <v>307</v>
      </c>
      <c r="D18" t="s">
        <v>308</v>
      </c>
      <c r="E18" t="s">
        <v>65</v>
      </c>
      <c r="F18">
        <v>6750</v>
      </c>
      <c r="G18" t="s">
        <v>66</v>
      </c>
      <c r="H18">
        <v>2</v>
      </c>
    </row>
    <row r="19" spans="1:8" x14ac:dyDescent="0.3">
      <c r="A19" t="s">
        <v>309</v>
      </c>
      <c r="B19">
        <v>2017</v>
      </c>
      <c r="C19" t="s">
        <v>307</v>
      </c>
      <c r="D19" t="s">
        <v>308</v>
      </c>
      <c r="E19" t="s">
        <v>65</v>
      </c>
      <c r="F19">
        <v>9000</v>
      </c>
      <c r="G19" t="s">
        <v>66</v>
      </c>
      <c r="H19">
        <v>1</v>
      </c>
    </row>
    <row r="20" spans="1:8" x14ac:dyDescent="0.3">
      <c r="A20" t="s">
        <v>69</v>
      </c>
      <c r="B20">
        <v>2015</v>
      </c>
      <c r="C20" t="s">
        <v>307</v>
      </c>
      <c r="D20" t="s">
        <v>308</v>
      </c>
      <c r="E20" t="s">
        <v>65</v>
      </c>
      <c r="F20">
        <v>10700</v>
      </c>
      <c r="G20" t="s">
        <v>66</v>
      </c>
      <c r="H20">
        <v>1</v>
      </c>
    </row>
    <row r="21" spans="1:8" x14ac:dyDescent="0.3">
      <c r="A21" t="s">
        <v>69</v>
      </c>
      <c r="B21">
        <v>2018</v>
      </c>
      <c r="C21" t="s">
        <v>307</v>
      </c>
      <c r="D21" t="s">
        <v>308</v>
      </c>
      <c r="E21" t="s">
        <v>65</v>
      </c>
      <c r="F21">
        <v>10700</v>
      </c>
      <c r="G21" t="s">
        <v>66</v>
      </c>
      <c r="H21">
        <v>1</v>
      </c>
    </row>
    <row r="22" spans="1:8" x14ac:dyDescent="0.3">
      <c r="A22" t="s">
        <v>69</v>
      </c>
      <c r="B22">
        <v>2020</v>
      </c>
      <c r="C22" t="s">
        <v>307</v>
      </c>
      <c r="D22" t="s">
        <v>308</v>
      </c>
      <c r="E22" t="s">
        <v>65</v>
      </c>
      <c r="F22">
        <v>10700</v>
      </c>
      <c r="G22" t="s">
        <v>66</v>
      </c>
      <c r="H22">
        <v>1</v>
      </c>
    </row>
    <row r="23" spans="1:8" x14ac:dyDescent="0.3">
      <c r="A23" t="s">
        <v>155</v>
      </c>
      <c r="B23">
        <v>2015</v>
      </c>
      <c r="C23" t="s">
        <v>307</v>
      </c>
      <c r="D23" t="s">
        <v>308</v>
      </c>
      <c r="E23" t="s">
        <v>65</v>
      </c>
      <c r="F23">
        <v>11750</v>
      </c>
      <c r="G23" t="s">
        <v>66</v>
      </c>
      <c r="H23">
        <v>2</v>
      </c>
    </row>
    <row r="24" spans="1:8" x14ac:dyDescent="0.3">
      <c r="A24" t="s">
        <v>155</v>
      </c>
      <c r="B24">
        <v>2016</v>
      </c>
      <c r="C24" t="s">
        <v>307</v>
      </c>
      <c r="D24" t="s">
        <v>308</v>
      </c>
      <c r="E24" t="s">
        <v>65</v>
      </c>
      <c r="F24">
        <v>11750</v>
      </c>
      <c r="G24" t="s">
        <v>66</v>
      </c>
      <c r="H24">
        <v>1</v>
      </c>
    </row>
    <row r="25" spans="1:8" x14ac:dyDescent="0.3">
      <c r="A25" t="s">
        <v>155</v>
      </c>
      <c r="B25">
        <v>2017</v>
      </c>
      <c r="C25" t="s">
        <v>307</v>
      </c>
      <c r="D25" t="s">
        <v>308</v>
      </c>
      <c r="E25" t="s">
        <v>65</v>
      </c>
      <c r="F25">
        <v>11750</v>
      </c>
      <c r="G25" t="s">
        <v>66</v>
      </c>
      <c r="H25">
        <v>1</v>
      </c>
    </row>
    <row r="26" spans="1:8" x14ac:dyDescent="0.3">
      <c r="A26" t="s">
        <v>155</v>
      </c>
      <c r="B26">
        <v>2020</v>
      </c>
      <c r="C26" t="s">
        <v>307</v>
      </c>
      <c r="D26" t="s">
        <v>308</v>
      </c>
      <c r="E26" t="s">
        <v>65</v>
      </c>
      <c r="F26">
        <v>11750</v>
      </c>
      <c r="G26" t="s">
        <v>66</v>
      </c>
      <c r="H26">
        <v>1</v>
      </c>
    </row>
    <row r="27" spans="1:8" x14ac:dyDescent="0.3">
      <c r="A27" t="s">
        <v>70</v>
      </c>
      <c r="B27">
        <v>2015</v>
      </c>
      <c r="C27" t="s">
        <v>307</v>
      </c>
      <c r="D27" t="s">
        <v>308</v>
      </c>
      <c r="E27" t="s">
        <v>65</v>
      </c>
      <c r="F27">
        <v>6850</v>
      </c>
      <c r="G27" t="s">
        <v>66</v>
      </c>
      <c r="H27">
        <v>3</v>
      </c>
    </row>
    <row r="28" spans="1:8" x14ac:dyDescent="0.3">
      <c r="A28" t="s">
        <v>70</v>
      </c>
      <c r="B28">
        <v>2016</v>
      </c>
      <c r="C28" t="s">
        <v>307</v>
      </c>
      <c r="D28" t="s">
        <v>308</v>
      </c>
      <c r="E28" t="s">
        <v>65</v>
      </c>
      <c r="F28">
        <v>6850</v>
      </c>
      <c r="G28" t="s">
        <v>66</v>
      </c>
      <c r="H28">
        <v>1</v>
      </c>
    </row>
    <row r="29" spans="1:8" x14ac:dyDescent="0.3">
      <c r="A29" t="s">
        <v>70</v>
      </c>
      <c r="B29">
        <v>2017</v>
      </c>
      <c r="C29" t="s">
        <v>307</v>
      </c>
      <c r="D29" t="s">
        <v>308</v>
      </c>
      <c r="E29" t="s">
        <v>65</v>
      </c>
      <c r="F29">
        <v>6850</v>
      </c>
      <c r="G29" t="s">
        <v>66</v>
      </c>
      <c r="H29">
        <v>1</v>
      </c>
    </row>
    <row r="30" spans="1:8" x14ac:dyDescent="0.3">
      <c r="A30" t="s">
        <v>70</v>
      </c>
      <c r="B30">
        <v>2018</v>
      </c>
      <c r="C30" t="s">
        <v>307</v>
      </c>
      <c r="D30" t="s">
        <v>308</v>
      </c>
      <c r="E30" t="s">
        <v>65</v>
      </c>
      <c r="F30">
        <v>6850</v>
      </c>
      <c r="G30" t="s">
        <v>66</v>
      </c>
      <c r="H30">
        <v>1</v>
      </c>
    </row>
    <row r="31" spans="1:8" x14ac:dyDescent="0.3">
      <c r="A31" t="s">
        <v>70</v>
      </c>
      <c r="B31">
        <v>2019</v>
      </c>
      <c r="C31" t="s">
        <v>307</v>
      </c>
      <c r="D31" t="s">
        <v>308</v>
      </c>
      <c r="E31" t="s">
        <v>65</v>
      </c>
      <c r="F31">
        <v>6850</v>
      </c>
      <c r="G31" t="s">
        <v>66</v>
      </c>
      <c r="H31">
        <v>1</v>
      </c>
    </row>
    <row r="32" spans="1:8" x14ac:dyDescent="0.3">
      <c r="A32" t="s">
        <v>70</v>
      </c>
      <c r="B32">
        <v>2020</v>
      </c>
      <c r="C32" t="s">
        <v>307</v>
      </c>
      <c r="D32" t="s">
        <v>308</v>
      </c>
      <c r="E32" t="s">
        <v>65</v>
      </c>
      <c r="F32">
        <v>6850</v>
      </c>
      <c r="G32" t="s">
        <v>66</v>
      </c>
      <c r="H32">
        <v>2</v>
      </c>
    </row>
    <row r="33" spans="1:8" x14ac:dyDescent="0.3">
      <c r="A33" t="s">
        <v>70</v>
      </c>
      <c r="B33">
        <v>2021</v>
      </c>
      <c r="C33" t="s">
        <v>307</v>
      </c>
      <c r="D33" t="s">
        <v>308</v>
      </c>
      <c r="E33" t="s">
        <v>65</v>
      </c>
      <c r="F33">
        <v>6850</v>
      </c>
      <c r="G33" t="s">
        <v>66</v>
      </c>
      <c r="H33">
        <v>1</v>
      </c>
    </row>
    <row r="34" spans="1:8" x14ac:dyDescent="0.3">
      <c r="A34" t="s">
        <v>156</v>
      </c>
      <c r="B34">
        <v>2014</v>
      </c>
      <c r="C34" t="s">
        <v>307</v>
      </c>
      <c r="D34" t="s">
        <v>308</v>
      </c>
      <c r="E34" t="s">
        <v>65</v>
      </c>
      <c r="F34">
        <v>35650</v>
      </c>
      <c r="G34" t="s">
        <v>72</v>
      </c>
      <c r="H34">
        <v>2</v>
      </c>
    </row>
    <row r="35" spans="1:8" x14ac:dyDescent="0.3">
      <c r="A35" t="s">
        <v>156</v>
      </c>
      <c r="B35">
        <v>2015</v>
      </c>
      <c r="C35" t="s">
        <v>307</v>
      </c>
      <c r="D35" t="s">
        <v>308</v>
      </c>
      <c r="E35" t="s">
        <v>65</v>
      </c>
      <c r="F35">
        <v>35650</v>
      </c>
      <c r="G35" t="s">
        <v>72</v>
      </c>
      <c r="H35">
        <v>12</v>
      </c>
    </row>
    <row r="36" spans="1:8" x14ac:dyDescent="0.3">
      <c r="A36" t="s">
        <v>156</v>
      </c>
      <c r="B36">
        <v>2016</v>
      </c>
      <c r="C36" t="s">
        <v>307</v>
      </c>
      <c r="D36" t="s">
        <v>308</v>
      </c>
      <c r="E36" t="s">
        <v>65</v>
      </c>
      <c r="F36">
        <v>35650</v>
      </c>
      <c r="G36" t="s">
        <v>72</v>
      </c>
      <c r="H36">
        <v>38</v>
      </c>
    </row>
    <row r="37" spans="1:8" x14ac:dyDescent="0.3">
      <c r="A37" t="s">
        <v>156</v>
      </c>
      <c r="B37">
        <v>2017</v>
      </c>
      <c r="C37" t="s">
        <v>307</v>
      </c>
      <c r="D37" t="s">
        <v>308</v>
      </c>
      <c r="E37" t="s">
        <v>65</v>
      </c>
      <c r="F37">
        <v>35650</v>
      </c>
      <c r="G37" t="s">
        <v>72</v>
      </c>
      <c r="H37">
        <v>35</v>
      </c>
    </row>
    <row r="38" spans="1:8" x14ac:dyDescent="0.3">
      <c r="A38" t="s">
        <v>156</v>
      </c>
      <c r="B38">
        <v>2018</v>
      </c>
      <c r="C38" t="s">
        <v>307</v>
      </c>
      <c r="D38" t="s">
        <v>308</v>
      </c>
      <c r="E38" t="s">
        <v>65</v>
      </c>
      <c r="F38">
        <v>35650</v>
      </c>
      <c r="G38" t="s">
        <v>72</v>
      </c>
      <c r="H38">
        <v>37</v>
      </c>
    </row>
    <row r="39" spans="1:8" x14ac:dyDescent="0.3">
      <c r="A39" t="s">
        <v>156</v>
      </c>
      <c r="B39">
        <v>2019</v>
      </c>
      <c r="C39" t="s">
        <v>307</v>
      </c>
      <c r="D39" t="s">
        <v>308</v>
      </c>
      <c r="E39" t="s">
        <v>65</v>
      </c>
      <c r="F39">
        <v>35650</v>
      </c>
      <c r="G39" t="s">
        <v>72</v>
      </c>
      <c r="H39">
        <v>27</v>
      </c>
    </row>
    <row r="40" spans="1:8" x14ac:dyDescent="0.3">
      <c r="A40" t="s">
        <v>156</v>
      </c>
      <c r="B40">
        <v>2020</v>
      </c>
      <c r="C40" t="s">
        <v>307</v>
      </c>
      <c r="D40" t="s">
        <v>308</v>
      </c>
      <c r="E40" t="s">
        <v>65</v>
      </c>
      <c r="F40">
        <v>35650</v>
      </c>
      <c r="G40" t="s">
        <v>72</v>
      </c>
      <c r="H40">
        <v>21</v>
      </c>
    </row>
    <row r="41" spans="1:8" x14ac:dyDescent="0.3">
      <c r="A41" t="s">
        <v>156</v>
      </c>
      <c r="B41">
        <v>2021</v>
      </c>
      <c r="C41" t="s">
        <v>307</v>
      </c>
      <c r="D41" t="s">
        <v>308</v>
      </c>
      <c r="E41" t="s">
        <v>65</v>
      </c>
      <c r="F41">
        <v>35650</v>
      </c>
      <c r="G41" t="s">
        <v>72</v>
      </c>
      <c r="H41">
        <v>21</v>
      </c>
    </row>
    <row r="42" spans="1:8" x14ac:dyDescent="0.3">
      <c r="A42" t="s">
        <v>277</v>
      </c>
      <c r="B42">
        <v>2017</v>
      </c>
      <c r="C42" t="s">
        <v>307</v>
      </c>
      <c r="D42" t="s">
        <v>308</v>
      </c>
      <c r="E42" t="s">
        <v>65</v>
      </c>
      <c r="F42">
        <v>36825</v>
      </c>
      <c r="G42" t="s">
        <v>72</v>
      </c>
      <c r="H42">
        <v>1</v>
      </c>
    </row>
    <row r="43" spans="1:8" x14ac:dyDescent="0.3">
      <c r="A43" t="s">
        <v>159</v>
      </c>
      <c r="B43">
        <v>2017</v>
      </c>
      <c r="C43" t="s">
        <v>307</v>
      </c>
      <c r="D43" t="s">
        <v>308</v>
      </c>
      <c r="E43" t="s">
        <v>65</v>
      </c>
      <c r="F43">
        <v>17120</v>
      </c>
      <c r="G43" t="s">
        <v>72</v>
      </c>
      <c r="H43">
        <v>16</v>
      </c>
    </row>
    <row r="44" spans="1:8" x14ac:dyDescent="0.3">
      <c r="A44" t="s">
        <v>159</v>
      </c>
      <c r="B44">
        <v>2018</v>
      </c>
      <c r="C44" t="s">
        <v>307</v>
      </c>
      <c r="D44" t="s">
        <v>308</v>
      </c>
      <c r="E44" t="s">
        <v>65</v>
      </c>
      <c r="F44">
        <v>17120</v>
      </c>
      <c r="G44" t="s">
        <v>72</v>
      </c>
      <c r="H44">
        <v>23</v>
      </c>
    </row>
    <row r="45" spans="1:8" x14ac:dyDescent="0.3">
      <c r="A45" t="s">
        <v>160</v>
      </c>
      <c r="B45">
        <v>2014</v>
      </c>
      <c r="C45" t="s">
        <v>307</v>
      </c>
      <c r="D45" t="s">
        <v>308</v>
      </c>
      <c r="E45" t="s">
        <v>65</v>
      </c>
      <c r="F45">
        <v>16500</v>
      </c>
      <c r="G45" t="s">
        <v>72</v>
      </c>
      <c r="H45">
        <v>6</v>
      </c>
    </row>
    <row r="46" spans="1:8" x14ac:dyDescent="0.3">
      <c r="A46" t="s">
        <v>160</v>
      </c>
      <c r="B46">
        <v>2015</v>
      </c>
      <c r="C46" t="s">
        <v>307</v>
      </c>
      <c r="D46" t="s">
        <v>308</v>
      </c>
      <c r="E46" t="s">
        <v>65</v>
      </c>
      <c r="F46">
        <v>16500</v>
      </c>
      <c r="G46" t="s">
        <v>72</v>
      </c>
      <c r="H46">
        <v>19</v>
      </c>
    </row>
    <row r="47" spans="1:8" x14ac:dyDescent="0.3">
      <c r="A47" t="s">
        <v>160</v>
      </c>
      <c r="B47">
        <v>2016</v>
      </c>
      <c r="C47" t="s">
        <v>307</v>
      </c>
      <c r="D47" t="s">
        <v>308</v>
      </c>
      <c r="E47" t="s">
        <v>65</v>
      </c>
      <c r="F47">
        <v>16500</v>
      </c>
      <c r="G47" t="s">
        <v>72</v>
      </c>
      <c r="H47">
        <v>24</v>
      </c>
    </row>
    <row r="48" spans="1:8" x14ac:dyDescent="0.3">
      <c r="A48" t="s">
        <v>160</v>
      </c>
      <c r="B48">
        <v>2017</v>
      </c>
      <c r="C48" t="s">
        <v>307</v>
      </c>
      <c r="D48" t="s">
        <v>308</v>
      </c>
      <c r="E48" t="s">
        <v>65</v>
      </c>
      <c r="F48">
        <v>16500</v>
      </c>
      <c r="G48" t="s">
        <v>72</v>
      </c>
      <c r="H48">
        <v>24</v>
      </c>
    </row>
    <row r="49" spans="1:8" x14ac:dyDescent="0.3">
      <c r="A49" t="s">
        <v>160</v>
      </c>
      <c r="B49">
        <v>2018</v>
      </c>
      <c r="C49" t="s">
        <v>307</v>
      </c>
      <c r="D49" t="s">
        <v>308</v>
      </c>
      <c r="E49" t="s">
        <v>65</v>
      </c>
      <c r="F49">
        <v>16500</v>
      </c>
      <c r="G49" t="s">
        <v>72</v>
      </c>
      <c r="H49">
        <v>19</v>
      </c>
    </row>
    <row r="50" spans="1:8" x14ac:dyDescent="0.3">
      <c r="A50" t="s">
        <v>160</v>
      </c>
      <c r="B50">
        <v>2019</v>
      </c>
      <c r="C50" t="s">
        <v>307</v>
      </c>
      <c r="D50" t="s">
        <v>308</v>
      </c>
      <c r="E50" t="s">
        <v>65</v>
      </c>
      <c r="F50">
        <v>16500</v>
      </c>
      <c r="G50" t="s">
        <v>72</v>
      </c>
      <c r="H50">
        <v>15</v>
      </c>
    </row>
    <row r="51" spans="1:8" x14ac:dyDescent="0.3">
      <c r="A51" t="s">
        <v>160</v>
      </c>
      <c r="B51">
        <v>2020</v>
      </c>
      <c r="C51" t="s">
        <v>307</v>
      </c>
      <c r="D51" t="s">
        <v>308</v>
      </c>
      <c r="E51" t="s">
        <v>65</v>
      </c>
      <c r="F51">
        <v>16500</v>
      </c>
      <c r="G51" t="s">
        <v>72</v>
      </c>
      <c r="H51">
        <v>19</v>
      </c>
    </row>
    <row r="52" spans="1:8" x14ac:dyDescent="0.3">
      <c r="A52" t="s">
        <v>160</v>
      </c>
      <c r="B52">
        <v>2021</v>
      </c>
      <c r="C52" t="s">
        <v>307</v>
      </c>
      <c r="D52" t="s">
        <v>308</v>
      </c>
      <c r="E52" t="s">
        <v>65</v>
      </c>
      <c r="F52">
        <v>16500</v>
      </c>
      <c r="G52" t="s">
        <v>72</v>
      </c>
      <c r="H52">
        <v>26</v>
      </c>
    </row>
    <row r="53" spans="1:8" x14ac:dyDescent="0.3">
      <c r="A53" t="s">
        <v>168</v>
      </c>
      <c r="B53">
        <v>2015</v>
      </c>
      <c r="C53" t="s">
        <v>307</v>
      </c>
      <c r="D53" t="s">
        <v>308</v>
      </c>
      <c r="E53" t="s">
        <v>65</v>
      </c>
      <c r="F53">
        <v>174200</v>
      </c>
      <c r="G53" t="s">
        <v>72</v>
      </c>
      <c r="H53">
        <v>1</v>
      </c>
    </row>
    <row r="54" spans="1:8" x14ac:dyDescent="0.3">
      <c r="A54" t="s">
        <v>284</v>
      </c>
      <c r="B54">
        <v>2017</v>
      </c>
      <c r="C54" t="s">
        <v>307</v>
      </c>
      <c r="D54" t="s">
        <v>308</v>
      </c>
      <c r="E54" t="s">
        <v>65</v>
      </c>
      <c r="F54">
        <v>987000</v>
      </c>
      <c r="G54" t="s">
        <v>283</v>
      </c>
      <c r="H54">
        <v>1</v>
      </c>
    </row>
    <row r="55" spans="1:8" x14ac:dyDescent="0.3">
      <c r="A55" t="s">
        <v>170</v>
      </c>
      <c r="B55">
        <v>2020</v>
      </c>
      <c r="C55" t="s">
        <v>307</v>
      </c>
      <c r="D55" t="s">
        <v>308</v>
      </c>
      <c r="E55" t="s">
        <v>65</v>
      </c>
      <c r="F55">
        <v>255500</v>
      </c>
      <c r="G55" t="s">
        <v>83</v>
      </c>
      <c r="H55">
        <v>1</v>
      </c>
    </row>
    <row r="56" spans="1:8" x14ac:dyDescent="0.3">
      <c r="A56" t="s">
        <v>289</v>
      </c>
      <c r="B56">
        <v>2017</v>
      </c>
      <c r="C56" t="s">
        <v>307</v>
      </c>
      <c r="D56" t="s">
        <v>308</v>
      </c>
      <c r="E56" t="s">
        <v>65</v>
      </c>
      <c r="F56">
        <v>775000</v>
      </c>
      <c r="G56" t="s">
        <v>276</v>
      </c>
      <c r="H56">
        <v>1</v>
      </c>
    </row>
    <row r="57" spans="1:8" x14ac:dyDescent="0.3">
      <c r="A57" t="s">
        <v>289</v>
      </c>
      <c r="B57">
        <v>2020</v>
      </c>
      <c r="C57" t="s">
        <v>307</v>
      </c>
      <c r="D57" t="s">
        <v>308</v>
      </c>
      <c r="E57" t="s">
        <v>65</v>
      </c>
      <c r="F57">
        <v>775000</v>
      </c>
      <c r="G57" t="s">
        <v>276</v>
      </c>
      <c r="H57">
        <v>1</v>
      </c>
    </row>
    <row r="58" spans="1:8" x14ac:dyDescent="0.3">
      <c r="A58" t="s">
        <v>174</v>
      </c>
      <c r="B58">
        <v>2015</v>
      </c>
      <c r="C58" t="s">
        <v>307</v>
      </c>
      <c r="D58" t="s">
        <v>308</v>
      </c>
      <c r="E58" t="s">
        <v>65</v>
      </c>
      <c r="F58">
        <v>11800</v>
      </c>
      <c r="G58" t="s">
        <v>72</v>
      </c>
      <c r="H58">
        <v>8</v>
      </c>
    </row>
    <row r="59" spans="1:8" x14ac:dyDescent="0.3">
      <c r="A59" t="s">
        <v>174</v>
      </c>
      <c r="B59">
        <v>2016</v>
      </c>
      <c r="C59" t="s">
        <v>307</v>
      </c>
      <c r="D59" t="s">
        <v>308</v>
      </c>
      <c r="E59" t="s">
        <v>65</v>
      </c>
      <c r="F59">
        <v>11800</v>
      </c>
      <c r="G59" t="s">
        <v>72</v>
      </c>
      <c r="H59">
        <v>22</v>
      </c>
    </row>
    <row r="60" spans="1:8" x14ac:dyDescent="0.3">
      <c r="A60" t="s">
        <v>174</v>
      </c>
      <c r="B60">
        <v>2017</v>
      </c>
      <c r="C60" t="s">
        <v>307</v>
      </c>
      <c r="D60" t="s">
        <v>308</v>
      </c>
      <c r="E60" t="s">
        <v>65</v>
      </c>
      <c r="F60">
        <v>11800</v>
      </c>
      <c r="G60" t="s">
        <v>72</v>
      </c>
      <c r="H60">
        <v>16</v>
      </c>
    </row>
    <row r="61" spans="1:8" x14ac:dyDescent="0.3">
      <c r="A61" t="s">
        <v>174</v>
      </c>
      <c r="B61">
        <v>2018</v>
      </c>
      <c r="C61" t="s">
        <v>307</v>
      </c>
      <c r="D61" t="s">
        <v>308</v>
      </c>
      <c r="E61" t="s">
        <v>65</v>
      </c>
      <c r="F61">
        <v>11800</v>
      </c>
      <c r="G61" t="s">
        <v>72</v>
      </c>
      <c r="H61">
        <v>10</v>
      </c>
    </row>
    <row r="62" spans="1:8" x14ac:dyDescent="0.3">
      <c r="A62" t="s">
        <v>174</v>
      </c>
      <c r="B62">
        <v>2019</v>
      </c>
      <c r="C62" t="s">
        <v>307</v>
      </c>
      <c r="D62" t="s">
        <v>308</v>
      </c>
      <c r="E62" t="s">
        <v>65</v>
      </c>
      <c r="F62">
        <v>11800</v>
      </c>
      <c r="G62" t="s">
        <v>72</v>
      </c>
      <c r="H62">
        <v>1</v>
      </c>
    </row>
    <row r="63" spans="1:8" x14ac:dyDescent="0.3">
      <c r="A63" t="s">
        <v>174</v>
      </c>
      <c r="B63">
        <v>2021</v>
      </c>
      <c r="C63" t="s">
        <v>307</v>
      </c>
      <c r="D63" t="s">
        <v>308</v>
      </c>
      <c r="E63" t="s">
        <v>65</v>
      </c>
      <c r="F63">
        <v>11800</v>
      </c>
      <c r="G63" t="s">
        <v>72</v>
      </c>
      <c r="H63">
        <v>1</v>
      </c>
    </row>
    <row r="64" spans="1:8" x14ac:dyDescent="0.3">
      <c r="A64" t="s">
        <v>71</v>
      </c>
      <c r="B64">
        <v>2014</v>
      </c>
      <c r="C64" t="s">
        <v>307</v>
      </c>
      <c r="D64" t="s">
        <v>308</v>
      </c>
      <c r="E64" t="s">
        <v>65</v>
      </c>
      <c r="F64">
        <v>12500</v>
      </c>
      <c r="G64" t="s">
        <v>72</v>
      </c>
      <c r="H64">
        <v>14</v>
      </c>
    </row>
    <row r="65" spans="1:8" x14ac:dyDescent="0.3">
      <c r="A65" t="s">
        <v>71</v>
      </c>
      <c r="B65">
        <v>2015</v>
      </c>
      <c r="C65" t="s">
        <v>307</v>
      </c>
      <c r="D65" t="s">
        <v>308</v>
      </c>
      <c r="E65" t="s">
        <v>65</v>
      </c>
      <c r="F65">
        <v>12500</v>
      </c>
      <c r="G65" t="s">
        <v>72</v>
      </c>
      <c r="H65">
        <v>26</v>
      </c>
    </row>
    <row r="66" spans="1:8" x14ac:dyDescent="0.3">
      <c r="A66" t="s">
        <v>71</v>
      </c>
      <c r="B66">
        <v>2016</v>
      </c>
      <c r="C66" t="s">
        <v>307</v>
      </c>
      <c r="D66" t="s">
        <v>308</v>
      </c>
      <c r="E66" t="s">
        <v>65</v>
      </c>
      <c r="F66">
        <v>12500</v>
      </c>
      <c r="G66" t="s">
        <v>72</v>
      </c>
      <c r="H66">
        <v>24</v>
      </c>
    </row>
    <row r="67" spans="1:8" x14ac:dyDescent="0.3">
      <c r="A67" t="s">
        <v>71</v>
      </c>
      <c r="B67">
        <v>2017</v>
      </c>
      <c r="C67" t="s">
        <v>307</v>
      </c>
      <c r="D67" t="s">
        <v>308</v>
      </c>
      <c r="E67" t="s">
        <v>65</v>
      </c>
      <c r="F67">
        <v>12500</v>
      </c>
      <c r="G67" t="s">
        <v>72</v>
      </c>
      <c r="H67">
        <v>19</v>
      </c>
    </row>
    <row r="68" spans="1:8" x14ac:dyDescent="0.3">
      <c r="A68" t="s">
        <v>71</v>
      </c>
      <c r="B68">
        <v>2018</v>
      </c>
      <c r="C68" t="s">
        <v>307</v>
      </c>
      <c r="D68" t="s">
        <v>308</v>
      </c>
      <c r="E68" t="s">
        <v>65</v>
      </c>
      <c r="F68">
        <v>12500</v>
      </c>
      <c r="G68" t="s">
        <v>72</v>
      </c>
      <c r="H68">
        <v>28</v>
      </c>
    </row>
    <row r="69" spans="1:8" x14ac:dyDescent="0.3">
      <c r="A69" t="s">
        <v>71</v>
      </c>
      <c r="B69">
        <v>2019</v>
      </c>
      <c r="C69" t="s">
        <v>307</v>
      </c>
      <c r="D69" t="s">
        <v>308</v>
      </c>
      <c r="E69" t="s">
        <v>65</v>
      </c>
      <c r="F69">
        <v>12500</v>
      </c>
      <c r="G69" t="s">
        <v>72</v>
      </c>
      <c r="H69">
        <v>41</v>
      </c>
    </row>
    <row r="70" spans="1:8" x14ac:dyDescent="0.3">
      <c r="A70" t="s">
        <v>71</v>
      </c>
      <c r="B70">
        <v>2020</v>
      </c>
      <c r="C70" t="s">
        <v>307</v>
      </c>
      <c r="D70" t="s">
        <v>308</v>
      </c>
      <c r="E70" t="s">
        <v>65</v>
      </c>
      <c r="F70">
        <v>12500</v>
      </c>
      <c r="G70" t="s">
        <v>72</v>
      </c>
      <c r="H70">
        <v>36</v>
      </c>
    </row>
    <row r="71" spans="1:8" x14ac:dyDescent="0.3">
      <c r="A71" t="s">
        <v>71</v>
      </c>
      <c r="B71">
        <v>2021</v>
      </c>
      <c r="C71" t="s">
        <v>307</v>
      </c>
      <c r="D71" t="s">
        <v>308</v>
      </c>
      <c r="E71" t="s">
        <v>65</v>
      </c>
      <c r="F71">
        <v>12500</v>
      </c>
      <c r="G71" t="s">
        <v>72</v>
      </c>
      <c r="H71">
        <v>25</v>
      </c>
    </row>
    <row r="72" spans="1:8" x14ac:dyDescent="0.3">
      <c r="A72" t="s">
        <v>176</v>
      </c>
      <c r="B72">
        <v>2014</v>
      </c>
      <c r="C72" t="s">
        <v>307</v>
      </c>
      <c r="D72" t="s">
        <v>308</v>
      </c>
      <c r="E72" t="s">
        <v>65</v>
      </c>
      <c r="F72">
        <v>2250</v>
      </c>
      <c r="G72" t="s">
        <v>66</v>
      </c>
      <c r="H72">
        <v>1</v>
      </c>
    </row>
    <row r="73" spans="1:8" x14ac:dyDescent="0.3">
      <c r="A73" t="s">
        <v>176</v>
      </c>
      <c r="B73">
        <v>2015</v>
      </c>
      <c r="C73" t="s">
        <v>307</v>
      </c>
      <c r="D73" t="s">
        <v>308</v>
      </c>
      <c r="E73" t="s">
        <v>65</v>
      </c>
      <c r="F73">
        <v>2250</v>
      </c>
      <c r="G73" t="s">
        <v>66</v>
      </c>
      <c r="H73">
        <v>5</v>
      </c>
    </row>
    <row r="74" spans="1:8" x14ac:dyDescent="0.3">
      <c r="A74" t="s">
        <v>176</v>
      </c>
      <c r="B74">
        <v>2016</v>
      </c>
      <c r="C74" t="s">
        <v>307</v>
      </c>
      <c r="D74" t="s">
        <v>308</v>
      </c>
      <c r="E74" t="s">
        <v>65</v>
      </c>
      <c r="F74">
        <v>2250</v>
      </c>
      <c r="G74" t="s">
        <v>66</v>
      </c>
      <c r="H74">
        <v>6</v>
      </c>
    </row>
    <row r="75" spans="1:8" x14ac:dyDescent="0.3">
      <c r="A75" t="s">
        <v>176</v>
      </c>
      <c r="B75">
        <v>2017</v>
      </c>
      <c r="C75" t="s">
        <v>307</v>
      </c>
      <c r="D75" t="s">
        <v>308</v>
      </c>
      <c r="E75" t="s">
        <v>65</v>
      </c>
      <c r="F75">
        <v>2250</v>
      </c>
      <c r="G75" t="s">
        <v>66</v>
      </c>
      <c r="H75">
        <v>1</v>
      </c>
    </row>
    <row r="76" spans="1:8" x14ac:dyDescent="0.3">
      <c r="A76" t="s">
        <v>176</v>
      </c>
      <c r="B76">
        <v>2019</v>
      </c>
      <c r="C76" t="s">
        <v>307</v>
      </c>
      <c r="D76" t="s">
        <v>308</v>
      </c>
      <c r="E76" t="s">
        <v>65</v>
      </c>
      <c r="F76">
        <v>2250</v>
      </c>
      <c r="G76" t="s">
        <v>66</v>
      </c>
      <c r="H76">
        <v>4</v>
      </c>
    </row>
    <row r="77" spans="1:8" x14ac:dyDescent="0.3">
      <c r="A77" t="s">
        <v>176</v>
      </c>
      <c r="B77">
        <v>2020</v>
      </c>
      <c r="C77" t="s">
        <v>307</v>
      </c>
      <c r="D77" t="s">
        <v>308</v>
      </c>
      <c r="E77" t="s">
        <v>65</v>
      </c>
      <c r="F77">
        <v>2250</v>
      </c>
      <c r="G77" t="s">
        <v>66</v>
      </c>
      <c r="H77">
        <v>4</v>
      </c>
    </row>
    <row r="78" spans="1:8" x14ac:dyDescent="0.3">
      <c r="A78" t="s">
        <v>176</v>
      </c>
      <c r="B78">
        <v>2021</v>
      </c>
      <c r="C78" t="s">
        <v>307</v>
      </c>
      <c r="D78" t="s">
        <v>308</v>
      </c>
      <c r="E78" t="s">
        <v>65</v>
      </c>
      <c r="F78">
        <v>2250</v>
      </c>
      <c r="G78" t="s">
        <v>66</v>
      </c>
      <c r="H78">
        <v>1</v>
      </c>
    </row>
    <row r="79" spans="1:8" x14ac:dyDescent="0.3">
      <c r="A79" t="s">
        <v>177</v>
      </c>
      <c r="B79">
        <v>2014</v>
      </c>
      <c r="C79" t="s">
        <v>307</v>
      </c>
      <c r="D79" t="s">
        <v>308</v>
      </c>
      <c r="E79" t="s">
        <v>65</v>
      </c>
      <c r="F79">
        <v>2750</v>
      </c>
      <c r="G79" t="s">
        <v>66</v>
      </c>
      <c r="H79">
        <v>3</v>
      </c>
    </row>
    <row r="80" spans="1:8" x14ac:dyDescent="0.3">
      <c r="A80" t="s">
        <v>177</v>
      </c>
      <c r="B80">
        <v>2015</v>
      </c>
      <c r="C80" t="s">
        <v>307</v>
      </c>
      <c r="D80" t="s">
        <v>308</v>
      </c>
      <c r="E80" t="s">
        <v>65</v>
      </c>
      <c r="F80">
        <v>2750</v>
      </c>
      <c r="G80" t="s">
        <v>66</v>
      </c>
      <c r="H80">
        <v>7</v>
      </c>
    </row>
    <row r="81" spans="1:8" x14ac:dyDescent="0.3">
      <c r="A81" t="s">
        <v>177</v>
      </c>
      <c r="B81">
        <v>2016</v>
      </c>
      <c r="C81" t="s">
        <v>307</v>
      </c>
      <c r="D81" t="s">
        <v>308</v>
      </c>
      <c r="E81" t="s">
        <v>65</v>
      </c>
      <c r="F81">
        <v>2750</v>
      </c>
      <c r="G81" t="s">
        <v>66</v>
      </c>
      <c r="H81">
        <v>9</v>
      </c>
    </row>
    <row r="82" spans="1:8" x14ac:dyDescent="0.3">
      <c r="A82" t="s">
        <v>177</v>
      </c>
      <c r="B82">
        <v>2017</v>
      </c>
      <c r="C82" t="s">
        <v>307</v>
      </c>
      <c r="D82" t="s">
        <v>308</v>
      </c>
      <c r="E82" t="s">
        <v>65</v>
      </c>
      <c r="F82">
        <v>2750</v>
      </c>
      <c r="G82" t="s">
        <v>66</v>
      </c>
      <c r="H82">
        <v>11</v>
      </c>
    </row>
    <row r="83" spans="1:8" x14ac:dyDescent="0.3">
      <c r="A83" t="s">
        <v>177</v>
      </c>
      <c r="B83">
        <v>2018</v>
      </c>
      <c r="C83" t="s">
        <v>307</v>
      </c>
      <c r="D83" t="s">
        <v>308</v>
      </c>
      <c r="E83" t="s">
        <v>65</v>
      </c>
      <c r="F83">
        <v>2750</v>
      </c>
      <c r="G83" t="s">
        <v>66</v>
      </c>
      <c r="H83">
        <v>7</v>
      </c>
    </row>
    <row r="84" spans="1:8" x14ac:dyDescent="0.3">
      <c r="A84" t="s">
        <v>177</v>
      </c>
      <c r="B84">
        <v>2019</v>
      </c>
      <c r="C84" t="s">
        <v>307</v>
      </c>
      <c r="D84" t="s">
        <v>308</v>
      </c>
      <c r="E84" t="s">
        <v>65</v>
      </c>
      <c r="F84">
        <v>2750</v>
      </c>
      <c r="G84" t="s">
        <v>66</v>
      </c>
      <c r="H84">
        <v>7</v>
      </c>
    </row>
    <row r="85" spans="1:8" x14ac:dyDescent="0.3">
      <c r="A85" t="s">
        <v>177</v>
      </c>
      <c r="B85">
        <v>2020</v>
      </c>
      <c r="C85" t="s">
        <v>307</v>
      </c>
      <c r="D85" t="s">
        <v>308</v>
      </c>
      <c r="E85" t="s">
        <v>65</v>
      </c>
      <c r="F85">
        <v>2750</v>
      </c>
      <c r="G85" t="s">
        <v>66</v>
      </c>
      <c r="H85">
        <v>5</v>
      </c>
    </row>
    <row r="86" spans="1:8" x14ac:dyDescent="0.3">
      <c r="A86" t="s">
        <v>177</v>
      </c>
      <c r="B86">
        <v>2021</v>
      </c>
      <c r="C86" t="s">
        <v>307</v>
      </c>
      <c r="D86" t="s">
        <v>308</v>
      </c>
      <c r="E86" t="s">
        <v>65</v>
      </c>
      <c r="F86">
        <v>2750</v>
      </c>
      <c r="G86" t="s">
        <v>66</v>
      </c>
      <c r="H86">
        <v>2</v>
      </c>
    </row>
    <row r="87" spans="1:8" x14ac:dyDescent="0.3">
      <c r="A87" t="s">
        <v>178</v>
      </c>
      <c r="B87">
        <v>2014</v>
      </c>
      <c r="C87" t="s">
        <v>307</v>
      </c>
      <c r="D87" t="s">
        <v>308</v>
      </c>
      <c r="E87" t="s">
        <v>65</v>
      </c>
      <c r="F87">
        <v>14000</v>
      </c>
      <c r="G87" t="s">
        <v>72</v>
      </c>
      <c r="H87">
        <v>3</v>
      </c>
    </row>
    <row r="88" spans="1:8" x14ac:dyDescent="0.3">
      <c r="A88" t="s">
        <v>178</v>
      </c>
      <c r="B88">
        <v>2015</v>
      </c>
      <c r="C88" t="s">
        <v>307</v>
      </c>
      <c r="D88" t="s">
        <v>308</v>
      </c>
      <c r="E88" t="s">
        <v>65</v>
      </c>
      <c r="F88">
        <v>14000</v>
      </c>
      <c r="G88" t="s">
        <v>72</v>
      </c>
      <c r="H88">
        <v>4</v>
      </c>
    </row>
    <row r="89" spans="1:8" x14ac:dyDescent="0.3">
      <c r="A89" t="s">
        <v>178</v>
      </c>
      <c r="B89">
        <v>2016</v>
      </c>
      <c r="C89" t="s">
        <v>307</v>
      </c>
      <c r="D89" t="s">
        <v>308</v>
      </c>
      <c r="E89" t="s">
        <v>65</v>
      </c>
      <c r="F89">
        <v>14000</v>
      </c>
      <c r="G89" t="s">
        <v>72</v>
      </c>
      <c r="H89">
        <v>8</v>
      </c>
    </row>
    <row r="90" spans="1:8" x14ac:dyDescent="0.3">
      <c r="A90" t="s">
        <v>178</v>
      </c>
      <c r="B90">
        <v>2017</v>
      </c>
      <c r="C90" t="s">
        <v>307</v>
      </c>
      <c r="D90" t="s">
        <v>308</v>
      </c>
      <c r="E90" t="s">
        <v>65</v>
      </c>
      <c r="F90">
        <v>14000</v>
      </c>
      <c r="G90" t="s">
        <v>72</v>
      </c>
      <c r="H90">
        <v>10</v>
      </c>
    </row>
    <row r="91" spans="1:8" x14ac:dyDescent="0.3">
      <c r="A91" t="s">
        <v>178</v>
      </c>
      <c r="B91">
        <v>2018</v>
      </c>
      <c r="C91" t="s">
        <v>307</v>
      </c>
      <c r="D91" t="s">
        <v>308</v>
      </c>
      <c r="E91" t="s">
        <v>65</v>
      </c>
      <c r="F91">
        <v>14000</v>
      </c>
      <c r="G91" t="s">
        <v>72</v>
      </c>
      <c r="H91">
        <v>3</v>
      </c>
    </row>
    <row r="92" spans="1:8" x14ac:dyDescent="0.3">
      <c r="A92" t="s">
        <v>178</v>
      </c>
      <c r="B92">
        <v>2019</v>
      </c>
      <c r="C92" t="s">
        <v>307</v>
      </c>
      <c r="D92" t="s">
        <v>308</v>
      </c>
      <c r="E92" t="s">
        <v>65</v>
      </c>
      <c r="F92">
        <v>14000</v>
      </c>
      <c r="G92" t="s">
        <v>72</v>
      </c>
      <c r="H92">
        <v>3</v>
      </c>
    </row>
    <row r="93" spans="1:8" x14ac:dyDescent="0.3">
      <c r="A93" t="s">
        <v>178</v>
      </c>
      <c r="B93">
        <v>2020</v>
      </c>
      <c r="C93" t="s">
        <v>307</v>
      </c>
      <c r="D93" t="s">
        <v>308</v>
      </c>
      <c r="E93" t="s">
        <v>65</v>
      </c>
      <c r="F93">
        <v>14000</v>
      </c>
      <c r="G93" t="s">
        <v>72</v>
      </c>
      <c r="H93">
        <v>9</v>
      </c>
    </row>
    <row r="94" spans="1:8" x14ac:dyDescent="0.3">
      <c r="A94" t="s">
        <v>178</v>
      </c>
      <c r="B94">
        <v>2021</v>
      </c>
      <c r="C94" t="s">
        <v>307</v>
      </c>
      <c r="D94" t="s">
        <v>308</v>
      </c>
      <c r="E94" t="s">
        <v>65</v>
      </c>
      <c r="F94">
        <v>14000</v>
      </c>
      <c r="G94" t="s">
        <v>72</v>
      </c>
      <c r="H94">
        <v>20</v>
      </c>
    </row>
    <row r="95" spans="1:8" x14ac:dyDescent="0.3">
      <c r="A95" t="s">
        <v>73</v>
      </c>
      <c r="B95">
        <v>2014</v>
      </c>
      <c r="C95" t="s">
        <v>307</v>
      </c>
      <c r="D95" t="s">
        <v>308</v>
      </c>
      <c r="E95" t="s">
        <v>65</v>
      </c>
      <c r="F95">
        <v>3500</v>
      </c>
      <c r="G95" t="s">
        <v>66</v>
      </c>
      <c r="H95">
        <v>2</v>
      </c>
    </row>
    <row r="96" spans="1:8" x14ac:dyDescent="0.3">
      <c r="A96" t="s">
        <v>73</v>
      </c>
      <c r="B96">
        <v>2015</v>
      </c>
      <c r="C96" t="s">
        <v>307</v>
      </c>
      <c r="D96" t="s">
        <v>308</v>
      </c>
      <c r="E96" t="s">
        <v>65</v>
      </c>
      <c r="F96">
        <v>3500</v>
      </c>
      <c r="G96" t="s">
        <v>66</v>
      </c>
      <c r="H96">
        <v>3</v>
      </c>
    </row>
    <row r="97" spans="1:8" x14ac:dyDescent="0.3">
      <c r="A97" t="s">
        <v>73</v>
      </c>
      <c r="B97">
        <v>2016</v>
      </c>
      <c r="C97" t="s">
        <v>307</v>
      </c>
      <c r="D97" t="s">
        <v>308</v>
      </c>
      <c r="E97" t="s">
        <v>65</v>
      </c>
      <c r="F97">
        <v>3500</v>
      </c>
      <c r="G97" t="s">
        <v>66</v>
      </c>
      <c r="H97">
        <v>7</v>
      </c>
    </row>
    <row r="98" spans="1:8" x14ac:dyDescent="0.3">
      <c r="A98" t="s">
        <v>73</v>
      </c>
      <c r="B98">
        <v>2017</v>
      </c>
      <c r="C98" t="s">
        <v>307</v>
      </c>
      <c r="D98" t="s">
        <v>308</v>
      </c>
      <c r="E98" t="s">
        <v>65</v>
      </c>
      <c r="F98">
        <v>3500</v>
      </c>
      <c r="G98" t="s">
        <v>66</v>
      </c>
      <c r="H98">
        <v>5</v>
      </c>
    </row>
    <row r="99" spans="1:8" x14ac:dyDescent="0.3">
      <c r="A99" t="s">
        <v>73</v>
      </c>
      <c r="B99">
        <v>2018</v>
      </c>
      <c r="C99" t="s">
        <v>307</v>
      </c>
      <c r="D99" t="s">
        <v>308</v>
      </c>
      <c r="E99" t="s">
        <v>65</v>
      </c>
      <c r="F99">
        <v>3500</v>
      </c>
      <c r="G99" t="s">
        <v>66</v>
      </c>
      <c r="H99">
        <v>10</v>
      </c>
    </row>
    <row r="100" spans="1:8" x14ac:dyDescent="0.3">
      <c r="A100" t="s">
        <v>73</v>
      </c>
      <c r="B100">
        <v>2019</v>
      </c>
      <c r="C100" t="s">
        <v>307</v>
      </c>
      <c r="D100" t="s">
        <v>308</v>
      </c>
      <c r="E100" t="s">
        <v>65</v>
      </c>
      <c r="F100">
        <v>3500</v>
      </c>
      <c r="G100" t="s">
        <v>66</v>
      </c>
      <c r="H100">
        <v>4</v>
      </c>
    </row>
    <row r="101" spans="1:8" x14ac:dyDescent="0.3">
      <c r="A101" t="s">
        <v>73</v>
      </c>
      <c r="B101">
        <v>2020</v>
      </c>
      <c r="C101" t="s">
        <v>307</v>
      </c>
      <c r="D101" t="s">
        <v>308</v>
      </c>
      <c r="E101" t="s">
        <v>65</v>
      </c>
      <c r="F101">
        <v>3500</v>
      </c>
      <c r="G101" t="s">
        <v>66</v>
      </c>
      <c r="H101">
        <v>2</v>
      </c>
    </row>
    <row r="102" spans="1:8" x14ac:dyDescent="0.3">
      <c r="A102" t="s">
        <v>73</v>
      </c>
      <c r="B102">
        <v>2021</v>
      </c>
      <c r="C102" t="s">
        <v>307</v>
      </c>
      <c r="D102" t="s">
        <v>308</v>
      </c>
      <c r="E102" t="s">
        <v>65</v>
      </c>
      <c r="F102">
        <v>3500</v>
      </c>
      <c r="G102" t="s">
        <v>66</v>
      </c>
      <c r="H102">
        <v>7</v>
      </c>
    </row>
    <row r="103" spans="1:8" x14ac:dyDescent="0.3">
      <c r="A103" t="s">
        <v>74</v>
      </c>
      <c r="B103">
        <v>2014</v>
      </c>
      <c r="C103" t="s">
        <v>307</v>
      </c>
      <c r="D103" t="s">
        <v>308</v>
      </c>
      <c r="E103" t="s">
        <v>65</v>
      </c>
      <c r="F103">
        <v>3400</v>
      </c>
      <c r="G103" t="s">
        <v>66</v>
      </c>
      <c r="H103">
        <v>11</v>
      </c>
    </row>
    <row r="104" spans="1:8" x14ac:dyDescent="0.3">
      <c r="A104" t="s">
        <v>74</v>
      </c>
      <c r="B104">
        <v>2015</v>
      </c>
      <c r="C104" t="s">
        <v>307</v>
      </c>
      <c r="D104" t="s">
        <v>308</v>
      </c>
      <c r="E104" t="s">
        <v>65</v>
      </c>
      <c r="F104">
        <v>3400</v>
      </c>
      <c r="G104" t="s">
        <v>66</v>
      </c>
      <c r="H104">
        <v>30</v>
      </c>
    </row>
    <row r="105" spans="1:8" x14ac:dyDescent="0.3">
      <c r="A105" t="s">
        <v>74</v>
      </c>
      <c r="B105">
        <v>2016</v>
      </c>
      <c r="C105" t="s">
        <v>307</v>
      </c>
      <c r="D105" t="s">
        <v>308</v>
      </c>
      <c r="E105" t="s">
        <v>65</v>
      </c>
      <c r="F105">
        <v>3400</v>
      </c>
      <c r="G105" t="s">
        <v>66</v>
      </c>
      <c r="H105">
        <v>21</v>
      </c>
    </row>
    <row r="106" spans="1:8" x14ac:dyDescent="0.3">
      <c r="A106" t="s">
        <v>74</v>
      </c>
      <c r="B106">
        <v>2017</v>
      </c>
      <c r="C106" t="s">
        <v>307</v>
      </c>
      <c r="D106" t="s">
        <v>308</v>
      </c>
      <c r="E106" t="s">
        <v>65</v>
      </c>
      <c r="F106">
        <v>3400</v>
      </c>
      <c r="G106" t="s">
        <v>66</v>
      </c>
      <c r="H106">
        <v>25</v>
      </c>
    </row>
    <row r="107" spans="1:8" x14ac:dyDescent="0.3">
      <c r="A107" t="s">
        <v>74</v>
      </c>
      <c r="B107">
        <v>2018</v>
      </c>
      <c r="C107" t="s">
        <v>307</v>
      </c>
      <c r="D107" t="s">
        <v>308</v>
      </c>
      <c r="E107" t="s">
        <v>65</v>
      </c>
      <c r="F107">
        <v>3400</v>
      </c>
      <c r="G107" t="s">
        <v>66</v>
      </c>
      <c r="H107">
        <v>28</v>
      </c>
    </row>
    <row r="108" spans="1:8" x14ac:dyDescent="0.3">
      <c r="A108" t="s">
        <v>74</v>
      </c>
      <c r="B108">
        <v>2019</v>
      </c>
      <c r="C108" t="s">
        <v>307</v>
      </c>
      <c r="D108" t="s">
        <v>308</v>
      </c>
      <c r="E108" t="s">
        <v>65</v>
      </c>
      <c r="F108">
        <v>3400</v>
      </c>
      <c r="G108" t="s">
        <v>66</v>
      </c>
      <c r="H108">
        <v>29</v>
      </c>
    </row>
    <row r="109" spans="1:8" x14ac:dyDescent="0.3">
      <c r="A109" t="s">
        <v>74</v>
      </c>
      <c r="B109">
        <v>2020</v>
      </c>
      <c r="C109" t="s">
        <v>307</v>
      </c>
      <c r="D109" t="s">
        <v>308</v>
      </c>
      <c r="E109" t="s">
        <v>65</v>
      </c>
      <c r="F109">
        <v>3400</v>
      </c>
      <c r="G109" t="s">
        <v>66</v>
      </c>
      <c r="H109">
        <v>31</v>
      </c>
    </row>
    <row r="110" spans="1:8" x14ac:dyDescent="0.3">
      <c r="A110" t="s">
        <v>74</v>
      </c>
      <c r="B110">
        <v>2021</v>
      </c>
      <c r="C110" t="s">
        <v>307</v>
      </c>
      <c r="D110" t="s">
        <v>308</v>
      </c>
      <c r="E110" t="s">
        <v>65</v>
      </c>
      <c r="F110">
        <v>3400</v>
      </c>
      <c r="G110" t="s">
        <v>66</v>
      </c>
      <c r="H110">
        <v>20</v>
      </c>
    </row>
    <row r="111" spans="1:8" x14ac:dyDescent="0.3">
      <c r="A111" t="s">
        <v>75</v>
      </c>
      <c r="B111">
        <v>2014</v>
      </c>
      <c r="C111" t="s">
        <v>307</v>
      </c>
      <c r="D111" t="s">
        <v>308</v>
      </c>
      <c r="E111" t="s">
        <v>65</v>
      </c>
      <c r="F111">
        <v>3650</v>
      </c>
      <c r="G111" t="s">
        <v>66</v>
      </c>
      <c r="H111">
        <v>24</v>
      </c>
    </row>
    <row r="112" spans="1:8" x14ac:dyDescent="0.3">
      <c r="A112" t="s">
        <v>75</v>
      </c>
      <c r="B112">
        <v>2015</v>
      </c>
      <c r="C112" t="s">
        <v>307</v>
      </c>
      <c r="D112" t="s">
        <v>308</v>
      </c>
      <c r="E112" t="s">
        <v>65</v>
      </c>
      <c r="F112">
        <v>3650</v>
      </c>
      <c r="G112" t="s">
        <v>66</v>
      </c>
      <c r="H112">
        <v>46</v>
      </c>
    </row>
    <row r="113" spans="1:8" x14ac:dyDescent="0.3">
      <c r="A113" t="s">
        <v>75</v>
      </c>
      <c r="B113">
        <v>2016</v>
      </c>
      <c r="C113" t="s">
        <v>307</v>
      </c>
      <c r="D113" t="s">
        <v>308</v>
      </c>
      <c r="E113" t="s">
        <v>65</v>
      </c>
      <c r="F113">
        <v>3650</v>
      </c>
      <c r="G113" t="s">
        <v>66</v>
      </c>
      <c r="H113">
        <v>46</v>
      </c>
    </row>
    <row r="114" spans="1:8" x14ac:dyDescent="0.3">
      <c r="A114" t="s">
        <v>75</v>
      </c>
      <c r="B114">
        <v>2017</v>
      </c>
      <c r="C114" t="s">
        <v>307</v>
      </c>
      <c r="D114" t="s">
        <v>308</v>
      </c>
      <c r="E114" t="s">
        <v>65</v>
      </c>
      <c r="F114">
        <v>3650</v>
      </c>
      <c r="G114" t="s">
        <v>66</v>
      </c>
      <c r="H114">
        <v>60</v>
      </c>
    </row>
    <row r="115" spans="1:8" x14ac:dyDescent="0.3">
      <c r="A115" t="s">
        <v>75</v>
      </c>
      <c r="B115">
        <v>2018</v>
      </c>
      <c r="C115" t="s">
        <v>307</v>
      </c>
      <c r="D115" t="s">
        <v>308</v>
      </c>
      <c r="E115" t="s">
        <v>65</v>
      </c>
      <c r="F115">
        <v>3650</v>
      </c>
      <c r="G115" t="s">
        <v>66</v>
      </c>
      <c r="H115">
        <v>51</v>
      </c>
    </row>
    <row r="116" spans="1:8" x14ac:dyDescent="0.3">
      <c r="A116" t="s">
        <v>75</v>
      </c>
      <c r="B116">
        <v>2019</v>
      </c>
      <c r="C116" t="s">
        <v>307</v>
      </c>
      <c r="D116" t="s">
        <v>308</v>
      </c>
      <c r="E116" t="s">
        <v>65</v>
      </c>
      <c r="F116">
        <v>3650</v>
      </c>
      <c r="G116" t="s">
        <v>66</v>
      </c>
      <c r="H116">
        <v>64</v>
      </c>
    </row>
    <row r="117" spans="1:8" x14ac:dyDescent="0.3">
      <c r="A117" t="s">
        <v>75</v>
      </c>
      <c r="B117">
        <v>2020</v>
      </c>
      <c r="C117" t="s">
        <v>307</v>
      </c>
      <c r="D117" t="s">
        <v>308</v>
      </c>
      <c r="E117" t="s">
        <v>65</v>
      </c>
      <c r="F117">
        <v>3650</v>
      </c>
      <c r="G117" t="s">
        <v>66</v>
      </c>
      <c r="H117">
        <v>58</v>
      </c>
    </row>
    <row r="118" spans="1:8" x14ac:dyDescent="0.3">
      <c r="A118" t="s">
        <v>75</v>
      </c>
      <c r="B118">
        <v>2021</v>
      </c>
      <c r="C118" t="s">
        <v>307</v>
      </c>
      <c r="D118" t="s">
        <v>308</v>
      </c>
      <c r="E118" t="s">
        <v>65</v>
      </c>
      <c r="F118">
        <v>3650</v>
      </c>
      <c r="G118" t="s">
        <v>66</v>
      </c>
      <c r="H118">
        <v>46</v>
      </c>
    </row>
    <row r="119" spans="1:8" x14ac:dyDescent="0.3">
      <c r="A119" t="s">
        <v>179</v>
      </c>
      <c r="B119">
        <v>2014</v>
      </c>
      <c r="C119" t="s">
        <v>307</v>
      </c>
      <c r="D119" t="s">
        <v>308</v>
      </c>
      <c r="E119" t="s">
        <v>65</v>
      </c>
      <c r="F119">
        <v>16100</v>
      </c>
      <c r="G119" t="s">
        <v>66</v>
      </c>
      <c r="H119">
        <v>29</v>
      </c>
    </row>
    <row r="120" spans="1:8" x14ac:dyDescent="0.3">
      <c r="A120" t="s">
        <v>179</v>
      </c>
      <c r="B120">
        <v>2015</v>
      </c>
      <c r="C120" t="s">
        <v>307</v>
      </c>
      <c r="D120" t="s">
        <v>308</v>
      </c>
      <c r="E120" t="s">
        <v>65</v>
      </c>
      <c r="F120">
        <v>16100</v>
      </c>
      <c r="G120" t="s">
        <v>66</v>
      </c>
      <c r="H120">
        <v>67</v>
      </c>
    </row>
    <row r="121" spans="1:8" x14ac:dyDescent="0.3">
      <c r="A121" t="s">
        <v>179</v>
      </c>
      <c r="B121">
        <v>2016</v>
      </c>
      <c r="C121" t="s">
        <v>307</v>
      </c>
      <c r="D121" t="s">
        <v>308</v>
      </c>
      <c r="E121" t="s">
        <v>65</v>
      </c>
      <c r="F121">
        <v>16100</v>
      </c>
      <c r="G121" t="s">
        <v>66</v>
      </c>
      <c r="H121">
        <v>55</v>
      </c>
    </row>
    <row r="122" spans="1:8" x14ac:dyDescent="0.3">
      <c r="A122" t="s">
        <v>179</v>
      </c>
      <c r="B122">
        <v>2017</v>
      </c>
      <c r="C122" t="s">
        <v>307</v>
      </c>
      <c r="D122" t="s">
        <v>308</v>
      </c>
      <c r="E122" t="s">
        <v>65</v>
      </c>
      <c r="F122">
        <v>16100</v>
      </c>
      <c r="G122" t="s">
        <v>66</v>
      </c>
      <c r="H122">
        <v>50</v>
      </c>
    </row>
    <row r="123" spans="1:8" x14ac:dyDescent="0.3">
      <c r="A123" t="s">
        <v>179</v>
      </c>
      <c r="B123">
        <v>2018</v>
      </c>
      <c r="C123" t="s">
        <v>307</v>
      </c>
      <c r="D123" t="s">
        <v>308</v>
      </c>
      <c r="E123" t="s">
        <v>65</v>
      </c>
      <c r="F123">
        <v>16100</v>
      </c>
      <c r="G123" t="s">
        <v>66</v>
      </c>
      <c r="H123">
        <v>72</v>
      </c>
    </row>
    <row r="124" spans="1:8" x14ac:dyDescent="0.3">
      <c r="A124" t="s">
        <v>179</v>
      </c>
      <c r="B124">
        <v>2019</v>
      </c>
      <c r="C124" t="s">
        <v>307</v>
      </c>
      <c r="D124" t="s">
        <v>308</v>
      </c>
      <c r="E124" t="s">
        <v>65</v>
      </c>
      <c r="F124">
        <v>16100</v>
      </c>
      <c r="G124" t="s">
        <v>66</v>
      </c>
      <c r="H124">
        <v>60</v>
      </c>
    </row>
    <row r="125" spans="1:8" x14ac:dyDescent="0.3">
      <c r="A125" t="s">
        <v>179</v>
      </c>
      <c r="B125">
        <v>2020</v>
      </c>
      <c r="C125" t="s">
        <v>307</v>
      </c>
      <c r="D125" t="s">
        <v>308</v>
      </c>
      <c r="E125" t="s">
        <v>65</v>
      </c>
      <c r="F125">
        <v>16100</v>
      </c>
      <c r="G125" t="s">
        <v>66</v>
      </c>
      <c r="H125">
        <v>38</v>
      </c>
    </row>
    <row r="126" spans="1:8" x14ac:dyDescent="0.3">
      <c r="A126" t="s">
        <v>179</v>
      </c>
      <c r="B126">
        <v>2021</v>
      </c>
      <c r="C126" t="s">
        <v>307</v>
      </c>
      <c r="D126" t="s">
        <v>308</v>
      </c>
      <c r="E126" t="s">
        <v>65</v>
      </c>
      <c r="F126">
        <v>16100</v>
      </c>
      <c r="G126" t="s">
        <v>66</v>
      </c>
      <c r="H126">
        <v>61</v>
      </c>
    </row>
    <row r="127" spans="1:8" x14ac:dyDescent="0.3">
      <c r="A127" t="s">
        <v>76</v>
      </c>
      <c r="B127">
        <v>2014</v>
      </c>
      <c r="C127" t="s">
        <v>307</v>
      </c>
      <c r="D127" t="s">
        <v>308</v>
      </c>
      <c r="E127" t="s">
        <v>65</v>
      </c>
      <c r="F127">
        <v>5300</v>
      </c>
      <c r="G127" t="s">
        <v>66</v>
      </c>
      <c r="H127">
        <v>3</v>
      </c>
    </row>
    <row r="128" spans="1:8" x14ac:dyDescent="0.3">
      <c r="A128" t="s">
        <v>76</v>
      </c>
      <c r="B128">
        <v>2015</v>
      </c>
      <c r="C128" t="s">
        <v>307</v>
      </c>
      <c r="D128" t="s">
        <v>308</v>
      </c>
      <c r="E128" t="s">
        <v>65</v>
      </c>
      <c r="F128">
        <v>5300</v>
      </c>
      <c r="G128" t="s">
        <v>66</v>
      </c>
      <c r="H128">
        <v>9</v>
      </c>
    </row>
    <row r="129" spans="1:8" x14ac:dyDescent="0.3">
      <c r="A129" t="s">
        <v>76</v>
      </c>
      <c r="B129">
        <v>2016</v>
      </c>
      <c r="C129" t="s">
        <v>307</v>
      </c>
      <c r="D129" t="s">
        <v>308</v>
      </c>
      <c r="E129" t="s">
        <v>65</v>
      </c>
      <c r="F129">
        <v>5300</v>
      </c>
      <c r="G129" t="s">
        <v>66</v>
      </c>
      <c r="H129">
        <v>12</v>
      </c>
    </row>
    <row r="130" spans="1:8" x14ac:dyDescent="0.3">
      <c r="A130" t="s">
        <v>76</v>
      </c>
      <c r="B130">
        <v>2017</v>
      </c>
      <c r="C130" t="s">
        <v>307</v>
      </c>
      <c r="D130" t="s">
        <v>308</v>
      </c>
      <c r="E130" t="s">
        <v>65</v>
      </c>
      <c r="F130">
        <v>5300</v>
      </c>
      <c r="G130" t="s">
        <v>66</v>
      </c>
      <c r="H130">
        <v>8</v>
      </c>
    </row>
    <row r="131" spans="1:8" x14ac:dyDescent="0.3">
      <c r="A131" t="s">
        <v>76</v>
      </c>
      <c r="B131">
        <v>2018</v>
      </c>
      <c r="C131" t="s">
        <v>307</v>
      </c>
      <c r="D131" t="s">
        <v>308</v>
      </c>
      <c r="E131" t="s">
        <v>65</v>
      </c>
      <c r="F131">
        <v>5300</v>
      </c>
      <c r="G131" t="s">
        <v>66</v>
      </c>
      <c r="H131">
        <v>8</v>
      </c>
    </row>
    <row r="132" spans="1:8" x14ac:dyDescent="0.3">
      <c r="A132" t="s">
        <v>76</v>
      </c>
      <c r="B132">
        <v>2019</v>
      </c>
      <c r="C132" t="s">
        <v>307</v>
      </c>
      <c r="D132" t="s">
        <v>308</v>
      </c>
      <c r="E132" t="s">
        <v>65</v>
      </c>
      <c r="F132">
        <v>5300</v>
      </c>
      <c r="G132" t="s">
        <v>66</v>
      </c>
      <c r="H132">
        <v>10</v>
      </c>
    </row>
    <row r="133" spans="1:8" x14ac:dyDescent="0.3">
      <c r="A133" t="s">
        <v>76</v>
      </c>
      <c r="B133">
        <v>2020</v>
      </c>
      <c r="C133" t="s">
        <v>307</v>
      </c>
      <c r="D133" t="s">
        <v>308</v>
      </c>
      <c r="E133" t="s">
        <v>65</v>
      </c>
      <c r="F133">
        <v>5300</v>
      </c>
      <c r="G133" t="s">
        <v>66</v>
      </c>
      <c r="H133">
        <v>6</v>
      </c>
    </row>
    <row r="134" spans="1:8" x14ac:dyDescent="0.3">
      <c r="A134" t="s">
        <v>76</v>
      </c>
      <c r="B134">
        <v>2021</v>
      </c>
      <c r="C134" t="s">
        <v>307</v>
      </c>
      <c r="D134" t="s">
        <v>308</v>
      </c>
      <c r="E134" t="s">
        <v>65</v>
      </c>
      <c r="F134">
        <v>5300</v>
      </c>
      <c r="G134" t="s">
        <v>66</v>
      </c>
      <c r="H134">
        <v>4</v>
      </c>
    </row>
    <row r="135" spans="1:8" x14ac:dyDescent="0.3">
      <c r="A135" t="s">
        <v>77</v>
      </c>
      <c r="B135">
        <v>2014</v>
      </c>
      <c r="C135" t="s">
        <v>307</v>
      </c>
      <c r="D135" t="s">
        <v>308</v>
      </c>
      <c r="E135" t="s">
        <v>65</v>
      </c>
      <c r="F135">
        <v>5500</v>
      </c>
      <c r="G135" t="s">
        <v>66</v>
      </c>
      <c r="H135">
        <v>6</v>
      </c>
    </row>
    <row r="136" spans="1:8" x14ac:dyDescent="0.3">
      <c r="A136" t="s">
        <v>77</v>
      </c>
      <c r="B136">
        <v>2015</v>
      </c>
      <c r="C136" t="s">
        <v>307</v>
      </c>
      <c r="D136" t="s">
        <v>308</v>
      </c>
      <c r="E136" t="s">
        <v>65</v>
      </c>
      <c r="F136">
        <v>5500</v>
      </c>
      <c r="G136" t="s">
        <v>66</v>
      </c>
      <c r="H136">
        <v>10</v>
      </c>
    </row>
    <row r="137" spans="1:8" x14ac:dyDescent="0.3">
      <c r="A137" t="s">
        <v>77</v>
      </c>
      <c r="B137">
        <v>2016</v>
      </c>
      <c r="C137" t="s">
        <v>307</v>
      </c>
      <c r="D137" t="s">
        <v>308</v>
      </c>
      <c r="E137" t="s">
        <v>65</v>
      </c>
      <c r="F137">
        <v>5500</v>
      </c>
      <c r="G137" t="s">
        <v>66</v>
      </c>
      <c r="H137">
        <v>8</v>
      </c>
    </row>
    <row r="138" spans="1:8" x14ac:dyDescent="0.3">
      <c r="A138" t="s">
        <v>77</v>
      </c>
      <c r="B138">
        <v>2017</v>
      </c>
      <c r="C138" t="s">
        <v>307</v>
      </c>
      <c r="D138" t="s">
        <v>308</v>
      </c>
      <c r="E138" t="s">
        <v>65</v>
      </c>
      <c r="F138">
        <v>5500</v>
      </c>
      <c r="G138" t="s">
        <v>66</v>
      </c>
      <c r="H138">
        <v>10</v>
      </c>
    </row>
    <row r="139" spans="1:8" x14ac:dyDescent="0.3">
      <c r="A139" t="s">
        <v>77</v>
      </c>
      <c r="B139">
        <v>2018</v>
      </c>
      <c r="C139" t="s">
        <v>307</v>
      </c>
      <c r="D139" t="s">
        <v>308</v>
      </c>
      <c r="E139" t="s">
        <v>65</v>
      </c>
      <c r="F139">
        <v>5500</v>
      </c>
      <c r="G139" t="s">
        <v>66</v>
      </c>
      <c r="H139">
        <v>5</v>
      </c>
    </row>
    <row r="140" spans="1:8" x14ac:dyDescent="0.3">
      <c r="A140" t="s">
        <v>77</v>
      </c>
      <c r="B140">
        <v>2019</v>
      </c>
      <c r="C140" t="s">
        <v>307</v>
      </c>
      <c r="D140" t="s">
        <v>308</v>
      </c>
      <c r="E140" t="s">
        <v>65</v>
      </c>
      <c r="F140">
        <v>5500</v>
      </c>
      <c r="G140" t="s">
        <v>66</v>
      </c>
      <c r="H140">
        <v>7</v>
      </c>
    </row>
    <row r="141" spans="1:8" x14ac:dyDescent="0.3">
      <c r="A141" t="s">
        <v>77</v>
      </c>
      <c r="B141">
        <v>2020</v>
      </c>
      <c r="C141" t="s">
        <v>307</v>
      </c>
      <c r="D141" t="s">
        <v>308</v>
      </c>
      <c r="E141" t="s">
        <v>65</v>
      </c>
      <c r="F141">
        <v>5500</v>
      </c>
      <c r="G141" t="s">
        <v>66</v>
      </c>
      <c r="H141">
        <v>8</v>
      </c>
    </row>
    <row r="142" spans="1:8" x14ac:dyDescent="0.3">
      <c r="A142" t="s">
        <v>77</v>
      </c>
      <c r="B142">
        <v>2021</v>
      </c>
      <c r="C142" t="s">
        <v>307</v>
      </c>
      <c r="D142" t="s">
        <v>308</v>
      </c>
      <c r="E142" t="s">
        <v>65</v>
      </c>
      <c r="F142">
        <v>5500</v>
      </c>
      <c r="G142" t="s">
        <v>66</v>
      </c>
      <c r="H142">
        <v>2</v>
      </c>
    </row>
    <row r="143" spans="1:8" x14ac:dyDescent="0.3">
      <c r="A143" t="s">
        <v>78</v>
      </c>
      <c r="B143">
        <v>2016</v>
      </c>
      <c r="C143" t="s">
        <v>307</v>
      </c>
      <c r="D143" t="s">
        <v>308</v>
      </c>
      <c r="E143" t="s">
        <v>65</v>
      </c>
      <c r="F143">
        <v>6775</v>
      </c>
      <c r="G143" t="s">
        <v>66</v>
      </c>
      <c r="H143">
        <v>1</v>
      </c>
    </row>
    <row r="144" spans="1:8" x14ac:dyDescent="0.3">
      <c r="A144" t="s">
        <v>79</v>
      </c>
      <c r="B144">
        <v>2014</v>
      </c>
      <c r="C144" t="s">
        <v>307</v>
      </c>
      <c r="D144" t="s">
        <v>308</v>
      </c>
      <c r="E144" t="s">
        <v>65</v>
      </c>
      <c r="F144">
        <v>10097</v>
      </c>
      <c r="G144" t="s">
        <v>66</v>
      </c>
      <c r="H144">
        <v>1</v>
      </c>
    </row>
    <row r="145" spans="1:8" x14ac:dyDescent="0.3">
      <c r="A145" t="s">
        <v>79</v>
      </c>
      <c r="B145">
        <v>2021</v>
      </c>
      <c r="C145" t="s">
        <v>307</v>
      </c>
      <c r="D145" t="s">
        <v>308</v>
      </c>
      <c r="E145" t="s">
        <v>65</v>
      </c>
      <c r="F145">
        <v>10097</v>
      </c>
      <c r="G145" t="s">
        <v>66</v>
      </c>
      <c r="H145">
        <v>1</v>
      </c>
    </row>
    <row r="146" spans="1:8" x14ac:dyDescent="0.3">
      <c r="A146" t="s">
        <v>182</v>
      </c>
      <c r="B146">
        <v>2014</v>
      </c>
      <c r="C146" t="s">
        <v>307</v>
      </c>
      <c r="D146" t="s">
        <v>308</v>
      </c>
      <c r="E146" t="s">
        <v>65</v>
      </c>
      <c r="F146">
        <v>10400</v>
      </c>
      <c r="G146" t="s">
        <v>72</v>
      </c>
      <c r="H146">
        <v>2</v>
      </c>
    </row>
    <row r="147" spans="1:8" x14ac:dyDescent="0.3">
      <c r="A147" t="s">
        <v>182</v>
      </c>
      <c r="B147">
        <v>2017</v>
      </c>
      <c r="C147" t="s">
        <v>307</v>
      </c>
      <c r="D147" t="s">
        <v>308</v>
      </c>
      <c r="E147" t="s">
        <v>65</v>
      </c>
      <c r="F147">
        <v>10400</v>
      </c>
      <c r="G147" t="s">
        <v>72</v>
      </c>
      <c r="H147">
        <v>1</v>
      </c>
    </row>
    <row r="148" spans="1:8" x14ac:dyDescent="0.3">
      <c r="A148" t="s">
        <v>80</v>
      </c>
      <c r="B148">
        <v>2014</v>
      </c>
      <c r="C148" t="s">
        <v>307</v>
      </c>
      <c r="D148" t="s">
        <v>308</v>
      </c>
      <c r="E148" t="s">
        <v>65</v>
      </c>
      <c r="F148">
        <v>10097</v>
      </c>
      <c r="G148" t="s">
        <v>72</v>
      </c>
      <c r="H148">
        <v>11</v>
      </c>
    </row>
    <row r="149" spans="1:8" x14ac:dyDescent="0.3">
      <c r="A149" t="s">
        <v>80</v>
      </c>
      <c r="B149">
        <v>2015</v>
      </c>
      <c r="C149" t="s">
        <v>307</v>
      </c>
      <c r="D149" t="s">
        <v>308</v>
      </c>
      <c r="E149" t="s">
        <v>65</v>
      </c>
      <c r="F149">
        <v>10097</v>
      </c>
      <c r="G149" t="s">
        <v>72</v>
      </c>
      <c r="H149">
        <v>12</v>
      </c>
    </row>
    <row r="150" spans="1:8" x14ac:dyDescent="0.3">
      <c r="A150" t="s">
        <v>80</v>
      </c>
      <c r="B150">
        <v>2016</v>
      </c>
      <c r="C150" t="s">
        <v>307</v>
      </c>
      <c r="D150" t="s">
        <v>308</v>
      </c>
      <c r="E150" t="s">
        <v>65</v>
      </c>
      <c r="F150">
        <v>10097</v>
      </c>
      <c r="G150" t="s">
        <v>72</v>
      </c>
      <c r="H150">
        <v>12</v>
      </c>
    </row>
    <row r="151" spans="1:8" x14ac:dyDescent="0.3">
      <c r="A151" t="s">
        <v>80</v>
      </c>
      <c r="B151">
        <v>2017</v>
      </c>
      <c r="C151" t="s">
        <v>307</v>
      </c>
      <c r="D151" t="s">
        <v>308</v>
      </c>
      <c r="E151" t="s">
        <v>65</v>
      </c>
      <c r="F151">
        <v>10097</v>
      </c>
      <c r="G151" t="s">
        <v>72</v>
      </c>
      <c r="H151">
        <v>6</v>
      </c>
    </row>
    <row r="152" spans="1:8" x14ac:dyDescent="0.3">
      <c r="A152" t="s">
        <v>80</v>
      </c>
      <c r="B152">
        <v>2018</v>
      </c>
      <c r="C152" t="s">
        <v>307</v>
      </c>
      <c r="D152" t="s">
        <v>308</v>
      </c>
      <c r="E152" t="s">
        <v>65</v>
      </c>
      <c r="F152">
        <v>10097</v>
      </c>
      <c r="G152" t="s">
        <v>72</v>
      </c>
      <c r="H152">
        <v>24</v>
      </c>
    </row>
    <row r="153" spans="1:8" x14ac:dyDescent="0.3">
      <c r="A153" t="s">
        <v>80</v>
      </c>
      <c r="B153">
        <v>2019</v>
      </c>
      <c r="C153" t="s">
        <v>307</v>
      </c>
      <c r="D153" t="s">
        <v>308</v>
      </c>
      <c r="E153" t="s">
        <v>65</v>
      </c>
      <c r="F153">
        <v>10097</v>
      </c>
      <c r="G153" t="s">
        <v>72</v>
      </c>
      <c r="H153">
        <v>14</v>
      </c>
    </row>
    <row r="154" spans="1:8" x14ac:dyDescent="0.3">
      <c r="A154" t="s">
        <v>80</v>
      </c>
      <c r="B154">
        <v>2020</v>
      </c>
      <c r="C154" t="s">
        <v>307</v>
      </c>
      <c r="D154" t="s">
        <v>308</v>
      </c>
      <c r="E154" t="s">
        <v>65</v>
      </c>
      <c r="F154">
        <v>10097</v>
      </c>
      <c r="G154" t="s">
        <v>72</v>
      </c>
      <c r="H154">
        <v>5</v>
      </c>
    </row>
    <row r="155" spans="1:8" x14ac:dyDescent="0.3">
      <c r="A155" t="s">
        <v>80</v>
      </c>
      <c r="B155">
        <v>2021</v>
      </c>
      <c r="C155" t="s">
        <v>307</v>
      </c>
      <c r="D155" t="s">
        <v>308</v>
      </c>
      <c r="E155" t="s">
        <v>65</v>
      </c>
      <c r="F155">
        <v>10097</v>
      </c>
      <c r="G155" t="s">
        <v>72</v>
      </c>
      <c r="H155">
        <v>7</v>
      </c>
    </row>
    <row r="156" spans="1:8" x14ac:dyDescent="0.3">
      <c r="A156" t="s">
        <v>183</v>
      </c>
      <c r="B156">
        <v>2014</v>
      </c>
      <c r="C156" t="s">
        <v>307</v>
      </c>
      <c r="D156" t="s">
        <v>308</v>
      </c>
      <c r="E156" t="s">
        <v>65</v>
      </c>
      <c r="F156">
        <v>1543</v>
      </c>
      <c r="G156" t="s">
        <v>72</v>
      </c>
      <c r="H156">
        <v>3</v>
      </c>
    </row>
    <row r="157" spans="1:8" x14ac:dyDescent="0.3">
      <c r="A157" t="s">
        <v>183</v>
      </c>
      <c r="B157">
        <v>2015</v>
      </c>
      <c r="C157" t="s">
        <v>307</v>
      </c>
      <c r="D157" t="s">
        <v>308</v>
      </c>
      <c r="E157" t="s">
        <v>65</v>
      </c>
      <c r="F157">
        <v>1543</v>
      </c>
      <c r="G157" t="s">
        <v>72</v>
      </c>
      <c r="H157">
        <v>25</v>
      </c>
    </row>
    <row r="158" spans="1:8" x14ac:dyDescent="0.3">
      <c r="A158" t="s">
        <v>183</v>
      </c>
      <c r="B158">
        <v>2016</v>
      </c>
      <c r="C158" t="s">
        <v>307</v>
      </c>
      <c r="D158" t="s">
        <v>308</v>
      </c>
      <c r="E158" t="s">
        <v>65</v>
      </c>
      <c r="F158">
        <v>1543</v>
      </c>
      <c r="G158" t="s">
        <v>72</v>
      </c>
      <c r="H158">
        <v>51</v>
      </c>
    </row>
    <row r="159" spans="1:8" x14ac:dyDescent="0.3">
      <c r="A159" t="s">
        <v>183</v>
      </c>
      <c r="B159">
        <v>2017</v>
      </c>
      <c r="C159" t="s">
        <v>307</v>
      </c>
      <c r="D159" t="s">
        <v>308</v>
      </c>
      <c r="E159" t="s">
        <v>65</v>
      </c>
      <c r="F159">
        <v>1543</v>
      </c>
      <c r="G159" t="s">
        <v>72</v>
      </c>
      <c r="H159">
        <v>42</v>
      </c>
    </row>
    <row r="160" spans="1:8" x14ac:dyDescent="0.3">
      <c r="A160" t="s">
        <v>183</v>
      </c>
      <c r="B160">
        <v>2018</v>
      </c>
      <c r="C160" t="s">
        <v>307</v>
      </c>
      <c r="D160" t="s">
        <v>308</v>
      </c>
      <c r="E160" t="s">
        <v>65</v>
      </c>
      <c r="F160">
        <v>1543</v>
      </c>
      <c r="G160" t="s">
        <v>72</v>
      </c>
      <c r="H160">
        <v>38</v>
      </c>
    </row>
    <row r="161" spans="1:8" x14ac:dyDescent="0.3">
      <c r="A161" t="s">
        <v>183</v>
      </c>
      <c r="B161">
        <v>2019</v>
      </c>
      <c r="C161" t="s">
        <v>307</v>
      </c>
      <c r="D161" t="s">
        <v>308</v>
      </c>
      <c r="E161" t="s">
        <v>65</v>
      </c>
      <c r="F161">
        <v>1543</v>
      </c>
      <c r="G161" t="s">
        <v>72</v>
      </c>
      <c r="H161">
        <v>40</v>
      </c>
    </row>
    <row r="162" spans="1:8" x14ac:dyDescent="0.3">
      <c r="A162" t="s">
        <v>183</v>
      </c>
      <c r="B162">
        <v>2020</v>
      </c>
      <c r="C162" t="s">
        <v>307</v>
      </c>
      <c r="D162" t="s">
        <v>308</v>
      </c>
      <c r="E162" t="s">
        <v>65</v>
      </c>
      <c r="F162">
        <v>1543</v>
      </c>
      <c r="G162" t="s">
        <v>72</v>
      </c>
      <c r="H162">
        <v>17</v>
      </c>
    </row>
    <row r="163" spans="1:8" x14ac:dyDescent="0.3">
      <c r="A163" t="s">
        <v>183</v>
      </c>
      <c r="B163">
        <v>2021</v>
      </c>
      <c r="C163" t="s">
        <v>307</v>
      </c>
      <c r="D163" t="s">
        <v>308</v>
      </c>
      <c r="E163" t="s">
        <v>65</v>
      </c>
      <c r="F163">
        <v>1543</v>
      </c>
      <c r="G163" t="s">
        <v>72</v>
      </c>
      <c r="H163">
        <v>36</v>
      </c>
    </row>
    <row r="164" spans="1:8" x14ac:dyDescent="0.3">
      <c r="A164" t="s">
        <v>81</v>
      </c>
      <c r="B164">
        <v>2014</v>
      </c>
      <c r="C164" t="s">
        <v>307</v>
      </c>
      <c r="D164" t="s">
        <v>308</v>
      </c>
      <c r="E164" t="s">
        <v>65</v>
      </c>
      <c r="F164">
        <v>3325</v>
      </c>
      <c r="G164" t="s">
        <v>66</v>
      </c>
      <c r="H164">
        <v>1</v>
      </c>
    </row>
    <row r="165" spans="1:8" x14ac:dyDescent="0.3">
      <c r="A165" t="s">
        <v>81</v>
      </c>
      <c r="B165">
        <v>2015</v>
      </c>
      <c r="C165" t="s">
        <v>307</v>
      </c>
      <c r="D165" t="s">
        <v>308</v>
      </c>
      <c r="E165" t="s">
        <v>65</v>
      </c>
      <c r="F165">
        <v>3325</v>
      </c>
      <c r="G165" t="s">
        <v>66</v>
      </c>
      <c r="H165">
        <v>1</v>
      </c>
    </row>
    <row r="166" spans="1:8" x14ac:dyDescent="0.3">
      <c r="A166" t="s">
        <v>81</v>
      </c>
      <c r="B166">
        <v>2016</v>
      </c>
      <c r="C166" t="s">
        <v>307</v>
      </c>
      <c r="D166" t="s">
        <v>308</v>
      </c>
      <c r="E166" t="s">
        <v>65</v>
      </c>
      <c r="F166">
        <v>3325</v>
      </c>
      <c r="G166" t="s">
        <v>66</v>
      </c>
      <c r="H166">
        <v>1</v>
      </c>
    </row>
    <row r="167" spans="1:8" x14ac:dyDescent="0.3">
      <c r="A167" t="s">
        <v>81</v>
      </c>
      <c r="B167">
        <v>2017</v>
      </c>
      <c r="C167" t="s">
        <v>307</v>
      </c>
      <c r="D167" t="s">
        <v>308</v>
      </c>
      <c r="E167" t="s">
        <v>65</v>
      </c>
      <c r="F167">
        <v>3325</v>
      </c>
      <c r="G167" t="s">
        <v>66</v>
      </c>
      <c r="H167">
        <v>1</v>
      </c>
    </row>
    <row r="168" spans="1:8" x14ac:dyDescent="0.3">
      <c r="A168" t="s">
        <v>81</v>
      </c>
      <c r="B168">
        <v>2019</v>
      </c>
      <c r="C168" t="s">
        <v>307</v>
      </c>
      <c r="D168" t="s">
        <v>308</v>
      </c>
      <c r="E168" t="s">
        <v>65</v>
      </c>
      <c r="F168">
        <v>3325</v>
      </c>
      <c r="G168" t="s">
        <v>66</v>
      </c>
      <c r="H168">
        <v>1</v>
      </c>
    </row>
    <row r="169" spans="1:8" x14ac:dyDescent="0.3">
      <c r="A169" t="s">
        <v>81</v>
      </c>
      <c r="B169">
        <v>2020</v>
      </c>
      <c r="C169" t="s">
        <v>307</v>
      </c>
      <c r="D169" t="s">
        <v>308</v>
      </c>
      <c r="E169" t="s">
        <v>65</v>
      </c>
      <c r="F169">
        <v>3325</v>
      </c>
      <c r="G169" t="s">
        <v>66</v>
      </c>
      <c r="H169">
        <v>2</v>
      </c>
    </row>
    <row r="170" spans="1:8" x14ac:dyDescent="0.3">
      <c r="A170" t="s">
        <v>184</v>
      </c>
      <c r="B170">
        <v>2015</v>
      </c>
      <c r="C170" t="s">
        <v>307</v>
      </c>
      <c r="D170" t="s">
        <v>308</v>
      </c>
      <c r="E170" t="s">
        <v>65</v>
      </c>
      <c r="F170">
        <v>1450</v>
      </c>
      <c r="G170" t="s">
        <v>66</v>
      </c>
      <c r="H170">
        <v>1</v>
      </c>
    </row>
    <row r="171" spans="1:8" x14ac:dyDescent="0.3">
      <c r="A171" t="s">
        <v>184</v>
      </c>
      <c r="B171">
        <v>2019</v>
      </c>
      <c r="C171" t="s">
        <v>307</v>
      </c>
      <c r="D171" t="s">
        <v>308</v>
      </c>
      <c r="E171" t="s">
        <v>65</v>
      </c>
      <c r="F171">
        <v>1450</v>
      </c>
      <c r="G171" t="s">
        <v>66</v>
      </c>
      <c r="H171">
        <v>1</v>
      </c>
    </row>
    <row r="172" spans="1:8" x14ac:dyDescent="0.3">
      <c r="A172" t="s">
        <v>84</v>
      </c>
      <c r="B172">
        <v>2014</v>
      </c>
      <c r="C172" t="s">
        <v>307</v>
      </c>
      <c r="D172" t="s">
        <v>308</v>
      </c>
      <c r="E172" t="s">
        <v>65</v>
      </c>
      <c r="F172">
        <v>1543</v>
      </c>
      <c r="G172" t="s">
        <v>66</v>
      </c>
      <c r="H172">
        <v>1</v>
      </c>
    </row>
    <row r="173" spans="1:8" x14ac:dyDescent="0.3">
      <c r="A173" t="s">
        <v>84</v>
      </c>
      <c r="B173">
        <v>2015</v>
      </c>
      <c r="C173" t="s">
        <v>307</v>
      </c>
      <c r="D173" t="s">
        <v>308</v>
      </c>
      <c r="E173" t="s">
        <v>65</v>
      </c>
      <c r="F173">
        <v>1543</v>
      </c>
      <c r="G173" t="s">
        <v>66</v>
      </c>
      <c r="H173">
        <v>2</v>
      </c>
    </row>
    <row r="174" spans="1:8" x14ac:dyDescent="0.3">
      <c r="A174" t="s">
        <v>84</v>
      </c>
      <c r="B174">
        <v>2016</v>
      </c>
      <c r="C174" t="s">
        <v>307</v>
      </c>
      <c r="D174" t="s">
        <v>308</v>
      </c>
      <c r="E174" t="s">
        <v>65</v>
      </c>
      <c r="F174">
        <v>1543</v>
      </c>
      <c r="G174" t="s">
        <v>66</v>
      </c>
      <c r="H174">
        <v>6</v>
      </c>
    </row>
    <row r="175" spans="1:8" x14ac:dyDescent="0.3">
      <c r="A175" t="s">
        <v>84</v>
      </c>
      <c r="B175">
        <v>2017</v>
      </c>
      <c r="C175" t="s">
        <v>307</v>
      </c>
      <c r="D175" t="s">
        <v>308</v>
      </c>
      <c r="E175" t="s">
        <v>65</v>
      </c>
      <c r="F175">
        <v>1543</v>
      </c>
      <c r="G175" t="s">
        <v>66</v>
      </c>
      <c r="H175">
        <v>11</v>
      </c>
    </row>
    <row r="176" spans="1:8" x14ac:dyDescent="0.3">
      <c r="A176" t="s">
        <v>84</v>
      </c>
      <c r="B176">
        <v>2018</v>
      </c>
      <c r="C176" t="s">
        <v>307</v>
      </c>
      <c r="D176" t="s">
        <v>308</v>
      </c>
      <c r="E176" t="s">
        <v>65</v>
      </c>
      <c r="F176">
        <v>1543</v>
      </c>
      <c r="G176" t="s">
        <v>66</v>
      </c>
      <c r="H176">
        <v>7</v>
      </c>
    </row>
    <row r="177" spans="1:8" x14ac:dyDescent="0.3">
      <c r="A177" t="s">
        <v>84</v>
      </c>
      <c r="B177">
        <v>2019</v>
      </c>
      <c r="C177" t="s">
        <v>307</v>
      </c>
      <c r="D177" t="s">
        <v>308</v>
      </c>
      <c r="E177" t="s">
        <v>65</v>
      </c>
      <c r="F177">
        <v>1543</v>
      </c>
      <c r="G177" t="s">
        <v>66</v>
      </c>
      <c r="H177">
        <v>5</v>
      </c>
    </row>
    <row r="178" spans="1:8" x14ac:dyDescent="0.3">
      <c r="A178" t="s">
        <v>84</v>
      </c>
      <c r="B178">
        <v>2020</v>
      </c>
      <c r="C178" t="s">
        <v>307</v>
      </c>
      <c r="D178" t="s">
        <v>308</v>
      </c>
      <c r="E178" t="s">
        <v>65</v>
      </c>
      <c r="F178">
        <v>1543</v>
      </c>
      <c r="G178" t="s">
        <v>66</v>
      </c>
      <c r="H178">
        <v>7</v>
      </c>
    </row>
    <row r="179" spans="1:8" x14ac:dyDescent="0.3">
      <c r="A179" t="s">
        <v>84</v>
      </c>
      <c r="B179">
        <v>2021</v>
      </c>
      <c r="C179" t="s">
        <v>307</v>
      </c>
      <c r="D179" t="s">
        <v>308</v>
      </c>
      <c r="E179" t="s">
        <v>65</v>
      </c>
      <c r="F179">
        <v>1543</v>
      </c>
      <c r="G179" t="s">
        <v>66</v>
      </c>
      <c r="H179">
        <v>14</v>
      </c>
    </row>
    <row r="180" spans="1:8" x14ac:dyDescent="0.3">
      <c r="A180" t="s">
        <v>85</v>
      </c>
      <c r="B180">
        <v>2014</v>
      </c>
      <c r="C180" t="s">
        <v>307</v>
      </c>
      <c r="D180" t="s">
        <v>308</v>
      </c>
      <c r="E180" t="s">
        <v>65</v>
      </c>
      <c r="F180">
        <v>5732</v>
      </c>
      <c r="G180" t="s">
        <v>66</v>
      </c>
      <c r="H180">
        <v>2</v>
      </c>
    </row>
    <row r="181" spans="1:8" x14ac:dyDescent="0.3">
      <c r="A181" t="s">
        <v>85</v>
      </c>
      <c r="B181">
        <v>2015</v>
      </c>
      <c r="C181" t="s">
        <v>307</v>
      </c>
      <c r="D181" t="s">
        <v>308</v>
      </c>
      <c r="E181" t="s">
        <v>65</v>
      </c>
      <c r="F181">
        <v>5732</v>
      </c>
      <c r="G181" t="s">
        <v>66</v>
      </c>
      <c r="H181">
        <v>1</v>
      </c>
    </row>
    <row r="182" spans="1:8" x14ac:dyDescent="0.3">
      <c r="A182" t="s">
        <v>85</v>
      </c>
      <c r="B182">
        <v>2016</v>
      </c>
      <c r="C182" t="s">
        <v>307</v>
      </c>
      <c r="D182" t="s">
        <v>308</v>
      </c>
      <c r="E182" t="s">
        <v>65</v>
      </c>
      <c r="F182">
        <v>5732</v>
      </c>
      <c r="G182" t="s">
        <v>66</v>
      </c>
      <c r="H182">
        <v>2</v>
      </c>
    </row>
    <row r="183" spans="1:8" x14ac:dyDescent="0.3">
      <c r="A183" t="s">
        <v>85</v>
      </c>
      <c r="B183">
        <v>2017</v>
      </c>
      <c r="C183" t="s">
        <v>307</v>
      </c>
      <c r="D183" t="s">
        <v>308</v>
      </c>
      <c r="E183" t="s">
        <v>65</v>
      </c>
      <c r="F183">
        <v>5732</v>
      </c>
      <c r="G183" t="s">
        <v>66</v>
      </c>
      <c r="H183">
        <v>2</v>
      </c>
    </row>
    <row r="184" spans="1:8" x14ac:dyDescent="0.3">
      <c r="A184" t="s">
        <v>85</v>
      </c>
      <c r="B184">
        <v>2021</v>
      </c>
      <c r="C184" t="s">
        <v>307</v>
      </c>
      <c r="D184" t="s">
        <v>308</v>
      </c>
      <c r="E184" t="s">
        <v>65</v>
      </c>
      <c r="F184">
        <v>5732</v>
      </c>
      <c r="G184" t="s">
        <v>66</v>
      </c>
      <c r="H184">
        <v>4</v>
      </c>
    </row>
    <row r="185" spans="1:8" x14ac:dyDescent="0.3">
      <c r="A185" t="s">
        <v>185</v>
      </c>
      <c r="B185">
        <v>2015</v>
      </c>
      <c r="C185" t="s">
        <v>307</v>
      </c>
      <c r="D185" t="s">
        <v>308</v>
      </c>
      <c r="E185" t="s">
        <v>65</v>
      </c>
      <c r="F185">
        <v>1320</v>
      </c>
      <c r="G185" t="s">
        <v>66</v>
      </c>
      <c r="H185">
        <v>4</v>
      </c>
    </row>
    <row r="186" spans="1:8" x14ac:dyDescent="0.3">
      <c r="A186" t="s">
        <v>86</v>
      </c>
      <c r="B186">
        <v>2014</v>
      </c>
      <c r="C186" t="s">
        <v>307</v>
      </c>
      <c r="D186" t="s">
        <v>308</v>
      </c>
      <c r="E186" t="s">
        <v>65</v>
      </c>
      <c r="F186">
        <v>2450</v>
      </c>
      <c r="G186" t="s">
        <v>66</v>
      </c>
      <c r="H186">
        <v>50</v>
      </c>
    </row>
    <row r="187" spans="1:8" x14ac:dyDescent="0.3">
      <c r="A187" t="s">
        <v>86</v>
      </c>
      <c r="B187">
        <v>2015</v>
      </c>
      <c r="C187" t="s">
        <v>307</v>
      </c>
      <c r="D187" t="s">
        <v>308</v>
      </c>
      <c r="E187" t="s">
        <v>65</v>
      </c>
      <c r="F187">
        <v>2450</v>
      </c>
      <c r="G187" t="s">
        <v>66</v>
      </c>
      <c r="H187">
        <v>160</v>
      </c>
    </row>
    <row r="188" spans="1:8" x14ac:dyDescent="0.3">
      <c r="A188" t="s">
        <v>86</v>
      </c>
      <c r="B188">
        <v>2016</v>
      </c>
      <c r="C188" t="s">
        <v>307</v>
      </c>
      <c r="D188" t="s">
        <v>308</v>
      </c>
      <c r="E188" t="s">
        <v>65</v>
      </c>
      <c r="F188">
        <v>2450</v>
      </c>
      <c r="G188" t="s">
        <v>66</v>
      </c>
      <c r="H188">
        <v>107</v>
      </c>
    </row>
    <row r="189" spans="1:8" x14ac:dyDescent="0.3">
      <c r="A189" t="s">
        <v>86</v>
      </c>
      <c r="B189">
        <v>2017</v>
      </c>
      <c r="C189" t="s">
        <v>307</v>
      </c>
      <c r="D189" t="s">
        <v>308</v>
      </c>
      <c r="E189" t="s">
        <v>65</v>
      </c>
      <c r="F189">
        <v>2450</v>
      </c>
      <c r="G189" t="s">
        <v>66</v>
      </c>
      <c r="H189">
        <v>157</v>
      </c>
    </row>
    <row r="190" spans="1:8" x14ac:dyDescent="0.3">
      <c r="A190" t="s">
        <v>86</v>
      </c>
      <c r="B190">
        <v>2018</v>
      </c>
      <c r="C190" t="s">
        <v>307</v>
      </c>
      <c r="D190" t="s">
        <v>308</v>
      </c>
      <c r="E190" t="s">
        <v>65</v>
      </c>
      <c r="F190">
        <v>2450</v>
      </c>
      <c r="G190" t="s">
        <v>66</v>
      </c>
      <c r="H190">
        <v>211</v>
      </c>
    </row>
    <row r="191" spans="1:8" x14ac:dyDescent="0.3">
      <c r="A191" t="s">
        <v>86</v>
      </c>
      <c r="B191">
        <v>2019</v>
      </c>
      <c r="C191" t="s">
        <v>307</v>
      </c>
      <c r="D191" t="s">
        <v>308</v>
      </c>
      <c r="E191" t="s">
        <v>65</v>
      </c>
      <c r="F191">
        <v>2450</v>
      </c>
      <c r="G191" t="s">
        <v>66</v>
      </c>
      <c r="H191">
        <v>127</v>
      </c>
    </row>
    <row r="192" spans="1:8" x14ac:dyDescent="0.3">
      <c r="A192" t="s">
        <v>86</v>
      </c>
      <c r="B192">
        <v>2020</v>
      </c>
      <c r="C192" t="s">
        <v>307</v>
      </c>
      <c r="D192" t="s">
        <v>308</v>
      </c>
      <c r="E192" t="s">
        <v>65</v>
      </c>
      <c r="F192">
        <v>2450</v>
      </c>
      <c r="G192" t="s">
        <v>66</v>
      </c>
      <c r="H192">
        <v>130</v>
      </c>
    </row>
    <row r="193" spans="1:8" x14ac:dyDescent="0.3">
      <c r="A193" t="s">
        <v>86</v>
      </c>
      <c r="B193">
        <v>2021</v>
      </c>
      <c r="C193" t="s">
        <v>307</v>
      </c>
      <c r="D193" t="s">
        <v>308</v>
      </c>
      <c r="E193" t="s">
        <v>65</v>
      </c>
      <c r="F193">
        <v>2450</v>
      </c>
      <c r="G193" t="s">
        <v>66</v>
      </c>
      <c r="H193">
        <v>79</v>
      </c>
    </row>
    <row r="194" spans="1:8" x14ac:dyDescent="0.3">
      <c r="A194" t="s">
        <v>87</v>
      </c>
      <c r="B194">
        <v>2014</v>
      </c>
      <c r="C194" t="s">
        <v>307</v>
      </c>
      <c r="D194" t="s">
        <v>308</v>
      </c>
      <c r="E194" t="s">
        <v>65</v>
      </c>
      <c r="F194">
        <v>2500</v>
      </c>
      <c r="G194" t="s">
        <v>66</v>
      </c>
      <c r="H194">
        <v>1</v>
      </c>
    </row>
    <row r="195" spans="1:8" x14ac:dyDescent="0.3">
      <c r="A195" t="s">
        <v>87</v>
      </c>
      <c r="B195">
        <v>2015</v>
      </c>
      <c r="C195" t="s">
        <v>307</v>
      </c>
      <c r="D195" t="s">
        <v>308</v>
      </c>
      <c r="E195" t="s">
        <v>65</v>
      </c>
      <c r="F195">
        <v>2500</v>
      </c>
      <c r="G195" t="s">
        <v>66</v>
      </c>
      <c r="H195">
        <v>2</v>
      </c>
    </row>
    <row r="196" spans="1:8" x14ac:dyDescent="0.3">
      <c r="A196" t="s">
        <v>87</v>
      </c>
      <c r="B196">
        <v>2016</v>
      </c>
      <c r="C196" t="s">
        <v>307</v>
      </c>
      <c r="D196" t="s">
        <v>308</v>
      </c>
      <c r="E196" t="s">
        <v>65</v>
      </c>
      <c r="F196">
        <v>2500</v>
      </c>
      <c r="G196" t="s">
        <v>66</v>
      </c>
      <c r="H196">
        <v>2</v>
      </c>
    </row>
    <row r="197" spans="1:8" x14ac:dyDescent="0.3">
      <c r="A197" t="s">
        <v>87</v>
      </c>
      <c r="B197">
        <v>2017</v>
      </c>
      <c r="C197" t="s">
        <v>307</v>
      </c>
      <c r="D197" t="s">
        <v>308</v>
      </c>
      <c r="E197" t="s">
        <v>65</v>
      </c>
      <c r="F197">
        <v>2500</v>
      </c>
      <c r="G197" t="s">
        <v>66</v>
      </c>
      <c r="H197">
        <v>3</v>
      </c>
    </row>
    <row r="198" spans="1:8" x14ac:dyDescent="0.3">
      <c r="A198" t="s">
        <v>87</v>
      </c>
      <c r="B198">
        <v>2019</v>
      </c>
      <c r="C198" t="s">
        <v>307</v>
      </c>
      <c r="D198" t="s">
        <v>308</v>
      </c>
      <c r="E198" t="s">
        <v>65</v>
      </c>
      <c r="F198">
        <v>2500</v>
      </c>
      <c r="G198" t="s">
        <v>66</v>
      </c>
      <c r="H198">
        <v>3</v>
      </c>
    </row>
    <row r="199" spans="1:8" x14ac:dyDescent="0.3">
      <c r="A199" t="s">
        <v>87</v>
      </c>
      <c r="B199">
        <v>2020</v>
      </c>
      <c r="C199" t="s">
        <v>307</v>
      </c>
      <c r="D199" t="s">
        <v>308</v>
      </c>
      <c r="E199" t="s">
        <v>65</v>
      </c>
      <c r="F199">
        <v>2500</v>
      </c>
      <c r="G199" t="s">
        <v>66</v>
      </c>
      <c r="H199">
        <v>2</v>
      </c>
    </row>
    <row r="200" spans="1:8" x14ac:dyDescent="0.3">
      <c r="A200" t="s">
        <v>87</v>
      </c>
      <c r="B200">
        <v>2021</v>
      </c>
      <c r="C200" t="s">
        <v>307</v>
      </c>
      <c r="D200" t="s">
        <v>308</v>
      </c>
      <c r="E200" t="s">
        <v>65</v>
      </c>
      <c r="F200">
        <v>2500</v>
      </c>
      <c r="G200" t="s">
        <v>66</v>
      </c>
      <c r="H200">
        <v>3</v>
      </c>
    </row>
    <row r="201" spans="1:8" x14ac:dyDescent="0.3">
      <c r="A201" t="s">
        <v>88</v>
      </c>
      <c r="B201">
        <v>2014</v>
      </c>
      <c r="C201" t="s">
        <v>307</v>
      </c>
      <c r="D201" t="s">
        <v>308</v>
      </c>
      <c r="E201" t="s">
        <v>65</v>
      </c>
      <c r="F201">
        <v>2550</v>
      </c>
      <c r="G201" t="s">
        <v>66</v>
      </c>
      <c r="H201">
        <v>51</v>
      </c>
    </row>
    <row r="202" spans="1:8" x14ac:dyDescent="0.3">
      <c r="A202" t="s">
        <v>88</v>
      </c>
      <c r="B202">
        <v>2015</v>
      </c>
      <c r="C202" t="s">
        <v>307</v>
      </c>
      <c r="D202" t="s">
        <v>308</v>
      </c>
      <c r="E202" t="s">
        <v>65</v>
      </c>
      <c r="F202">
        <v>2550</v>
      </c>
      <c r="G202" t="s">
        <v>66</v>
      </c>
      <c r="H202">
        <v>91</v>
      </c>
    </row>
    <row r="203" spans="1:8" x14ac:dyDescent="0.3">
      <c r="A203" t="s">
        <v>88</v>
      </c>
      <c r="B203">
        <v>2016</v>
      </c>
      <c r="C203" t="s">
        <v>307</v>
      </c>
      <c r="D203" t="s">
        <v>308</v>
      </c>
      <c r="E203" t="s">
        <v>65</v>
      </c>
      <c r="F203">
        <v>2550</v>
      </c>
      <c r="G203" t="s">
        <v>66</v>
      </c>
      <c r="H203">
        <v>146</v>
      </c>
    </row>
    <row r="204" spans="1:8" x14ac:dyDescent="0.3">
      <c r="A204" t="s">
        <v>88</v>
      </c>
      <c r="B204">
        <v>2017</v>
      </c>
      <c r="C204" t="s">
        <v>307</v>
      </c>
      <c r="D204" t="s">
        <v>308</v>
      </c>
      <c r="E204" t="s">
        <v>65</v>
      </c>
      <c r="F204">
        <v>2550</v>
      </c>
      <c r="G204" t="s">
        <v>66</v>
      </c>
      <c r="H204">
        <v>102</v>
      </c>
    </row>
    <row r="205" spans="1:8" x14ac:dyDescent="0.3">
      <c r="A205" t="s">
        <v>88</v>
      </c>
      <c r="B205">
        <v>2018</v>
      </c>
      <c r="C205" t="s">
        <v>307</v>
      </c>
      <c r="D205" t="s">
        <v>308</v>
      </c>
      <c r="E205" t="s">
        <v>65</v>
      </c>
      <c r="F205">
        <v>2550</v>
      </c>
      <c r="G205" t="s">
        <v>66</v>
      </c>
      <c r="H205">
        <v>86</v>
      </c>
    </row>
    <row r="206" spans="1:8" x14ac:dyDescent="0.3">
      <c r="A206" t="s">
        <v>88</v>
      </c>
      <c r="B206">
        <v>2019</v>
      </c>
      <c r="C206" t="s">
        <v>307</v>
      </c>
      <c r="D206" t="s">
        <v>308</v>
      </c>
      <c r="E206" t="s">
        <v>65</v>
      </c>
      <c r="F206">
        <v>2550</v>
      </c>
      <c r="G206" t="s">
        <v>66</v>
      </c>
      <c r="H206">
        <v>82</v>
      </c>
    </row>
    <row r="207" spans="1:8" x14ac:dyDescent="0.3">
      <c r="A207" t="s">
        <v>88</v>
      </c>
      <c r="B207">
        <v>2020</v>
      </c>
      <c r="C207" t="s">
        <v>307</v>
      </c>
      <c r="D207" t="s">
        <v>308</v>
      </c>
      <c r="E207" t="s">
        <v>65</v>
      </c>
      <c r="F207">
        <v>2550</v>
      </c>
      <c r="G207" t="s">
        <v>66</v>
      </c>
      <c r="H207">
        <v>66</v>
      </c>
    </row>
    <row r="208" spans="1:8" x14ac:dyDescent="0.3">
      <c r="A208" t="s">
        <v>88</v>
      </c>
      <c r="B208">
        <v>2021</v>
      </c>
      <c r="C208" t="s">
        <v>307</v>
      </c>
      <c r="D208" t="s">
        <v>308</v>
      </c>
      <c r="E208" t="s">
        <v>65</v>
      </c>
      <c r="F208">
        <v>2550</v>
      </c>
      <c r="G208" t="s">
        <v>66</v>
      </c>
      <c r="H208">
        <v>72</v>
      </c>
    </row>
    <row r="209" spans="1:8" x14ac:dyDescent="0.3">
      <c r="A209" t="s">
        <v>89</v>
      </c>
      <c r="B209">
        <v>2014</v>
      </c>
      <c r="C209" t="s">
        <v>307</v>
      </c>
      <c r="D209" t="s">
        <v>308</v>
      </c>
      <c r="E209" t="s">
        <v>65</v>
      </c>
      <c r="F209">
        <v>3348</v>
      </c>
      <c r="G209" t="s">
        <v>66</v>
      </c>
      <c r="H209">
        <v>1</v>
      </c>
    </row>
    <row r="210" spans="1:8" x14ac:dyDescent="0.3">
      <c r="A210" t="s">
        <v>89</v>
      </c>
      <c r="B210">
        <v>2015</v>
      </c>
      <c r="C210" t="s">
        <v>307</v>
      </c>
      <c r="D210" t="s">
        <v>308</v>
      </c>
      <c r="E210" t="s">
        <v>65</v>
      </c>
      <c r="F210">
        <v>3348</v>
      </c>
      <c r="G210" t="s">
        <v>66</v>
      </c>
      <c r="H210">
        <v>1</v>
      </c>
    </row>
    <row r="211" spans="1:8" x14ac:dyDescent="0.3">
      <c r="A211" t="s">
        <v>89</v>
      </c>
      <c r="B211">
        <v>2018</v>
      </c>
      <c r="C211" t="s">
        <v>307</v>
      </c>
      <c r="D211" t="s">
        <v>308</v>
      </c>
      <c r="E211" t="s">
        <v>65</v>
      </c>
      <c r="F211">
        <v>3348</v>
      </c>
      <c r="G211" t="s">
        <v>66</v>
      </c>
      <c r="H211">
        <v>2</v>
      </c>
    </row>
    <row r="212" spans="1:8" x14ac:dyDescent="0.3">
      <c r="A212" t="s">
        <v>89</v>
      </c>
      <c r="B212">
        <v>2019</v>
      </c>
      <c r="C212" t="s">
        <v>307</v>
      </c>
      <c r="D212" t="s">
        <v>308</v>
      </c>
      <c r="E212" t="s">
        <v>65</v>
      </c>
      <c r="F212">
        <v>3348</v>
      </c>
      <c r="G212" t="s">
        <v>66</v>
      </c>
      <c r="H212">
        <v>7</v>
      </c>
    </row>
    <row r="213" spans="1:8" x14ac:dyDescent="0.3">
      <c r="A213" t="s">
        <v>89</v>
      </c>
      <c r="B213">
        <v>2020</v>
      </c>
      <c r="C213" t="s">
        <v>307</v>
      </c>
      <c r="D213" t="s">
        <v>308</v>
      </c>
      <c r="E213" t="s">
        <v>65</v>
      </c>
      <c r="F213">
        <v>3348</v>
      </c>
      <c r="G213" t="s">
        <v>66</v>
      </c>
      <c r="H213">
        <v>4</v>
      </c>
    </row>
    <row r="214" spans="1:8" x14ac:dyDescent="0.3">
      <c r="A214" t="s">
        <v>89</v>
      </c>
      <c r="B214">
        <v>2021</v>
      </c>
      <c r="C214" t="s">
        <v>307</v>
      </c>
      <c r="D214" t="s">
        <v>308</v>
      </c>
      <c r="E214" t="s">
        <v>65</v>
      </c>
      <c r="F214">
        <v>3348</v>
      </c>
      <c r="G214" t="s">
        <v>66</v>
      </c>
      <c r="H214">
        <v>4</v>
      </c>
    </row>
    <row r="215" spans="1:8" x14ac:dyDescent="0.3">
      <c r="A215" t="s">
        <v>187</v>
      </c>
      <c r="B215">
        <v>2015</v>
      </c>
      <c r="C215" t="s">
        <v>307</v>
      </c>
      <c r="D215" t="s">
        <v>308</v>
      </c>
      <c r="E215" t="s">
        <v>65</v>
      </c>
      <c r="F215">
        <v>3350</v>
      </c>
      <c r="G215" t="s">
        <v>66</v>
      </c>
      <c r="H215">
        <v>2</v>
      </c>
    </row>
    <row r="216" spans="1:8" x14ac:dyDescent="0.3">
      <c r="A216" t="s">
        <v>187</v>
      </c>
      <c r="B216">
        <v>2017</v>
      </c>
      <c r="C216" t="s">
        <v>307</v>
      </c>
      <c r="D216" t="s">
        <v>308</v>
      </c>
      <c r="E216" t="s">
        <v>65</v>
      </c>
      <c r="F216">
        <v>3350</v>
      </c>
      <c r="G216" t="s">
        <v>66</v>
      </c>
      <c r="H216">
        <v>1</v>
      </c>
    </row>
    <row r="217" spans="1:8" x14ac:dyDescent="0.3">
      <c r="A217" t="s">
        <v>187</v>
      </c>
      <c r="B217">
        <v>2019</v>
      </c>
      <c r="C217" t="s">
        <v>307</v>
      </c>
      <c r="D217" t="s">
        <v>308</v>
      </c>
      <c r="E217" t="s">
        <v>65</v>
      </c>
      <c r="F217">
        <v>3350</v>
      </c>
      <c r="G217" t="s">
        <v>66</v>
      </c>
      <c r="H217">
        <v>4</v>
      </c>
    </row>
    <row r="218" spans="1:8" x14ac:dyDescent="0.3">
      <c r="A218" t="s">
        <v>187</v>
      </c>
      <c r="B218">
        <v>2020</v>
      </c>
      <c r="C218" t="s">
        <v>307</v>
      </c>
      <c r="D218" t="s">
        <v>308</v>
      </c>
      <c r="E218" t="s">
        <v>65</v>
      </c>
      <c r="F218">
        <v>3350</v>
      </c>
      <c r="G218" t="s">
        <v>66</v>
      </c>
      <c r="H218">
        <v>3</v>
      </c>
    </row>
    <row r="219" spans="1:8" x14ac:dyDescent="0.3">
      <c r="A219" t="s">
        <v>187</v>
      </c>
      <c r="B219">
        <v>2021</v>
      </c>
      <c r="C219" t="s">
        <v>307</v>
      </c>
      <c r="D219" t="s">
        <v>308</v>
      </c>
      <c r="E219" t="s">
        <v>65</v>
      </c>
      <c r="F219">
        <v>3350</v>
      </c>
      <c r="G219" t="s">
        <v>66</v>
      </c>
      <c r="H219">
        <v>4</v>
      </c>
    </row>
    <row r="220" spans="1:8" x14ac:dyDescent="0.3">
      <c r="A220" t="s">
        <v>90</v>
      </c>
      <c r="B220">
        <v>2014</v>
      </c>
      <c r="C220" t="s">
        <v>307</v>
      </c>
      <c r="D220" t="s">
        <v>308</v>
      </c>
      <c r="E220" t="s">
        <v>65</v>
      </c>
      <c r="F220">
        <v>3600</v>
      </c>
      <c r="G220" t="s">
        <v>66</v>
      </c>
      <c r="H220">
        <v>8</v>
      </c>
    </row>
    <row r="221" spans="1:8" x14ac:dyDescent="0.3">
      <c r="A221" t="s">
        <v>90</v>
      </c>
      <c r="B221">
        <v>2015</v>
      </c>
      <c r="C221" t="s">
        <v>307</v>
      </c>
      <c r="D221" t="s">
        <v>308</v>
      </c>
      <c r="E221" t="s">
        <v>65</v>
      </c>
      <c r="F221">
        <v>3600</v>
      </c>
      <c r="G221" t="s">
        <v>66</v>
      </c>
      <c r="H221">
        <v>8</v>
      </c>
    </row>
    <row r="222" spans="1:8" x14ac:dyDescent="0.3">
      <c r="A222" t="s">
        <v>90</v>
      </c>
      <c r="B222">
        <v>2016</v>
      </c>
      <c r="C222" t="s">
        <v>307</v>
      </c>
      <c r="D222" t="s">
        <v>308</v>
      </c>
      <c r="E222" t="s">
        <v>65</v>
      </c>
      <c r="F222">
        <v>3600</v>
      </c>
      <c r="G222" t="s">
        <v>66</v>
      </c>
      <c r="H222">
        <v>9</v>
      </c>
    </row>
    <row r="223" spans="1:8" x14ac:dyDescent="0.3">
      <c r="A223" t="s">
        <v>90</v>
      </c>
      <c r="B223">
        <v>2017</v>
      </c>
      <c r="C223" t="s">
        <v>307</v>
      </c>
      <c r="D223" t="s">
        <v>308</v>
      </c>
      <c r="E223" t="s">
        <v>65</v>
      </c>
      <c r="F223">
        <v>3600</v>
      </c>
      <c r="G223" t="s">
        <v>66</v>
      </c>
      <c r="H223">
        <v>15</v>
      </c>
    </row>
    <row r="224" spans="1:8" x14ac:dyDescent="0.3">
      <c r="A224" t="s">
        <v>90</v>
      </c>
      <c r="B224">
        <v>2018</v>
      </c>
      <c r="C224" t="s">
        <v>307</v>
      </c>
      <c r="D224" t="s">
        <v>308</v>
      </c>
      <c r="E224" t="s">
        <v>65</v>
      </c>
      <c r="F224">
        <v>3600</v>
      </c>
      <c r="G224" t="s">
        <v>66</v>
      </c>
      <c r="H224">
        <v>19</v>
      </c>
    </row>
    <row r="225" spans="1:8" x14ac:dyDescent="0.3">
      <c r="A225" t="s">
        <v>90</v>
      </c>
      <c r="B225">
        <v>2019</v>
      </c>
      <c r="C225" t="s">
        <v>307</v>
      </c>
      <c r="D225" t="s">
        <v>308</v>
      </c>
      <c r="E225" t="s">
        <v>65</v>
      </c>
      <c r="F225">
        <v>3600</v>
      </c>
      <c r="G225" t="s">
        <v>66</v>
      </c>
      <c r="H225">
        <v>40</v>
      </c>
    </row>
    <row r="226" spans="1:8" x14ac:dyDescent="0.3">
      <c r="A226" t="s">
        <v>90</v>
      </c>
      <c r="B226">
        <v>2020</v>
      </c>
      <c r="C226" t="s">
        <v>307</v>
      </c>
      <c r="D226" t="s">
        <v>308</v>
      </c>
      <c r="E226" t="s">
        <v>65</v>
      </c>
      <c r="F226">
        <v>3600</v>
      </c>
      <c r="G226" t="s">
        <v>66</v>
      </c>
      <c r="H226">
        <v>16</v>
      </c>
    </row>
    <row r="227" spans="1:8" x14ac:dyDescent="0.3">
      <c r="A227" t="s">
        <v>90</v>
      </c>
      <c r="B227">
        <v>2021</v>
      </c>
      <c r="C227" t="s">
        <v>307</v>
      </c>
      <c r="D227" t="s">
        <v>308</v>
      </c>
      <c r="E227" t="s">
        <v>65</v>
      </c>
      <c r="F227">
        <v>3600</v>
      </c>
      <c r="G227" t="s">
        <v>66</v>
      </c>
      <c r="H227">
        <v>12</v>
      </c>
    </row>
    <row r="228" spans="1:8" x14ac:dyDescent="0.3">
      <c r="A228" t="s">
        <v>91</v>
      </c>
      <c r="B228">
        <v>2014</v>
      </c>
      <c r="C228" t="s">
        <v>307</v>
      </c>
      <c r="D228" t="s">
        <v>308</v>
      </c>
      <c r="E228" t="s">
        <v>65</v>
      </c>
      <c r="F228">
        <v>7800</v>
      </c>
      <c r="G228" t="s">
        <v>66</v>
      </c>
      <c r="H228">
        <v>115</v>
      </c>
    </row>
    <row r="229" spans="1:8" x14ac:dyDescent="0.3">
      <c r="A229" t="s">
        <v>91</v>
      </c>
      <c r="B229">
        <v>2015</v>
      </c>
      <c r="C229" t="s">
        <v>307</v>
      </c>
      <c r="D229" t="s">
        <v>308</v>
      </c>
      <c r="E229" t="s">
        <v>65</v>
      </c>
      <c r="F229">
        <v>7800</v>
      </c>
      <c r="G229" t="s">
        <v>66</v>
      </c>
      <c r="H229">
        <v>252</v>
      </c>
    </row>
    <row r="230" spans="1:8" x14ac:dyDescent="0.3">
      <c r="A230" t="s">
        <v>91</v>
      </c>
      <c r="B230">
        <v>2016</v>
      </c>
      <c r="C230" t="s">
        <v>307</v>
      </c>
      <c r="D230" t="s">
        <v>308</v>
      </c>
      <c r="E230" t="s">
        <v>65</v>
      </c>
      <c r="F230">
        <v>7800</v>
      </c>
      <c r="G230" t="s">
        <v>66</v>
      </c>
      <c r="H230">
        <v>44</v>
      </c>
    </row>
    <row r="231" spans="1:8" x14ac:dyDescent="0.3">
      <c r="A231" t="s">
        <v>91</v>
      </c>
      <c r="B231">
        <v>2017</v>
      </c>
      <c r="C231" t="s">
        <v>307</v>
      </c>
      <c r="D231" t="s">
        <v>308</v>
      </c>
      <c r="E231" t="s">
        <v>65</v>
      </c>
      <c r="F231">
        <v>7800</v>
      </c>
      <c r="G231" t="s">
        <v>66</v>
      </c>
      <c r="H231">
        <v>4</v>
      </c>
    </row>
    <row r="232" spans="1:8" x14ac:dyDescent="0.3">
      <c r="A232" t="s">
        <v>91</v>
      </c>
      <c r="B232">
        <v>2018</v>
      </c>
      <c r="C232" t="s">
        <v>307</v>
      </c>
      <c r="D232" t="s">
        <v>308</v>
      </c>
      <c r="E232" t="s">
        <v>65</v>
      </c>
      <c r="F232">
        <v>7800</v>
      </c>
      <c r="G232" t="s">
        <v>66</v>
      </c>
      <c r="H232">
        <v>7</v>
      </c>
    </row>
    <row r="233" spans="1:8" x14ac:dyDescent="0.3">
      <c r="A233" t="s">
        <v>91</v>
      </c>
      <c r="B233">
        <v>2019</v>
      </c>
      <c r="C233" t="s">
        <v>307</v>
      </c>
      <c r="D233" t="s">
        <v>308</v>
      </c>
      <c r="E233" t="s">
        <v>65</v>
      </c>
      <c r="F233">
        <v>7800</v>
      </c>
      <c r="G233" t="s">
        <v>66</v>
      </c>
      <c r="H233">
        <v>3</v>
      </c>
    </row>
    <row r="234" spans="1:8" x14ac:dyDescent="0.3">
      <c r="A234" t="s">
        <v>91</v>
      </c>
      <c r="B234">
        <v>2021</v>
      </c>
      <c r="C234" t="s">
        <v>307</v>
      </c>
      <c r="D234" t="s">
        <v>308</v>
      </c>
      <c r="E234" t="s">
        <v>65</v>
      </c>
      <c r="F234">
        <v>7800</v>
      </c>
      <c r="G234" t="s">
        <v>66</v>
      </c>
      <c r="H234">
        <v>1</v>
      </c>
    </row>
    <row r="235" spans="1:8" x14ac:dyDescent="0.3">
      <c r="A235" t="s">
        <v>92</v>
      </c>
      <c r="B235">
        <v>2014</v>
      </c>
      <c r="C235" t="s">
        <v>307</v>
      </c>
      <c r="D235" t="s">
        <v>308</v>
      </c>
      <c r="E235" t="s">
        <v>65</v>
      </c>
      <c r="F235">
        <v>3100</v>
      </c>
      <c r="G235" t="s">
        <v>66</v>
      </c>
      <c r="H235">
        <v>3</v>
      </c>
    </row>
    <row r="236" spans="1:8" x14ac:dyDescent="0.3">
      <c r="A236" t="s">
        <v>92</v>
      </c>
      <c r="B236">
        <v>2015</v>
      </c>
      <c r="C236" t="s">
        <v>307</v>
      </c>
      <c r="D236" t="s">
        <v>308</v>
      </c>
      <c r="E236" t="s">
        <v>65</v>
      </c>
      <c r="F236">
        <v>3100</v>
      </c>
      <c r="G236" t="s">
        <v>66</v>
      </c>
      <c r="H236">
        <v>6</v>
      </c>
    </row>
    <row r="237" spans="1:8" x14ac:dyDescent="0.3">
      <c r="A237" t="s">
        <v>92</v>
      </c>
      <c r="B237">
        <v>2016</v>
      </c>
      <c r="C237" t="s">
        <v>307</v>
      </c>
      <c r="D237" t="s">
        <v>308</v>
      </c>
      <c r="E237" t="s">
        <v>65</v>
      </c>
      <c r="F237">
        <v>3100</v>
      </c>
      <c r="G237" t="s">
        <v>66</v>
      </c>
      <c r="H237">
        <v>8</v>
      </c>
    </row>
    <row r="238" spans="1:8" x14ac:dyDescent="0.3">
      <c r="A238" t="s">
        <v>92</v>
      </c>
      <c r="B238">
        <v>2017</v>
      </c>
      <c r="C238" t="s">
        <v>307</v>
      </c>
      <c r="D238" t="s">
        <v>308</v>
      </c>
      <c r="E238" t="s">
        <v>65</v>
      </c>
      <c r="F238">
        <v>3100</v>
      </c>
      <c r="G238" t="s">
        <v>66</v>
      </c>
      <c r="H238">
        <v>3</v>
      </c>
    </row>
    <row r="239" spans="1:8" x14ac:dyDescent="0.3">
      <c r="A239" t="s">
        <v>92</v>
      </c>
      <c r="B239">
        <v>2018</v>
      </c>
      <c r="C239" t="s">
        <v>307</v>
      </c>
      <c r="D239" t="s">
        <v>308</v>
      </c>
      <c r="E239" t="s">
        <v>65</v>
      </c>
      <c r="F239">
        <v>3100</v>
      </c>
      <c r="G239" t="s">
        <v>66</v>
      </c>
      <c r="H239">
        <v>5</v>
      </c>
    </row>
    <row r="240" spans="1:8" x14ac:dyDescent="0.3">
      <c r="A240" t="s">
        <v>92</v>
      </c>
      <c r="B240">
        <v>2019</v>
      </c>
      <c r="C240" t="s">
        <v>307</v>
      </c>
      <c r="D240" t="s">
        <v>308</v>
      </c>
      <c r="E240" t="s">
        <v>65</v>
      </c>
      <c r="F240">
        <v>3100</v>
      </c>
      <c r="G240" t="s">
        <v>66</v>
      </c>
      <c r="H240">
        <v>2</v>
      </c>
    </row>
    <row r="241" spans="1:8" x14ac:dyDescent="0.3">
      <c r="A241" t="s">
        <v>92</v>
      </c>
      <c r="B241">
        <v>2020</v>
      </c>
      <c r="C241" t="s">
        <v>307</v>
      </c>
      <c r="D241" t="s">
        <v>308</v>
      </c>
      <c r="E241" t="s">
        <v>65</v>
      </c>
      <c r="F241">
        <v>3100</v>
      </c>
      <c r="G241" t="s">
        <v>66</v>
      </c>
      <c r="H241">
        <v>3</v>
      </c>
    </row>
    <row r="242" spans="1:8" x14ac:dyDescent="0.3">
      <c r="A242" t="s">
        <v>92</v>
      </c>
      <c r="B242">
        <v>2021</v>
      </c>
      <c r="C242" t="s">
        <v>307</v>
      </c>
      <c r="D242" t="s">
        <v>308</v>
      </c>
      <c r="E242" t="s">
        <v>65</v>
      </c>
      <c r="F242">
        <v>3100</v>
      </c>
      <c r="G242" t="s">
        <v>66</v>
      </c>
      <c r="H242">
        <v>6</v>
      </c>
    </row>
    <row r="243" spans="1:8" x14ac:dyDescent="0.3">
      <c r="A243" t="s">
        <v>188</v>
      </c>
      <c r="B243">
        <v>2015</v>
      </c>
      <c r="C243" t="s">
        <v>307</v>
      </c>
      <c r="D243" t="s">
        <v>308</v>
      </c>
      <c r="E243" t="s">
        <v>65</v>
      </c>
      <c r="F243">
        <v>3600</v>
      </c>
      <c r="G243" t="s">
        <v>66</v>
      </c>
      <c r="H243">
        <v>1</v>
      </c>
    </row>
    <row r="244" spans="1:8" x14ac:dyDescent="0.3">
      <c r="A244" t="s">
        <v>188</v>
      </c>
      <c r="B244">
        <v>2016</v>
      </c>
      <c r="C244" t="s">
        <v>307</v>
      </c>
      <c r="D244" t="s">
        <v>308</v>
      </c>
      <c r="E244" t="s">
        <v>65</v>
      </c>
      <c r="F244">
        <v>3600</v>
      </c>
      <c r="G244" t="s">
        <v>66</v>
      </c>
      <c r="H244">
        <v>1</v>
      </c>
    </row>
    <row r="245" spans="1:8" x14ac:dyDescent="0.3">
      <c r="A245" t="s">
        <v>188</v>
      </c>
      <c r="B245">
        <v>2017</v>
      </c>
      <c r="C245" t="s">
        <v>307</v>
      </c>
      <c r="D245" t="s">
        <v>308</v>
      </c>
      <c r="E245" t="s">
        <v>65</v>
      </c>
      <c r="F245">
        <v>3600</v>
      </c>
      <c r="G245" t="s">
        <v>66</v>
      </c>
      <c r="H245">
        <v>1</v>
      </c>
    </row>
    <row r="246" spans="1:8" x14ac:dyDescent="0.3">
      <c r="A246" t="s">
        <v>188</v>
      </c>
      <c r="B246">
        <v>2018</v>
      </c>
      <c r="C246" t="s">
        <v>307</v>
      </c>
      <c r="D246" t="s">
        <v>308</v>
      </c>
      <c r="E246" t="s">
        <v>65</v>
      </c>
      <c r="F246">
        <v>3600</v>
      </c>
      <c r="G246" t="s">
        <v>66</v>
      </c>
      <c r="H246">
        <v>1</v>
      </c>
    </row>
    <row r="247" spans="1:8" x14ac:dyDescent="0.3">
      <c r="A247" t="s">
        <v>188</v>
      </c>
      <c r="B247">
        <v>2019</v>
      </c>
      <c r="C247" t="s">
        <v>307</v>
      </c>
      <c r="D247" t="s">
        <v>308</v>
      </c>
      <c r="E247" t="s">
        <v>65</v>
      </c>
      <c r="F247">
        <v>3600</v>
      </c>
      <c r="G247" t="s">
        <v>66</v>
      </c>
      <c r="H247">
        <v>3</v>
      </c>
    </row>
    <row r="248" spans="1:8" x14ac:dyDescent="0.3">
      <c r="A248" t="s">
        <v>188</v>
      </c>
      <c r="B248">
        <v>2020</v>
      </c>
      <c r="C248" t="s">
        <v>307</v>
      </c>
      <c r="D248" t="s">
        <v>308</v>
      </c>
      <c r="E248" t="s">
        <v>65</v>
      </c>
      <c r="F248">
        <v>3600</v>
      </c>
      <c r="G248" t="s">
        <v>66</v>
      </c>
      <c r="H248">
        <v>1</v>
      </c>
    </row>
    <row r="249" spans="1:8" x14ac:dyDescent="0.3">
      <c r="A249" t="s">
        <v>93</v>
      </c>
      <c r="B249">
        <v>2014</v>
      </c>
      <c r="C249" t="s">
        <v>307</v>
      </c>
      <c r="D249" t="s">
        <v>308</v>
      </c>
      <c r="E249" t="s">
        <v>65</v>
      </c>
      <c r="F249">
        <v>12125</v>
      </c>
      <c r="G249" t="s">
        <v>66</v>
      </c>
      <c r="H249">
        <v>8</v>
      </c>
    </row>
    <row r="250" spans="1:8" x14ac:dyDescent="0.3">
      <c r="A250" t="s">
        <v>93</v>
      </c>
      <c r="B250">
        <v>2015</v>
      </c>
      <c r="C250" t="s">
        <v>307</v>
      </c>
      <c r="D250" t="s">
        <v>308</v>
      </c>
      <c r="E250" t="s">
        <v>65</v>
      </c>
      <c r="F250">
        <v>12125</v>
      </c>
      <c r="G250" t="s">
        <v>66</v>
      </c>
      <c r="H250">
        <v>16</v>
      </c>
    </row>
    <row r="251" spans="1:8" x14ac:dyDescent="0.3">
      <c r="A251" t="s">
        <v>93</v>
      </c>
      <c r="B251">
        <v>2016</v>
      </c>
      <c r="C251" t="s">
        <v>307</v>
      </c>
      <c r="D251" t="s">
        <v>308</v>
      </c>
      <c r="E251" t="s">
        <v>65</v>
      </c>
      <c r="F251">
        <v>12125</v>
      </c>
      <c r="G251" t="s">
        <v>66</v>
      </c>
      <c r="H251">
        <v>13</v>
      </c>
    </row>
    <row r="252" spans="1:8" x14ac:dyDescent="0.3">
      <c r="A252" t="s">
        <v>93</v>
      </c>
      <c r="B252">
        <v>2017</v>
      </c>
      <c r="C252" t="s">
        <v>307</v>
      </c>
      <c r="D252" t="s">
        <v>308</v>
      </c>
      <c r="E252" t="s">
        <v>65</v>
      </c>
      <c r="F252">
        <v>12125</v>
      </c>
      <c r="G252" t="s">
        <v>66</v>
      </c>
      <c r="H252">
        <v>15</v>
      </c>
    </row>
    <row r="253" spans="1:8" x14ac:dyDescent="0.3">
      <c r="A253" t="s">
        <v>93</v>
      </c>
      <c r="B253">
        <v>2018</v>
      </c>
      <c r="C253" t="s">
        <v>307</v>
      </c>
      <c r="D253" t="s">
        <v>308</v>
      </c>
      <c r="E253" t="s">
        <v>65</v>
      </c>
      <c r="F253">
        <v>12125</v>
      </c>
      <c r="G253" t="s">
        <v>66</v>
      </c>
      <c r="H253">
        <v>20</v>
      </c>
    </row>
    <row r="254" spans="1:8" x14ac:dyDescent="0.3">
      <c r="A254" t="s">
        <v>93</v>
      </c>
      <c r="B254">
        <v>2019</v>
      </c>
      <c r="C254" t="s">
        <v>307</v>
      </c>
      <c r="D254" t="s">
        <v>308</v>
      </c>
      <c r="E254" t="s">
        <v>65</v>
      </c>
      <c r="F254">
        <v>12125</v>
      </c>
      <c r="G254" t="s">
        <v>66</v>
      </c>
      <c r="H254">
        <v>15</v>
      </c>
    </row>
    <row r="255" spans="1:8" x14ac:dyDescent="0.3">
      <c r="A255" t="s">
        <v>93</v>
      </c>
      <c r="B255">
        <v>2020</v>
      </c>
      <c r="C255" t="s">
        <v>307</v>
      </c>
      <c r="D255" t="s">
        <v>308</v>
      </c>
      <c r="E255" t="s">
        <v>65</v>
      </c>
      <c r="F255">
        <v>12125</v>
      </c>
      <c r="G255" t="s">
        <v>66</v>
      </c>
      <c r="H255">
        <v>24</v>
      </c>
    </row>
    <row r="256" spans="1:8" x14ac:dyDescent="0.3">
      <c r="A256" t="s">
        <v>93</v>
      </c>
      <c r="B256">
        <v>2021</v>
      </c>
      <c r="C256" t="s">
        <v>307</v>
      </c>
      <c r="D256" t="s">
        <v>308</v>
      </c>
      <c r="E256" t="s">
        <v>65</v>
      </c>
      <c r="F256">
        <v>12125</v>
      </c>
      <c r="G256" t="s">
        <v>66</v>
      </c>
      <c r="H256">
        <v>13</v>
      </c>
    </row>
    <row r="257" spans="1:8" x14ac:dyDescent="0.3">
      <c r="A257" t="s">
        <v>94</v>
      </c>
      <c r="B257">
        <v>2015</v>
      </c>
      <c r="C257" t="s">
        <v>307</v>
      </c>
      <c r="D257" t="s">
        <v>308</v>
      </c>
      <c r="E257" t="s">
        <v>65</v>
      </c>
      <c r="F257">
        <v>13870</v>
      </c>
      <c r="G257" t="s">
        <v>66</v>
      </c>
      <c r="H257">
        <v>16</v>
      </c>
    </row>
    <row r="258" spans="1:8" x14ac:dyDescent="0.3">
      <c r="A258" t="s">
        <v>94</v>
      </c>
      <c r="B258">
        <v>2016</v>
      </c>
      <c r="C258" t="s">
        <v>307</v>
      </c>
      <c r="D258" t="s">
        <v>308</v>
      </c>
      <c r="E258" t="s">
        <v>65</v>
      </c>
      <c r="F258">
        <v>13870</v>
      </c>
      <c r="G258" t="s">
        <v>66</v>
      </c>
      <c r="H258">
        <v>16</v>
      </c>
    </row>
    <row r="259" spans="1:8" x14ac:dyDescent="0.3">
      <c r="A259" t="s">
        <v>94</v>
      </c>
      <c r="B259">
        <v>2017</v>
      </c>
      <c r="C259" t="s">
        <v>307</v>
      </c>
      <c r="D259" t="s">
        <v>308</v>
      </c>
      <c r="E259" t="s">
        <v>65</v>
      </c>
      <c r="F259">
        <v>13870</v>
      </c>
      <c r="G259" t="s">
        <v>66</v>
      </c>
      <c r="H259">
        <v>23</v>
      </c>
    </row>
    <row r="260" spans="1:8" x14ac:dyDescent="0.3">
      <c r="A260" t="s">
        <v>94</v>
      </c>
      <c r="B260">
        <v>2018</v>
      </c>
      <c r="C260" t="s">
        <v>307</v>
      </c>
      <c r="D260" t="s">
        <v>308</v>
      </c>
      <c r="E260" t="s">
        <v>65</v>
      </c>
      <c r="F260">
        <v>13870</v>
      </c>
      <c r="G260" t="s">
        <v>66</v>
      </c>
      <c r="H260">
        <v>53</v>
      </c>
    </row>
    <row r="261" spans="1:8" x14ac:dyDescent="0.3">
      <c r="A261" t="s">
        <v>94</v>
      </c>
      <c r="B261">
        <v>2019</v>
      </c>
      <c r="C261" t="s">
        <v>307</v>
      </c>
      <c r="D261" t="s">
        <v>308</v>
      </c>
      <c r="E261" t="s">
        <v>65</v>
      </c>
      <c r="F261">
        <v>13870</v>
      </c>
      <c r="G261" t="s">
        <v>66</v>
      </c>
      <c r="H261">
        <v>69</v>
      </c>
    </row>
    <row r="262" spans="1:8" x14ac:dyDescent="0.3">
      <c r="A262" t="s">
        <v>94</v>
      </c>
      <c r="B262">
        <v>2020</v>
      </c>
      <c r="C262" t="s">
        <v>307</v>
      </c>
      <c r="D262" t="s">
        <v>308</v>
      </c>
      <c r="E262" t="s">
        <v>65</v>
      </c>
      <c r="F262">
        <v>13870</v>
      </c>
      <c r="G262" t="s">
        <v>66</v>
      </c>
      <c r="H262">
        <v>26</v>
      </c>
    </row>
    <row r="263" spans="1:8" x14ac:dyDescent="0.3">
      <c r="A263" t="s">
        <v>94</v>
      </c>
      <c r="B263">
        <v>2021</v>
      </c>
      <c r="C263" t="s">
        <v>307</v>
      </c>
      <c r="D263" t="s">
        <v>308</v>
      </c>
      <c r="E263" t="s">
        <v>65</v>
      </c>
      <c r="F263">
        <v>13870</v>
      </c>
      <c r="G263" t="s">
        <v>66</v>
      </c>
      <c r="H263">
        <v>32</v>
      </c>
    </row>
    <row r="264" spans="1:8" x14ac:dyDescent="0.3">
      <c r="A264" t="s">
        <v>189</v>
      </c>
      <c r="B264">
        <v>2014</v>
      </c>
      <c r="C264" t="s">
        <v>307</v>
      </c>
      <c r="D264" t="s">
        <v>308</v>
      </c>
      <c r="E264" t="s">
        <v>65</v>
      </c>
      <c r="F264">
        <v>10361</v>
      </c>
      <c r="G264" t="s">
        <v>66</v>
      </c>
      <c r="H264">
        <v>2</v>
      </c>
    </row>
    <row r="265" spans="1:8" x14ac:dyDescent="0.3">
      <c r="A265" t="s">
        <v>189</v>
      </c>
      <c r="B265">
        <v>2015</v>
      </c>
      <c r="C265" t="s">
        <v>307</v>
      </c>
      <c r="D265" t="s">
        <v>308</v>
      </c>
      <c r="E265" t="s">
        <v>65</v>
      </c>
      <c r="F265">
        <v>10361</v>
      </c>
      <c r="G265" t="s">
        <v>66</v>
      </c>
      <c r="H265">
        <v>1</v>
      </c>
    </row>
    <row r="266" spans="1:8" x14ac:dyDescent="0.3">
      <c r="A266" t="s">
        <v>189</v>
      </c>
      <c r="B266">
        <v>2016</v>
      </c>
      <c r="C266" t="s">
        <v>307</v>
      </c>
      <c r="D266" t="s">
        <v>308</v>
      </c>
      <c r="E266" t="s">
        <v>65</v>
      </c>
      <c r="F266">
        <v>10361</v>
      </c>
      <c r="G266" t="s">
        <v>66</v>
      </c>
      <c r="H266">
        <v>5</v>
      </c>
    </row>
    <row r="267" spans="1:8" x14ac:dyDescent="0.3">
      <c r="A267" t="s">
        <v>189</v>
      </c>
      <c r="B267">
        <v>2017</v>
      </c>
      <c r="C267" t="s">
        <v>307</v>
      </c>
      <c r="D267" t="s">
        <v>308</v>
      </c>
      <c r="E267" t="s">
        <v>65</v>
      </c>
      <c r="F267">
        <v>10361</v>
      </c>
      <c r="G267" t="s">
        <v>66</v>
      </c>
      <c r="H267">
        <v>8</v>
      </c>
    </row>
    <row r="268" spans="1:8" x14ac:dyDescent="0.3">
      <c r="A268" t="s">
        <v>189</v>
      </c>
      <c r="B268">
        <v>2018</v>
      </c>
      <c r="C268" t="s">
        <v>307</v>
      </c>
      <c r="D268" t="s">
        <v>308</v>
      </c>
      <c r="E268" t="s">
        <v>65</v>
      </c>
      <c r="F268">
        <v>10361</v>
      </c>
      <c r="G268" t="s">
        <v>66</v>
      </c>
      <c r="H268">
        <v>39</v>
      </c>
    </row>
    <row r="269" spans="1:8" x14ac:dyDescent="0.3">
      <c r="A269" t="s">
        <v>189</v>
      </c>
      <c r="B269">
        <v>2019</v>
      </c>
      <c r="C269" t="s">
        <v>307</v>
      </c>
      <c r="D269" t="s">
        <v>308</v>
      </c>
      <c r="E269" t="s">
        <v>65</v>
      </c>
      <c r="F269">
        <v>10361</v>
      </c>
      <c r="G269" t="s">
        <v>66</v>
      </c>
      <c r="H269">
        <v>5</v>
      </c>
    </row>
    <row r="270" spans="1:8" x14ac:dyDescent="0.3">
      <c r="A270" t="s">
        <v>189</v>
      </c>
      <c r="B270">
        <v>2020</v>
      </c>
      <c r="C270" t="s">
        <v>307</v>
      </c>
      <c r="D270" t="s">
        <v>308</v>
      </c>
      <c r="E270" t="s">
        <v>65</v>
      </c>
      <c r="F270">
        <v>10361</v>
      </c>
      <c r="G270" t="s">
        <v>66</v>
      </c>
      <c r="H270">
        <v>3</v>
      </c>
    </row>
    <row r="271" spans="1:8" x14ac:dyDescent="0.3">
      <c r="A271" t="s">
        <v>189</v>
      </c>
      <c r="B271">
        <v>2021</v>
      </c>
      <c r="C271" t="s">
        <v>307</v>
      </c>
      <c r="D271" t="s">
        <v>308</v>
      </c>
      <c r="E271" t="s">
        <v>65</v>
      </c>
      <c r="F271">
        <v>10361</v>
      </c>
      <c r="G271" t="s">
        <v>66</v>
      </c>
      <c r="H271">
        <v>6</v>
      </c>
    </row>
    <row r="272" spans="1:8" x14ac:dyDescent="0.3">
      <c r="A272" t="s">
        <v>95</v>
      </c>
      <c r="B272">
        <v>2016</v>
      </c>
      <c r="C272" t="s">
        <v>307</v>
      </c>
      <c r="D272" t="s">
        <v>308</v>
      </c>
      <c r="E272" t="s">
        <v>65</v>
      </c>
      <c r="F272">
        <v>13870</v>
      </c>
      <c r="G272" t="s">
        <v>66</v>
      </c>
      <c r="H272">
        <v>5</v>
      </c>
    </row>
    <row r="273" spans="1:8" x14ac:dyDescent="0.3">
      <c r="A273" t="s">
        <v>95</v>
      </c>
      <c r="B273">
        <v>2017</v>
      </c>
      <c r="C273" t="s">
        <v>307</v>
      </c>
      <c r="D273" t="s">
        <v>308</v>
      </c>
      <c r="E273" t="s">
        <v>65</v>
      </c>
      <c r="F273">
        <v>13870</v>
      </c>
      <c r="G273" t="s">
        <v>66</v>
      </c>
      <c r="H273">
        <v>7</v>
      </c>
    </row>
    <row r="274" spans="1:8" x14ac:dyDescent="0.3">
      <c r="A274" t="s">
        <v>95</v>
      </c>
      <c r="B274">
        <v>2018</v>
      </c>
      <c r="C274" t="s">
        <v>307</v>
      </c>
      <c r="D274" t="s">
        <v>308</v>
      </c>
      <c r="E274" t="s">
        <v>65</v>
      </c>
      <c r="F274">
        <v>13870</v>
      </c>
      <c r="G274" t="s">
        <v>66</v>
      </c>
      <c r="H274">
        <v>9</v>
      </c>
    </row>
    <row r="275" spans="1:8" x14ac:dyDescent="0.3">
      <c r="A275" t="s">
        <v>95</v>
      </c>
      <c r="B275">
        <v>2019</v>
      </c>
      <c r="C275" t="s">
        <v>307</v>
      </c>
      <c r="D275" t="s">
        <v>308</v>
      </c>
      <c r="E275" t="s">
        <v>65</v>
      </c>
      <c r="F275">
        <v>13870</v>
      </c>
      <c r="G275" t="s">
        <v>66</v>
      </c>
      <c r="H275">
        <v>11</v>
      </c>
    </row>
    <row r="276" spans="1:8" x14ac:dyDescent="0.3">
      <c r="A276" t="s">
        <v>95</v>
      </c>
      <c r="B276">
        <v>2020</v>
      </c>
      <c r="C276" t="s">
        <v>307</v>
      </c>
      <c r="D276" t="s">
        <v>308</v>
      </c>
      <c r="E276" t="s">
        <v>65</v>
      </c>
      <c r="F276">
        <v>13870</v>
      </c>
      <c r="G276" t="s">
        <v>66</v>
      </c>
      <c r="H276">
        <v>9</v>
      </c>
    </row>
    <row r="277" spans="1:8" x14ac:dyDescent="0.3">
      <c r="A277" t="s">
        <v>95</v>
      </c>
      <c r="B277">
        <v>2021</v>
      </c>
      <c r="C277" t="s">
        <v>307</v>
      </c>
      <c r="D277" t="s">
        <v>308</v>
      </c>
      <c r="E277" t="s">
        <v>65</v>
      </c>
      <c r="F277">
        <v>13870</v>
      </c>
      <c r="G277" t="s">
        <v>66</v>
      </c>
      <c r="H277">
        <v>2</v>
      </c>
    </row>
    <row r="278" spans="1:8" x14ac:dyDescent="0.3">
      <c r="A278" t="s">
        <v>96</v>
      </c>
      <c r="B278">
        <v>2014</v>
      </c>
      <c r="C278" t="s">
        <v>307</v>
      </c>
      <c r="D278" t="s">
        <v>308</v>
      </c>
      <c r="E278" t="s">
        <v>65</v>
      </c>
      <c r="F278">
        <v>4600</v>
      </c>
      <c r="G278" t="s">
        <v>66</v>
      </c>
      <c r="H278">
        <v>21</v>
      </c>
    </row>
    <row r="279" spans="1:8" x14ac:dyDescent="0.3">
      <c r="A279" t="s">
        <v>96</v>
      </c>
      <c r="B279">
        <v>2015</v>
      </c>
      <c r="C279" t="s">
        <v>307</v>
      </c>
      <c r="D279" t="s">
        <v>308</v>
      </c>
      <c r="E279" t="s">
        <v>65</v>
      </c>
      <c r="F279">
        <v>4600</v>
      </c>
      <c r="G279" t="s">
        <v>66</v>
      </c>
      <c r="H279">
        <v>42</v>
      </c>
    </row>
    <row r="280" spans="1:8" x14ac:dyDescent="0.3">
      <c r="A280" t="s">
        <v>96</v>
      </c>
      <c r="B280">
        <v>2016</v>
      </c>
      <c r="C280" t="s">
        <v>307</v>
      </c>
      <c r="D280" t="s">
        <v>308</v>
      </c>
      <c r="E280" t="s">
        <v>65</v>
      </c>
      <c r="F280">
        <v>4600</v>
      </c>
      <c r="G280" t="s">
        <v>66</v>
      </c>
      <c r="H280">
        <v>26</v>
      </c>
    </row>
    <row r="281" spans="1:8" x14ac:dyDescent="0.3">
      <c r="A281" t="s">
        <v>96</v>
      </c>
      <c r="B281">
        <v>2017</v>
      </c>
      <c r="C281" t="s">
        <v>307</v>
      </c>
      <c r="D281" t="s">
        <v>308</v>
      </c>
      <c r="E281" t="s">
        <v>65</v>
      </c>
      <c r="F281">
        <v>4600</v>
      </c>
      <c r="G281" t="s">
        <v>66</v>
      </c>
      <c r="H281">
        <v>14</v>
      </c>
    </row>
    <row r="282" spans="1:8" x14ac:dyDescent="0.3">
      <c r="A282" t="s">
        <v>96</v>
      </c>
      <c r="B282">
        <v>2018</v>
      </c>
      <c r="C282" t="s">
        <v>307</v>
      </c>
      <c r="D282" t="s">
        <v>308</v>
      </c>
      <c r="E282" t="s">
        <v>65</v>
      </c>
      <c r="F282">
        <v>4600</v>
      </c>
      <c r="G282" t="s">
        <v>66</v>
      </c>
      <c r="H282">
        <v>6</v>
      </c>
    </row>
    <row r="283" spans="1:8" x14ac:dyDescent="0.3">
      <c r="A283" t="s">
        <v>96</v>
      </c>
      <c r="B283">
        <v>2019</v>
      </c>
      <c r="C283" t="s">
        <v>307</v>
      </c>
      <c r="D283" t="s">
        <v>308</v>
      </c>
      <c r="E283" t="s">
        <v>65</v>
      </c>
      <c r="F283">
        <v>4600</v>
      </c>
      <c r="G283" t="s">
        <v>66</v>
      </c>
      <c r="H283">
        <v>7</v>
      </c>
    </row>
    <row r="284" spans="1:8" x14ac:dyDescent="0.3">
      <c r="A284" t="s">
        <v>96</v>
      </c>
      <c r="B284">
        <v>2020</v>
      </c>
      <c r="C284" t="s">
        <v>307</v>
      </c>
      <c r="D284" t="s">
        <v>308</v>
      </c>
      <c r="E284" t="s">
        <v>65</v>
      </c>
      <c r="F284">
        <v>4600</v>
      </c>
      <c r="G284" t="s">
        <v>66</v>
      </c>
      <c r="H284">
        <v>17</v>
      </c>
    </row>
    <row r="285" spans="1:8" x14ac:dyDescent="0.3">
      <c r="A285" t="s">
        <v>96</v>
      </c>
      <c r="B285">
        <v>2021</v>
      </c>
      <c r="C285" t="s">
        <v>307</v>
      </c>
      <c r="D285" t="s">
        <v>308</v>
      </c>
      <c r="E285" t="s">
        <v>65</v>
      </c>
      <c r="F285">
        <v>4600</v>
      </c>
      <c r="G285" t="s">
        <v>66</v>
      </c>
      <c r="H285">
        <v>5</v>
      </c>
    </row>
    <row r="286" spans="1:8" x14ac:dyDescent="0.3">
      <c r="A286" t="s">
        <v>191</v>
      </c>
      <c r="B286">
        <v>2014</v>
      </c>
      <c r="C286" t="s">
        <v>307</v>
      </c>
      <c r="D286" t="s">
        <v>308</v>
      </c>
      <c r="E286" t="s">
        <v>65</v>
      </c>
      <c r="F286">
        <v>5990</v>
      </c>
      <c r="G286" t="s">
        <v>66</v>
      </c>
      <c r="H286">
        <v>18</v>
      </c>
    </row>
    <row r="287" spans="1:8" x14ac:dyDescent="0.3">
      <c r="A287" t="s">
        <v>191</v>
      </c>
      <c r="B287">
        <v>2015</v>
      </c>
      <c r="C287" t="s">
        <v>307</v>
      </c>
      <c r="D287" t="s">
        <v>308</v>
      </c>
      <c r="E287" t="s">
        <v>65</v>
      </c>
      <c r="F287">
        <v>5990</v>
      </c>
      <c r="G287" t="s">
        <v>66</v>
      </c>
      <c r="H287">
        <v>3</v>
      </c>
    </row>
    <row r="288" spans="1:8" x14ac:dyDescent="0.3">
      <c r="A288" t="s">
        <v>192</v>
      </c>
      <c r="B288">
        <v>2016</v>
      </c>
      <c r="C288" t="s">
        <v>307</v>
      </c>
      <c r="D288" t="s">
        <v>308</v>
      </c>
      <c r="E288" t="s">
        <v>65</v>
      </c>
      <c r="F288">
        <v>4850</v>
      </c>
      <c r="G288" t="s">
        <v>66</v>
      </c>
      <c r="H288">
        <v>2</v>
      </c>
    </row>
    <row r="289" spans="1:8" x14ac:dyDescent="0.3">
      <c r="A289" t="s">
        <v>97</v>
      </c>
      <c r="B289">
        <v>2014</v>
      </c>
      <c r="C289" t="s">
        <v>307</v>
      </c>
      <c r="D289" t="s">
        <v>308</v>
      </c>
      <c r="E289" t="s">
        <v>65</v>
      </c>
      <c r="F289">
        <v>5974</v>
      </c>
      <c r="G289" t="s">
        <v>66</v>
      </c>
      <c r="H289">
        <v>1</v>
      </c>
    </row>
    <row r="290" spans="1:8" x14ac:dyDescent="0.3">
      <c r="A290" t="s">
        <v>97</v>
      </c>
      <c r="B290">
        <v>2015</v>
      </c>
      <c r="C290" t="s">
        <v>307</v>
      </c>
      <c r="D290" t="s">
        <v>308</v>
      </c>
      <c r="E290" t="s">
        <v>65</v>
      </c>
      <c r="F290">
        <v>5974</v>
      </c>
      <c r="G290" t="s">
        <v>66</v>
      </c>
      <c r="H290">
        <v>3</v>
      </c>
    </row>
    <row r="291" spans="1:8" x14ac:dyDescent="0.3">
      <c r="A291" t="s">
        <v>97</v>
      </c>
      <c r="B291">
        <v>2016</v>
      </c>
      <c r="C291" t="s">
        <v>307</v>
      </c>
      <c r="D291" t="s">
        <v>308</v>
      </c>
      <c r="E291" t="s">
        <v>65</v>
      </c>
      <c r="F291">
        <v>5974</v>
      </c>
      <c r="G291" t="s">
        <v>66</v>
      </c>
      <c r="H291">
        <v>9</v>
      </c>
    </row>
    <row r="292" spans="1:8" x14ac:dyDescent="0.3">
      <c r="A292" t="s">
        <v>97</v>
      </c>
      <c r="B292">
        <v>2017</v>
      </c>
      <c r="C292" t="s">
        <v>307</v>
      </c>
      <c r="D292" t="s">
        <v>308</v>
      </c>
      <c r="E292" t="s">
        <v>65</v>
      </c>
      <c r="F292">
        <v>5974</v>
      </c>
      <c r="G292" t="s">
        <v>66</v>
      </c>
      <c r="H292">
        <v>4</v>
      </c>
    </row>
    <row r="293" spans="1:8" x14ac:dyDescent="0.3">
      <c r="A293" t="s">
        <v>97</v>
      </c>
      <c r="B293">
        <v>2018</v>
      </c>
      <c r="C293" t="s">
        <v>307</v>
      </c>
      <c r="D293" t="s">
        <v>308</v>
      </c>
      <c r="E293" t="s">
        <v>65</v>
      </c>
      <c r="F293">
        <v>5974</v>
      </c>
      <c r="G293" t="s">
        <v>66</v>
      </c>
      <c r="H293">
        <v>3</v>
      </c>
    </row>
    <row r="294" spans="1:8" x14ac:dyDescent="0.3">
      <c r="A294" t="s">
        <v>97</v>
      </c>
      <c r="B294">
        <v>2019</v>
      </c>
      <c r="C294" t="s">
        <v>307</v>
      </c>
      <c r="D294" t="s">
        <v>308</v>
      </c>
      <c r="E294" t="s">
        <v>65</v>
      </c>
      <c r="F294">
        <v>5974</v>
      </c>
      <c r="G294" t="s">
        <v>66</v>
      </c>
      <c r="H294">
        <v>1</v>
      </c>
    </row>
    <row r="295" spans="1:8" x14ac:dyDescent="0.3">
      <c r="A295" t="s">
        <v>97</v>
      </c>
      <c r="B295">
        <v>2020</v>
      </c>
      <c r="C295" t="s">
        <v>307</v>
      </c>
      <c r="D295" t="s">
        <v>308</v>
      </c>
      <c r="E295" t="s">
        <v>65</v>
      </c>
      <c r="F295">
        <v>5974</v>
      </c>
      <c r="G295" t="s">
        <v>66</v>
      </c>
      <c r="H295">
        <v>3</v>
      </c>
    </row>
    <row r="296" spans="1:8" x14ac:dyDescent="0.3">
      <c r="A296" t="s">
        <v>97</v>
      </c>
      <c r="B296">
        <v>2021</v>
      </c>
      <c r="C296" t="s">
        <v>307</v>
      </c>
      <c r="D296" t="s">
        <v>308</v>
      </c>
      <c r="E296" t="s">
        <v>65</v>
      </c>
      <c r="F296">
        <v>5974</v>
      </c>
      <c r="G296" t="s">
        <v>66</v>
      </c>
      <c r="H296">
        <v>1</v>
      </c>
    </row>
    <row r="297" spans="1:8" x14ac:dyDescent="0.3">
      <c r="A297" t="s">
        <v>98</v>
      </c>
      <c r="B297">
        <v>2015</v>
      </c>
      <c r="C297" t="s">
        <v>307</v>
      </c>
      <c r="D297" t="s">
        <v>308</v>
      </c>
      <c r="E297" t="s">
        <v>65</v>
      </c>
      <c r="F297">
        <v>6850</v>
      </c>
      <c r="G297" t="s">
        <v>66</v>
      </c>
      <c r="H297">
        <v>1</v>
      </c>
    </row>
    <row r="298" spans="1:8" x14ac:dyDescent="0.3">
      <c r="A298" t="s">
        <v>99</v>
      </c>
      <c r="B298">
        <v>2015</v>
      </c>
      <c r="C298" t="s">
        <v>307</v>
      </c>
      <c r="D298" t="s">
        <v>308</v>
      </c>
      <c r="E298" t="s">
        <v>65</v>
      </c>
      <c r="F298">
        <v>8400</v>
      </c>
      <c r="G298" t="s">
        <v>66</v>
      </c>
      <c r="H298">
        <v>10</v>
      </c>
    </row>
    <row r="299" spans="1:8" x14ac:dyDescent="0.3">
      <c r="A299" t="s">
        <v>99</v>
      </c>
      <c r="B299">
        <v>2016</v>
      </c>
      <c r="C299" t="s">
        <v>307</v>
      </c>
      <c r="D299" t="s">
        <v>308</v>
      </c>
      <c r="E299" t="s">
        <v>65</v>
      </c>
      <c r="F299">
        <v>8400</v>
      </c>
      <c r="G299" t="s">
        <v>66</v>
      </c>
      <c r="H299">
        <v>2</v>
      </c>
    </row>
    <row r="300" spans="1:8" x14ac:dyDescent="0.3">
      <c r="A300" t="s">
        <v>99</v>
      </c>
      <c r="B300">
        <v>2018</v>
      </c>
      <c r="C300" t="s">
        <v>307</v>
      </c>
      <c r="D300" t="s">
        <v>308</v>
      </c>
      <c r="E300" t="s">
        <v>65</v>
      </c>
      <c r="F300">
        <v>8400</v>
      </c>
      <c r="G300" t="s">
        <v>66</v>
      </c>
      <c r="H300">
        <v>5</v>
      </c>
    </row>
    <row r="301" spans="1:8" x14ac:dyDescent="0.3">
      <c r="A301" t="s">
        <v>99</v>
      </c>
      <c r="B301">
        <v>2019</v>
      </c>
      <c r="C301" t="s">
        <v>307</v>
      </c>
      <c r="D301" t="s">
        <v>308</v>
      </c>
      <c r="E301" t="s">
        <v>65</v>
      </c>
      <c r="F301">
        <v>8400</v>
      </c>
      <c r="G301" t="s">
        <v>66</v>
      </c>
      <c r="H301">
        <v>1</v>
      </c>
    </row>
    <row r="302" spans="1:8" x14ac:dyDescent="0.3">
      <c r="A302" t="s">
        <v>100</v>
      </c>
      <c r="B302">
        <v>2014</v>
      </c>
      <c r="C302" t="s">
        <v>307</v>
      </c>
      <c r="D302" t="s">
        <v>308</v>
      </c>
      <c r="E302" t="s">
        <v>65</v>
      </c>
      <c r="F302">
        <v>6750</v>
      </c>
      <c r="G302" t="s">
        <v>66</v>
      </c>
      <c r="H302">
        <v>4</v>
      </c>
    </row>
    <row r="303" spans="1:8" x14ac:dyDescent="0.3">
      <c r="A303" t="s">
        <v>100</v>
      </c>
      <c r="B303">
        <v>2015</v>
      </c>
      <c r="C303" t="s">
        <v>307</v>
      </c>
      <c r="D303" t="s">
        <v>308</v>
      </c>
      <c r="E303" t="s">
        <v>65</v>
      </c>
      <c r="F303">
        <v>6750</v>
      </c>
      <c r="G303" t="s">
        <v>66</v>
      </c>
      <c r="H303">
        <v>8</v>
      </c>
    </row>
    <row r="304" spans="1:8" x14ac:dyDescent="0.3">
      <c r="A304" t="s">
        <v>100</v>
      </c>
      <c r="B304">
        <v>2016</v>
      </c>
      <c r="C304" t="s">
        <v>307</v>
      </c>
      <c r="D304" t="s">
        <v>308</v>
      </c>
      <c r="E304" t="s">
        <v>65</v>
      </c>
      <c r="F304">
        <v>6750</v>
      </c>
      <c r="G304" t="s">
        <v>66</v>
      </c>
      <c r="H304">
        <v>49</v>
      </c>
    </row>
    <row r="305" spans="1:8" x14ac:dyDescent="0.3">
      <c r="A305" t="s">
        <v>100</v>
      </c>
      <c r="B305">
        <v>2017</v>
      </c>
      <c r="C305" t="s">
        <v>307</v>
      </c>
      <c r="D305" t="s">
        <v>308</v>
      </c>
      <c r="E305" t="s">
        <v>65</v>
      </c>
      <c r="F305">
        <v>6750</v>
      </c>
      <c r="G305" t="s">
        <v>66</v>
      </c>
      <c r="H305">
        <v>99</v>
      </c>
    </row>
    <row r="306" spans="1:8" x14ac:dyDescent="0.3">
      <c r="A306" t="s">
        <v>100</v>
      </c>
      <c r="B306">
        <v>2018</v>
      </c>
      <c r="C306" t="s">
        <v>307</v>
      </c>
      <c r="D306" t="s">
        <v>308</v>
      </c>
      <c r="E306" t="s">
        <v>65</v>
      </c>
      <c r="F306">
        <v>6750</v>
      </c>
      <c r="G306" t="s">
        <v>66</v>
      </c>
      <c r="H306">
        <v>103</v>
      </c>
    </row>
    <row r="307" spans="1:8" x14ac:dyDescent="0.3">
      <c r="A307" t="s">
        <v>100</v>
      </c>
      <c r="B307">
        <v>2019</v>
      </c>
      <c r="C307" t="s">
        <v>307</v>
      </c>
      <c r="D307" t="s">
        <v>308</v>
      </c>
      <c r="E307" t="s">
        <v>65</v>
      </c>
      <c r="F307">
        <v>6750</v>
      </c>
      <c r="G307" t="s">
        <v>66</v>
      </c>
      <c r="H307">
        <v>61</v>
      </c>
    </row>
    <row r="308" spans="1:8" x14ac:dyDescent="0.3">
      <c r="A308" t="s">
        <v>100</v>
      </c>
      <c r="B308">
        <v>2020</v>
      </c>
      <c r="C308" t="s">
        <v>307</v>
      </c>
      <c r="D308" t="s">
        <v>308</v>
      </c>
      <c r="E308" t="s">
        <v>65</v>
      </c>
      <c r="F308">
        <v>6750</v>
      </c>
      <c r="G308" t="s">
        <v>66</v>
      </c>
      <c r="H308">
        <v>30</v>
      </c>
    </row>
    <row r="309" spans="1:8" x14ac:dyDescent="0.3">
      <c r="A309" t="s">
        <v>100</v>
      </c>
      <c r="B309">
        <v>2021</v>
      </c>
      <c r="C309" t="s">
        <v>307</v>
      </c>
      <c r="D309" t="s">
        <v>308</v>
      </c>
      <c r="E309" t="s">
        <v>65</v>
      </c>
      <c r="F309">
        <v>6750</v>
      </c>
      <c r="G309" t="s">
        <v>66</v>
      </c>
      <c r="H309">
        <v>38</v>
      </c>
    </row>
    <row r="310" spans="1:8" x14ac:dyDescent="0.3">
      <c r="A310" t="s">
        <v>101</v>
      </c>
      <c r="B310">
        <v>2014</v>
      </c>
      <c r="C310" t="s">
        <v>307</v>
      </c>
      <c r="D310" t="s">
        <v>308</v>
      </c>
      <c r="E310" t="s">
        <v>65</v>
      </c>
      <c r="F310">
        <v>7450</v>
      </c>
      <c r="G310" t="s">
        <v>66</v>
      </c>
      <c r="H310">
        <v>34</v>
      </c>
    </row>
    <row r="311" spans="1:8" x14ac:dyDescent="0.3">
      <c r="A311" t="s">
        <v>101</v>
      </c>
      <c r="B311">
        <v>2015</v>
      </c>
      <c r="C311" t="s">
        <v>307</v>
      </c>
      <c r="D311" t="s">
        <v>308</v>
      </c>
      <c r="E311" t="s">
        <v>65</v>
      </c>
      <c r="F311">
        <v>7450</v>
      </c>
      <c r="G311" t="s">
        <v>66</v>
      </c>
      <c r="H311">
        <v>86</v>
      </c>
    </row>
    <row r="312" spans="1:8" x14ac:dyDescent="0.3">
      <c r="A312" t="s">
        <v>101</v>
      </c>
      <c r="B312">
        <v>2016</v>
      </c>
      <c r="C312" t="s">
        <v>307</v>
      </c>
      <c r="D312" t="s">
        <v>308</v>
      </c>
      <c r="E312" t="s">
        <v>65</v>
      </c>
      <c r="F312">
        <v>7450</v>
      </c>
      <c r="G312" t="s">
        <v>66</v>
      </c>
      <c r="H312">
        <v>29</v>
      </c>
    </row>
    <row r="313" spans="1:8" x14ac:dyDescent="0.3">
      <c r="A313" t="s">
        <v>101</v>
      </c>
      <c r="B313">
        <v>2017</v>
      </c>
      <c r="C313" t="s">
        <v>307</v>
      </c>
      <c r="D313" t="s">
        <v>308</v>
      </c>
      <c r="E313" t="s">
        <v>65</v>
      </c>
      <c r="F313">
        <v>7450</v>
      </c>
      <c r="G313" t="s">
        <v>66</v>
      </c>
      <c r="H313">
        <v>14</v>
      </c>
    </row>
    <row r="314" spans="1:8" x14ac:dyDescent="0.3">
      <c r="A314" t="s">
        <v>101</v>
      </c>
      <c r="B314">
        <v>2018</v>
      </c>
      <c r="C314" t="s">
        <v>307</v>
      </c>
      <c r="D314" t="s">
        <v>308</v>
      </c>
      <c r="E314" t="s">
        <v>65</v>
      </c>
      <c r="F314">
        <v>7450</v>
      </c>
      <c r="G314" t="s">
        <v>66</v>
      </c>
      <c r="H314">
        <v>6</v>
      </c>
    </row>
    <row r="315" spans="1:8" x14ac:dyDescent="0.3">
      <c r="A315" t="s">
        <v>101</v>
      </c>
      <c r="B315">
        <v>2020</v>
      </c>
      <c r="C315" t="s">
        <v>307</v>
      </c>
      <c r="D315" t="s">
        <v>308</v>
      </c>
      <c r="E315" t="s">
        <v>65</v>
      </c>
      <c r="F315">
        <v>7450</v>
      </c>
      <c r="G315" t="s">
        <v>66</v>
      </c>
      <c r="H315">
        <v>3</v>
      </c>
    </row>
    <row r="316" spans="1:8" x14ac:dyDescent="0.3">
      <c r="A316" t="s">
        <v>101</v>
      </c>
      <c r="B316">
        <v>2021</v>
      </c>
      <c r="C316" t="s">
        <v>307</v>
      </c>
      <c r="D316" t="s">
        <v>308</v>
      </c>
      <c r="E316" t="s">
        <v>65</v>
      </c>
      <c r="F316">
        <v>7450</v>
      </c>
      <c r="G316" t="s">
        <v>66</v>
      </c>
      <c r="H316">
        <v>5</v>
      </c>
    </row>
    <row r="317" spans="1:8" x14ac:dyDescent="0.3">
      <c r="A317" t="s">
        <v>193</v>
      </c>
      <c r="B317">
        <v>2014</v>
      </c>
      <c r="C317" t="s">
        <v>307</v>
      </c>
      <c r="D317" t="s">
        <v>308</v>
      </c>
      <c r="E317" t="s">
        <v>65</v>
      </c>
      <c r="F317">
        <v>8598</v>
      </c>
      <c r="G317" t="s">
        <v>66</v>
      </c>
      <c r="H317">
        <v>1</v>
      </c>
    </row>
    <row r="318" spans="1:8" x14ac:dyDescent="0.3">
      <c r="A318" t="s">
        <v>193</v>
      </c>
      <c r="B318">
        <v>2015</v>
      </c>
      <c r="C318" t="s">
        <v>307</v>
      </c>
      <c r="D318" t="s">
        <v>308</v>
      </c>
      <c r="E318" t="s">
        <v>65</v>
      </c>
      <c r="F318">
        <v>8598</v>
      </c>
      <c r="G318" t="s">
        <v>66</v>
      </c>
      <c r="H318">
        <v>3</v>
      </c>
    </row>
    <row r="319" spans="1:8" x14ac:dyDescent="0.3">
      <c r="A319" t="s">
        <v>193</v>
      </c>
      <c r="B319">
        <v>2016</v>
      </c>
      <c r="C319" t="s">
        <v>307</v>
      </c>
      <c r="D319" t="s">
        <v>308</v>
      </c>
      <c r="E319" t="s">
        <v>65</v>
      </c>
      <c r="F319">
        <v>8598</v>
      </c>
      <c r="G319" t="s">
        <v>66</v>
      </c>
      <c r="H319">
        <v>3</v>
      </c>
    </row>
    <row r="320" spans="1:8" x14ac:dyDescent="0.3">
      <c r="A320" t="s">
        <v>193</v>
      </c>
      <c r="B320">
        <v>2017</v>
      </c>
      <c r="C320" t="s">
        <v>307</v>
      </c>
      <c r="D320" t="s">
        <v>308</v>
      </c>
      <c r="E320" t="s">
        <v>65</v>
      </c>
      <c r="F320">
        <v>8598</v>
      </c>
      <c r="G320" t="s">
        <v>66</v>
      </c>
      <c r="H320">
        <v>3</v>
      </c>
    </row>
    <row r="321" spans="1:8" x14ac:dyDescent="0.3">
      <c r="A321" t="s">
        <v>193</v>
      </c>
      <c r="B321">
        <v>2020</v>
      </c>
      <c r="C321" t="s">
        <v>307</v>
      </c>
      <c r="D321" t="s">
        <v>308</v>
      </c>
      <c r="E321" t="s">
        <v>65</v>
      </c>
      <c r="F321">
        <v>8598</v>
      </c>
      <c r="G321" t="s">
        <v>66</v>
      </c>
      <c r="H321">
        <v>1</v>
      </c>
    </row>
    <row r="322" spans="1:8" x14ac:dyDescent="0.3">
      <c r="A322" t="s">
        <v>102</v>
      </c>
      <c r="B322">
        <v>2014</v>
      </c>
      <c r="C322" t="s">
        <v>307</v>
      </c>
      <c r="D322" t="s">
        <v>308</v>
      </c>
      <c r="E322" t="s">
        <v>65</v>
      </c>
      <c r="F322">
        <v>9850</v>
      </c>
      <c r="G322" t="s">
        <v>66</v>
      </c>
      <c r="H322">
        <v>1</v>
      </c>
    </row>
    <row r="323" spans="1:8" x14ac:dyDescent="0.3">
      <c r="A323" t="s">
        <v>102</v>
      </c>
      <c r="B323">
        <v>2015</v>
      </c>
      <c r="C323" t="s">
        <v>307</v>
      </c>
      <c r="D323" t="s">
        <v>308</v>
      </c>
      <c r="E323" t="s">
        <v>65</v>
      </c>
      <c r="F323">
        <v>9850</v>
      </c>
      <c r="G323" t="s">
        <v>66</v>
      </c>
      <c r="H323">
        <v>6</v>
      </c>
    </row>
    <row r="324" spans="1:8" x14ac:dyDescent="0.3">
      <c r="A324" t="s">
        <v>102</v>
      </c>
      <c r="B324">
        <v>2016</v>
      </c>
      <c r="C324" t="s">
        <v>307</v>
      </c>
      <c r="D324" t="s">
        <v>308</v>
      </c>
      <c r="E324" t="s">
        <v>65</v>
      </c>
      <c r="F324">
        <v>9850</v>
      </c>
      <c r="G324" t="s">
        <v>66</v>
      </c>
      <c r="H324">
        <v>5</v>
      </c>
    </row>
    <row r="325" spans="1:8" x14ac:dyDescent="0.3">
      <c r="A325" t="s">
        <v>102</v>
      </c>
      <c r="B325">
        <v>2017</v>
      </c>
      <c r="C325" t="s">
        <v>307</v>
      </c>
      <c r="D325" t="s">
        <v>308</v>
      </c>
      <c r="E325" t="s">
        <v>65</v>
      </c>
      <c r="F325">
        <v>9850</v>
      </c>
      <c r="G325" t="s">
        <v>66</v>
      </c>
      <c r="H325">
        <v>7</v>
      </c>
    </row>
    <row r="326" spans="1:8" x14ac:dyDescent="0.3">
      <c r="A326" t="s">
        <v>102</v>
      </c>
      <c r="B326">
        <v>2018</v>
      </c>
      <c r="C326" t="s">
        <v>307</v>
      </c>
      <c r="D326" t="s">
        <v>308</v>
      </c>
      <c r="E326" t="s">
        <v>65</v>
      </c>
      <c r="F326">
        <v>9850</v>
      </c>
      <c r="G326" t="s">
        <v>66</v>
      </c>
      <c r="H326">
        <v>27</v>
      </c>
    </row>
    <row r="327" spans="1:8" x14ac:dyDescent="0.3">
      <c r="A327" t="s">
        <v>102</v>
      </c>
      <c r="B327">
        <v>2019</v>
      </c>
      <c r="C327" t="s">
        <v>307</v>
      </c>
      <c r="D327" t="s">
        <v>308</v>
      </c>
      <c r="E327" t="s">
        <v>65</v>
      </c>
      <c r="F327">
        <v>9850</v>
      </c>
      <c r="G327" t="s">
        <v>66</v>
      </c>
      <c r="H327">
        <v>40</v>
      </c>
    </row>
    <row r="328" spans="1:8" x14ac:dyDescent="0.3">
      <c r="A328" t="s">
        <v>102</v>
      </c>
      <c r="B328">
        <v>2020</v>
      </c>
      <c r="C328" t="s">
        <v>307</v>
      </c>
      <c r="D328" t="s">
        <v>308</v>
      </c>
      <c r="E328" t="s">
        <v>65</v>
      </c>
      <c r="F328">
        <v>9850</v>
      </c>
      <c r="G328" t="s">
        <v>66</v>
      </c>
      <c r="H328">
        <v>28</v>
      </c>
    </row>
    <row r="329" spans="1:8" x14ac:dyDescent="0.3">
      <c r="A329" t="s">
        <v>102</v>
      </c>
      <c r="B329">
        <v>2021</v>
      </c>
      <c r="C329" t="s">
        <v>307</v>
      </c>
      <c r="D329" t="s">
        <v>308</v>
      </c>
      <c r="E329" t="s">
        <v>65</v>
      </c>
      <c r="F329">
        <v>9850</v>
      </c>
      <c r="G329" t="s">
        <v>66</v>
      </c>
      <c r="H329">
        <v>19</v>
      </c>
    </row>
    <row r="330" spans="1:8" x14ac:dyDescent="0.3">
      <c r="A330" t="s">
        <v>194</v>
      </c>
      <c r="B330">
        <v>2014</v>
      </c>
      <c r="C330" t="s">
        <v>307</v>
      </c>
      <c r="D330" t="s">
        <v>308</v>
      </c>
      <c r="E330" t="s">
        <v>65</v>
      </c>
      <c r="F330">
        <v>9502</v>
      </c>
      <c r="G330" t="s">
        <v>66</v>
      </c>
      <c r="H330">
        <v>1</v>
      </c>
    </row>
    <row r="331" spans="1:8" x14ac:dyDescent="0.3">
      <c r="A331" t="s">
        <v>194</v>
      </c>
      <c r="B331">
        <v>2015</v>
      </c>
      <c r="C331" t="s">
        <v>307</v>
      </c>
      <c r="D331" t="s">
        <v>308</v>
      </c>
      <c r="E331" t="s">
        <v>65</v>
      </c>
      <c r="F331">
        <v>9502</v>
      </c>
      <c r="G331" t="s">
        <v>66</v>
      </c>
      <c r="H331">
        <v>3</v>
      </c>
    </row>
    <row r="332" spans="1:8" x14ac:dyDescent="0.3">
      <c r="A332" t="s">
        <v>194</v>
      </c>
      <c r="B332">
        <v>2016</v>
      </c>
      <c r="C332" t="s">
        <v>307</v>
      </c>
      <c r="D332" t="s">
        <v>308</v>
      </c>
      <c r="E332" t="s">
        <v>65</v>
      </c>
      <c r="F332">
        <v>9502</v>
      </c>
      <c r="G332" t="s">
        <v>66</v>
      </c>
      <c r="H332">
        <v>3</v>
      </c>
    </row>
    <row r="333" spans="1:8" x14ac:dyDescent="0.3">
      <c r="A333" t="s">
        <v>194</v>
      </c>
      <c r="B333">
        <v>2017</v>
      </c>
      <c r="C333" t="s">
        <v>307</v>
      </c>
      <c r="D333" t="s">
        <v>308</v>
      </c>
      <c r="E333" t="s">
        <v>65</v>
      </c>
      <c r="F333">
        <v>9502</v>
      </c>
      <c r="G333" t="s">
        <v>66</v>
      </c>
      <c r="H333">
        <v>14</v>
      </c>
    </row>
    <row r="334" spans="1:8" x14ac:dyDescent="0.3">
      <c r="A334" t="s">
        <v>194</v>
      </c>
      <c r="B334">
        <v>2018</v>
      </c>
      <c r="C334" t="s">
        <v>307</v>
      </c>
      <c r="D334" t="s">
        <v>308</v>
      </c>
      <c r="E334" t="s">
        <v>65</v>
      </c>
      <c r="F334">
        <v>9502</v>
      </c>
      <c r="G334" t="s">
        <v>66</v>
      </c>
      <c r="H334">
        <v>8</v>
      </c>
    </row>
    <row r="335" spans="1:8" x14ac:dyDescent="0.3">
      <c r="A335" t="s">
        <v>194</v>
      </c>
      <c r="B335">
        <v>2019</v>
      </c>
      <c r="C335" t="s">
        <v>307</v>
      </c>
      <c r="D335" t="s">
        <v>308</v>
      </c>
      <c r="E335" t="s">
        <v>65</v>
      </c>
      <c r="F335">
        <v>9502</v>
      </c>
      <c r="G335" t="s">
        <v>66</v>
      </c>
      <c r="H335">
        <v>5</v>
      </c>
    </row>
    <row r="336" spans="1:8" x14ac:dyDescent="0.3">
      <c r="A336" t="s">
        <v>194</v>
      </c>
      <c r="B336">
        <v>2020</v>
      </c>
      <c r="C336" t="s">
        <v>307</v>
      </c>
      <c r="D336" t="s">
        <v>308</v>
      </c>
      <c r="E336" t="s">
        <v>65</v>
      </c>
      <c r="F336">
        <v>9502</v>
      </c>
      <c r="G336" t="s">
        <v>66</v>
      </c>
      <c r="H336">
        <v>8</v>
      </c>
    </row>
    <row r="337" spans="1:8" x14ac:dyDescent="0.3">
      <c r="A337" t="s">
        <v>194</v>
      </c>
      <c r="B337">
        <v>2021</v>
      </c>
      <c r="C337" t="s">
        <v>307</v>
      </c>
      <c r="D337" t="s">
        <v>308</v>
      </c>
      <c r="E337" t="s">
        <v>65</v>
      </c>
      <c r="F337">
        <v>9502</v>
      </c>
      <c r="G337" t="s">
        <v>66</v>
      </c>
      <c r="H337">
        <v>10</v>
      </c>
    </row>
    <row r="338" spans="1:8" x14ac:dyDescent="0.3">
      <c r="A338" t="s">
        <v>195</v>
      </c>
      <c r="B338">
        <v>2014</v>
      </c>
      <c r="C338" t="s">
        <v>307</v>
      </c>
      <c r="D338" t="s">
        <v>308</v>
      </c>
      <c r="E338" t="s">
        <v>65</v>
      </c>
      <c r="F338">
        <v>13227</v>
      </c>
      <c r="G338" t="s">
        <v>66</v>
      </c>
      <c r="H338">
        <v>18</v>
      </c>
    </row>
    <row r="339" spans="1:8" x14ac:dyDescent="0.3">
      <c r="A339" t="s">
        <v>195</v>
      </c>
      <c r="B339">
        <v>2015</v>
      </c>
      <c r="C339" t="s">
        <v>307</v>
      </c>
      <c r="D339" t="s">
        <v>308</v>
      </c>
      <c r="E339" t="s">
        <v>65</v>
      </c>
      <c r="F339">
        <v>13227</v>
      </c>
      <c r="G339" t="s">
        <v>66</v>
      </c>
      <c r="H339">
        <v>35</v>
      </c>
    </row>
    <row r="340" spans="1:8" x14ac:dyDescent="0.3">
      <c r="A340" t="s">
        <v>195</v>
      </c>
      <c r="B340">
        <v>2016</v>
      </c>
      <c r="C340" t="s">
        <v>307</v>
      </c>
      <c r="D340" t="s">
        <v>308</v>
      </c>
      <c r="E340" t="s">
        <v>65</v>
      </c>
      <c r="F340">
        <v>13227</v>
      </c>
      <c r="G340" t="s">
        <v>66</v>
      </c>
      <c r="H340">
        <v>61</v>
      </c>
    </row>
    <row r="341" spans="1:8" x14ac:dyDescent="0.3">
      <c r="A341" t="s">
        <v>195</v>
      </c>
      <c r="B341">
        <v>2017</v>
      </c>
      <c r="C341" t="s">
        <v>307</v>
      </c>
      <c r="D341" t="s">
        <v>308</v>
      </c>
      <c r="E341" t="s">
        <v>65</v>
      </c>
      <c r="F341">
        <v>13227</v>
      </c>
      <c r="G341" t="s">
        <v>66</v>
      </c>
      <c r="H341">
        <v>34</v>
      </c>
    </row>
    <row r="342" spans="1:8" x14ac:dyDescent="0.3">
      <c r="A342" t="s">
        <v>195</v>
      </c>
      <c r="B342">
        <v>2018</v>
      </c>
      <c r="C342" t="s">
        <v>307</v>
      </c>
      <c r="D342" t="s">
        <v>308</v>
      </c>
      <c r="E342" t="s">
        <v>65</v>
      </c>
      <c r="F342">
        <v>13227</v>
      </c>
      <c r="G342" t="s">
        <v>66</v>
      </c>
      <c r="H342">
        <v>29</v>
      </c>
    </row>
    <row r="343" spans="1:8" x14ac:dyDescent="0.3">
      <c r="A343" t="s">
        <v>195</v>
      </c>
      <c r="B343">
        <v>2019</v>
      </c>
      <c r="C343" t="s">
        <v>307</v>
      </c>
      <c r="D343" t="s">
        <v>308</v>
      </c>
      <c r="E343" t="s">
        <v>65</v>
      </c>
      <c r="F343">
        <v>13227</v>
      </c>
      <c r="G343" t="s">
        <v>66</v>
      </c>
      <c r="H343">
        <v>16</v>
      </c>
    </row>
    <row r="344" spans="1:8" x14ac:dyDescent="0.3">
      <c r="A344" t="s">
        <v>195</v>
      </c>
      <c r="B344">
        <v>2020</v>
      </c>
      <c r="C344" t="s">
        <v>307</v>
      </c>
      <c r="D344" t="s">
        <v>308</v>
      </c>
      <c r="E344" t="s">
        <v>65</v>
      </c>
      <c r="F344">
        <v>13227</v>
      </c>
      <c r="G344" t="s">
        <v>66</v>
      </c>
      <c r="H344">
        <v>9</v>
      </c>
    </row>
    <row r="345" spans="1:8" x14ac:dyDescent="0.3">
      <c r="A345" t="s">
        <v>195</v>
      </c>
      <c r="B345">
        <v>2021</v>
      </c>
      <c r="C345" t="s">
        <v>307</v>
      </c>
      <c r="D345" t="s">
        <v>308</v>
      </c>
      <c r="E345" t="s">
        <v>65</v>
      </c>
      <c r="F345">
        <v>13227</v>
      </c>
      <c r="G345" t="s">
        <v>66</v>
      </c>
      <c r="H345">
        <v>9</v>
      </c>
    </row>
    <row r="346" spans="1:8" x14ac:dyDescent="0.3">
      <c r="A346" t="s">
        <v>196</v>
      </c>
      <c r="B346">
        <v>2014</v>
      </c>
      <c r="C346" t="s">
        <v>307</v>
      </c>
      <c r="D346" t="s">
        <v>308</v>
      </c>
      <c r="E346" t="s">
        <v>65</v>
      </c>
      <c r="F346">
        <v>7716</v>
      </c>
      <c r="G346" t="s">
        <v>66</v>
      </c>
      <c r="H346">
        <v>4</v>
      </c>
    </row>
    <row r="347" spans="1:8" x14ac:dyDescent="0.3">
      <c r="A347" t="s">
        <v>196</v>
      </c>
      <c r="B347">
        <v>2015</v>
      </c>
      <c r="C347" t="s">
        <v>307</v>
      </c>
      <c r="D347" t="s">
        <v>308</v>
      </c>
      <c r="E347" t="s">
        <v>65</v>
      </c>
      <c r="F347">
        <v>7716</v>
      </c>
      <c r="G347" t="s">
        <v>66</v>
      </c>
      <c r="H347">
        <v>7</v>
      </c>
    </row>
    <row r="348" spans="1:8" x14ac:dyDescent="0.3">
      <c r="A348" t="s">
        <v>196</v>
      </c>
      <c r="B348">
        <v>2016</v>
      </c>
      <c r="C348" t="s">
        <v>307</v>
      </c>
      <c r="D348" t="s">
        <v>308</v>
      </c>
      <c r="E348" t="s">
        <v>65</v>
      </c>
      <c r="F348">
        <v>7716</v>
      </c>
      <c r="G348" t="s">
        <v>66</v>
      </c>
      <c r="H348">
        <v>3</v>
      </c>
    </row>
    <row r="349" spans="1:8" x14ac:dyDescent="0.3">
      <c r="A349" t="s">
        <v>196</v>
      </c>
      <c r="B349">
        <v>2017</v>
      </c>
      <c r="C349" t="s">
        <v>307</v>
      </c>
      <c r="D349" t="s">
        <v>308</v>
      </c>
      <c r="E349" t="s">
        <v>65</v>
      </c>
      <c r="F349">
        <v>7716</v>
      </c>
      <c r="G349" t="s">
        <v>66</v>
      </c>
      <c r="H349">
        <v>3</v>
      </c>
    </row>
    <row r="350" spans="1:8" x14ac:dyDescent="0.3">
      <c r="A350" t="s">
        <v>196</v>
      </c>
      <c r="B350">
        <v>2018</v>
      </c>
      <c r="C350" t="s">
        <v>307</v>
      </c>
      <c r="D350" t="s">
        <v>308</v>
      </c>
      <c r="E350" t="s">
        <v>65</v>
      </c>
      <c r="F350">
        <v>7716</v>
      </c>
      <c r="G350" t="s">
        <v>66</v>
      </c>
      <c r="H350">
        <v>16</v>
      </c>
    </row>
    <row r="351" spans="1:8" x14ac:dyDescent="0.3">
      <c r="A351" t="s">
        <v>196</v>
      </c>
      <c r="B351">
        <v>2019</v>
      </c>
      <c r="C351" t="s">
        <v>307</v>
      </c>
      <c r="D351" t="s">
        <v>308</v>
      </c>
      <c r="E351" t="s">
        <v>65</v>
      </c>
      <c r="F351">
        <v>7716</v>
      </c>
      <c r="G351" t="s">
        <v>66</v>
      </c>
      <c r="H351">
        <v>9</v>
      </c>
    </row>
    <row r="352" spans="1:8" x14ac:dyDescent="0.3">
      <c r="A352" t="s">
        <v>196</v>
      </c>
      <c r="B352">
        <v>2020</v>
      </c>
      <c r="C352" t="s">
        <v>307</v>
      </c>
      <c r="D352" t="s">
        <v>308</v>
      </c>
      <c r="E352" t="s">
        <v>65</v>
      </c>
      <c r="F352">
        <v>7716</v>
      </c>
      <c r="G352" t="s">
        <v>66</v>
      </c>
      <c r="H352">
        <v>7</v>
      </c>
    </row>
    <row r="353" spans="1:8" x14ac:dyDescent="0.3">
      <c r="A353" t="s">
        <v>196</v>
      </c>
      <c r="B353">
        <v>2021</v>
      </c>
      <c r="C353" t="s">
        <v>307</v>
      </c>
      <c r="D353" t="s">
        <v>308</v>
      </c>
      <c r="E353" t="s">
        <v>65</v>
      </c>
      <c r="F353">
        <v>7716</v>
      </c>
      <c r="G353" t="s">
        <v>66</v>
      </c>
      <c r="H353">
        <v>5</v>
      </c>
    </row>
    <row r="354" spans="1:8" x14ac:dyDescent="0.3">
      <c r="A354" t="s">
        <v>103</v>
      </c>
      <c r="B354">
        <v>2014</v>
      </c>
      <c r="C354" t="s">
        <v>307</v>
      </c>
      <c r="D354" t="s">
        <v>308</v>
      </c>
      <c r="E354" t="s">
        <v>65</v>
      </c>
      <c r="F354">
        <v>10700</v>
      </c>
      <c r="G354" t="s">
        <v>66</v>
      </c>
      <c r="H354">
        <v>96</v>
      </c>
    </row>
    <row r="355" spans="1:8" x14ac:dyDescent="0.3">
      <c r="A355" t="s">
        <v>103</v>
      </c>
      <c r="B355">
        <v>2015</v>
      </c>
      <c r="C355" t="s">
        <v>307</v>
      </c>
      <c r="D355" t="s">
        <v>308</v>
      </c>
      <c r="E355" t="s">
        <v>65</v>
      </c>
      <c r="F355">
        <v>10700</v>
      </c>
      <c r="G355" t="s">
        <v>66</v>
      </c>
      <c r="H355">
        <v>169</v>
      </c>
    </row>
    <row r="356" spans="1:8" x14ac:dyDescent="0.3">
      <c r="A356" t="s">
        <v>103</v>
      </c>
      <c r="B356">
        <v>2016</v>
      </c>
      <c r="C356" t="s">
        <v>307</v>
      </c>
      <c r="D356" t="s">
        <v>308</v>
      </c>
      <c r="E356" t="s">
        <v>65</v>
      </c>
      <c r="F356">
        <v>10700</v>
      </c>
      <c r="G356" t="s">
        <v>66</v>
      </c>
      <c r="H356">
        <v>218</v>
      </c>
    </row>
    <row r="357" spans="1:8" x14ac:dyDescent="0.3">
      <c r="A357" t="s">
        <v>103</v>
      </c>
      <c r="B357">
        <v>2017</v>
      </c>
      <c r="C357" t="s">
        <v>307</v>
      </c>
      <c r="D357" t="s">
        <v>308</v>
      </c>
      <c r="E357" t="s">
        <v>65</v>
      </c>
      <c r="F357">
        <v>10700</v>
      </c>
      <c r="G357" t="s">
        <v>66</v>
      </c>
      <c r="H357">
        <v>221</v>
      </c>
    </row>
    <row r="358" spans="1:8" x14ac:dyDescent="0.3">
      <c r="A358" t="s">
        <v>103</v>
      </c>
      <c r="B358">
        <v>2018</v>
      </c>
      <c r="C358" t="s">
        <v>307</v>
      </c>
      <c r="D358" t="s">
        <v>308</v>
      </c>
      <c r="E358" t="s">
        <v>65</v>
      </c>
      <c r="F358">
        <v>10700</v>
      </c>
      <c r="G358" t="s">
        <v>66</v>
      </c>
      <c r="H358">
        <v>177</v>
      </c>
    </row>
    <row r="359" spans="1:8" x14ac:dyDescent="0.3">
      <c r="A359" t="s">
        <v>103</v>
      </c>
      <c r="B359">
        <v>2019</v>
      </c>
      <c r="C359" t="s">
        <v>307</v>
      </c>
      <c r="D359" t="s">
        <v>308</v>
      </c>
      <c r="E359" t="s">
        <v>65</v>
      </c>
      <c r="F359">
        <v>10700</v>
      </c>
      <c r="G359" t="s">
        <v>66</v>
      </c>
      <c r="H359">
        <v>236</v>
      </c>
    </row>
    <row r="360" spans="1:8" x14ac:dyDescent="0.3">
      <c r="A360" t="s">
        <v>103</v>
      </c>
      <c r="B360">
        <v>2020</v>
      </c>
      <c r="C360" t="s">
        <v>307</v>
      </c>
      <c r="D360" t="s">
        <v>308</v>
      </c>
      <c r="E360" t="s">
        <v>65</v>
      </c>
      <c r="F360">
        <v>10700</v>
      </c>
      <c r="G360" t="s">
        <v>66</v>
      </c>
      <c r="H360">
        <v>130</v>
      </c>
    </row>
    <row r="361" spans="1:8" x14ac:dyDescent="0.3">
      <c r="A361" t="s">
        <v>103</v>
      </c>
      <c r="B361">
        <v>2021</v>
      </c>
      <c r="C361" t="s">
        <v>307</v>
      </c>
      <c r="D361" t="s">
        <v>308</v>
      </c>
      <c r="E361" t="s">
        <v>65</v>
      </c>
      <c r="F361">
        <v>10700</v>
      </c>
      <c r="G361" t="s">
        <v>66</v>
      </c>
      <c r="H361">
        <v>142</v>
      </c>
    </row>
    <row r="362" spans="1:8" x14ac:dyDescent="0.3">
      <c r="A362" t="s">
        <v>104</v>
      </c>
      <c r="B362">
        <v>2014</v>
      </c>
      <c r="C362" t="s">
        <v>307</v>
      </c>
      <c r="D362" t="s">
        <v>308</v>
      </c>
      <c r="E362" t="s">
        <v>65</v>
      </c>
      <c r="F362">
        <v>14800</v>
      </c>
      <c r="G362" t="s">
        <v>66</v>
      </c>
      <c r="H362">
        <v>123</v>
      </c>
    </row>
    <row r="363" spans="1:8" x14ac:dyDescent="0.3">
      <c r="A363" t="s">
        <v>104</v>
      </c>
      <c r="B363">
        <v>2015</v>
      </c>
      <c r="C363" t="s">
        <v>307</v>
      </c>
      <c r="D363" t="s">
        <v>308</v>
      </c>
      <c r="E363" t="s">
        <v>65</v>
      </c>
      <c r="F363">
        <v>14800</v>
      </c>
      <c r="G363" t="s">
        <v>66</v>
      </c>
      <c r="H363">
        <v>195</v>
      </c>
    </row>
    <row r="364" spans="1:8" x14ac:dyDescent="0.3">
      <c r="A364" t="s">
        <v>104</v>
      </c>
      <c r="B364">
        <v>2016</v>
      </c>
      <c r="C364" t="s">
        <v>307</v>
      </c>
      <c r="D364" t="s">
        <v>308</v>
      </c>
      <c r="E364" t="s">
        <v>65</v>
      </c>
      <c r="F364">
        <v>14800</v>
      </c>
      <c r="G364" t="s">
        <v>66</v>
      </c>
      <c r="H364">
        <v>222</v>
      </c>
    </row>
    <row r="365" spans="1:8" x14ac:dyDescent="0.3">
      <c r="A365" t="s">
        <v>104</v>
      </c>
      <c r="B365">
        <v>2017</v>
      </c>
      <c r="C365" t="s">
        <v>307</v>
      </c>
      <c r="D365" t="s">
        <v>308</v>
      </c>
      <c r="E365" t="s">
        <v>65</v>
      </c>
      <c r="F365">
        <v>14800</v>
      </c>
      <c r="G365" t="s">
        <v>66</v>
      </c>
      <c r="H365">
        <v>233</v>
      </c>
    </row>
    <row r="366" spans="1:8" x14ac:dyDescent="0.3">
      <c r="A366" t="s">
        <v>104</v>
      </c>
      <c r="B366">
        <v>2018</v>
      </c>
      <c r="C366" t="s">
        <v>307</v>
      </c>
      <c r="D366" t="s">
        <v>308</v>
      </c>
      <c r="E366" t="s">
        <v>65</v>
      </c>
      <c r="F366">
        <v>14800</v>
      </c>
      <c r="G366" t="s">
        <v>66</v>
      </c>
      <c r="H366">
        <v>216</v>
      </c>
    </row>
    <row r="367" spans="1:8" x14ac:dyDescent="0.3">
      <c r="A367" t="s">
        <v>104</v>
      </c>
      <c r="B367">
        <v>2019</v>
      </c>
      <c r="C367" t="s">
        <v>307</v>
      </c>
      <c r="D367" t="s">
        <v>308</v>
      </c>
      <c r="E367" t="s">
        <v>65</v>
      </c>
      <c r="F367">
        <v>14800</v>
      </c>
      <c r="G367" t="s">
        <v>66</v>
      </c>
      <c r="H367">
        <v>173</v>
      </c>
    </row>
    <row r="368" spans="1:8" x14ac:dyDescent="0.3">
      <c r="A368" t="s">
        <v>104</v>
      </c>
      <c r="B368">
        <v>2020</v>
      </c>
      <c r="C368" t="s">
        <v>307</v>
      </c>
      <c r="D368" t="s">
        <v>308</v>
      </c>
      <c r="E368" t="s">
        <v>65</v>
      </c>
      <c r="F368">
        <v>14800</v>
      </c>
      <c r="G368" t="s">
        <v>66</v>
      </c>
      <c r="H368">
        <v>167</v>
      </c>
    </row>
    <row r="369" spans="1:8" x14ac:dyDescent="0.3">
      <c r="A369" t="s">
        <v>104</v>
      </c>
      <c r="B369">
        <v>2021</v>
      </c>
      <c r="C369" t="s">
        <v>307</v>
      </c>
      <c r="D369" t="s">
        <v>308</v>
      </c>
      <c r="E369" t="s">
        <v>65</v>
      </c>
      <c r="F369">
        <v>14800</v>
      </c>
      <c r="G369" t="s">
        <v>66</v>
      </c>
      <c r="H369">
        <v>161</v>
      </c>
    </row>
    <row r="370" spans="1:8" x14ac:dyDescent="0.3">
      <c r="A370" t="s">
        <v>197</v>
      </c>
      <c r="B370">
        <v>2017</v>
      </c>
      <c r="C370" t="s">
        <v>307</v>
      </c>
      <c r="D370" t="s">
        <v>308</v>
      </c>
      <c r="E370" t="s">
        <v>65</v>
      </c>
      <c r="F370">
        <v>42300</v>
      </c>
      <c r="G370" t="s">
        <v>66</v>
      </c>
      <c r="H370">
        <v>1</v>
      </c>
    </row>
    <row r="371" spans="1:8" x14ac:dyDescent="0.3">
      <c r="A371" t="s">
        <v>197</v>
      </c>
      <c r="B371">
        <v>2020</v>
      </c>
      <c r="C371" t="s">
        <v>307</v>
      </c>
      <c r="D371" t="s">
        <v>308</v>
      </c>
      <c r="E371" t="s">
        <v>65</v>
      </c>
      <c r="F371">
        <v>42300</v>
      </c>
      <c r="G371" t="s">
        <v>66</v>
      </c>
      <c r="H371">
        <v>1</v>
      </c>
    </row>
    <row r="372" spans="1:8" x14ac:dyDescent="0.3">
      <c r="A372" t="s">
        <v>197</v>
      </c>
      <c r="B372">
        <v>2021</v>
      </c>
      <c r="C372" t="s">
        <v>307</v>
      </c>
      <c r="D372" t="s">
        <v>308</v>
      </c>
      <c r="E372" t="s">
        <v>65</v>
      </c>
      <c r="F372">
        <v>42300</v>
      </c>
      <c r="G372" t="s">
        <v>66</v>
      </c>
      <c r="H372">
        <v>3</v>
      </c>
    </row>
    <row r="373" spans="1:8" x14ac:dyDescent="0.3">
      <c r="A373" t="s">
        <v>105</v>
      </c>
      <c r="B373">
        <v>2014</v>
      </c>
      <c r="C373" t="s">
        <v>307</v>
      </c>
      <c r="D373" t="s">
        <v>308</v>
      </c>
      <c r="E373" t="s">
        <v>65</v>
      </c>
      <c r="F373">
        <v>16300</v>
      </c>
      <c r="G373" t="s">
        <v>66</v>
      </c>
      <c r="H373">
        <v>40</v>
      </c>
    </row>
    <row r="374" spans="1:8" x14ac:dyDescent="0.3">
      <c r="A374" t="s">
        <v>105</v>
      </c>
      <c r="B374">
        <v>2015</v>
      </c>
      <c r="C374" t="s">
        <v>307</v>
      </c>
      <c r="D374" t="s">
        <v>308</v>
      </c>
      <c r="E374" t="s">
        <v>65</v>
      </c>
      <c r="F374">
        <v>16300</v>
      </c>
      <c r="G374" t="s">
        <v>66</v>
      </c>
      <c r="H374">
        <v>54</v>
      </c>
    </row>
    <row r="375" spans="1:8" x14ac:dyDescent="0.3">
      <c r="A375" t="s">
        <v>105</v>
      </c>
      <c r="B375">
        <v>2016</v>
      </c>
      <c r="C375" t="s">
        <v>307</v>
      </c>
      <c r="D375" t="s">
        <v>308</v>
      </c>
      <c r="E375" t="s">
        <v>65</v>
      </c>
      <c r="F375">
        <v>16300</v>
      </c>
      <c r="G375" t="s">
        <v>66</v>
      </c>
      <c r="H375">
        <v>52</v>
      </c>
    </row>
    <row r="376" spans="1:8" x14ac:dyDescent="0.3">
      <c r="A376" t="s">
        <v>105</v>
      </c>
      <c r="B376">
        <v>2017</v>
      </c>
      <c r="C376" t="s">
        <v>307</v>
      </c>
      <c r="D376" t="s">
        <v>308</v>
      </c>
      <c r="E376" t="s">
        <v>65</v>
      </c>
      <c r="F376">
        <v>16300</v>
      </c>
      <c r="G376" t="s">
        <v>66</v>
      </c>
      <c r="H376">
        <v>65</v>
      </c>
    </row>
    <row r="377" spans="1:8" x14ac:dyDescent="0.3">
      <c r="A377" t="s">
        <v>105</v>
      </c>
      <c r="B377">
        <v>2018</v>
      </c>
      <c r="C377" t="s">
        <v>307</v>
      </c>
      <c r="D377" t="s">
        <v>308</v>
      </c>
      <c r="E377" t="s">
        <v>65</v>
      </c>
      <c r="F377">
        <v>16300</v>
      </c>
      <c r="G377" t="s">
        <v>66</v>
      </c>
      <c r="H377">
        <v>94</v>
      </c>
    </row>
    <row r="378" spans="1:8" x14ac:dyDescent="0.3">
      <c r="A378" t="s">
        <v>105</v>
      </c>
      <c r="B378">
        <v>2019</v>
      </c>
      <c r="C378" t="s">
        <v>307</v>
      </c>
      <c r="D378" t="s">
        <v>308</v>
      </c>
      <c r="E378" t="s">
        <v>65</v>
      </c>
      <c r="F378">
        <v>16300</v>
      </c>
      <c r="G378" t="s">
        <v>66</v>
      </c>
      <c r="H378">
        <v>74</v>
      </c>
    </row>
    <row r="379" spans="1:8" x14ac:dyDescent="0.3">
      <c r="A379" t="s">
        <v>105</v>
      </c>
      <c r="B379">
        <v>2020</v>
      </c>
      <c r="C379" t="s">
        <v>307</v>
      </c>
      <c r="D379" t="s">
        <v>308</v>
      </c>
      <c r="E379" t="s">
        <v>65</v>
      </c>
      <c r="F379">
        <v>16300</v>
      </c>
      <c r="G379" t="s">
        <v>66</v>
      </c>
      <c r="H379">
        <v>47</v>
      </c>
    </row>
    <row r="380" spans="1:8" x14ac:dyDescent="0.3">
      <c r="A380" t="s">
        <v>105</v>
      </c>
      <c r="B380">
        <v>2021</v>
      </c>
      <c r="C380" t="s">
        <v>307</v>
      </c>
      <c r="D380" t="s">
        <v>308</v>
      </c>
      <c r="E380" t="s">
        <v>65</v>
      </c>
      <c r="F380">
        <v>16300</v>
      </c>
      <c r="G380" t="s">
        <v>66</v>
      </c>
      <c r="H380">
        <v>72</v>
      </c>
    </row>
    <row r="381" spans="1:8" x14ac:dyDescent="0.3">
      <c r="A381" t="s">
        <v>106</v>
      </c>
      <c r="B381">
        <v>2014</v>
      </c>
      <c r="C381" t="s">
        <v>307</v>
      </c>
      <c r="D381" t="s">
        <v>308</v>
      </c>
      <c r="E381" t="s">
        <v>65</v>
      </c>
      <c r="F381">
        <v>15000</v>
      </c>
      <c r="G381" t="s">
        <v>66</v>
      </c>
      <c r="H381">
        <v>210</v>
      </c>
    </row>
    <row r="382" spans="1:8" x14ac:dyDescent="0.3">
      <c r="A382" t="s">
        <v>106</v>
      </c>
      <c r="B382">
        <v>2015</v>
      </c>
      <c r="C382" t="s">
        <v>307</v>
      </c>
      <c r="D382" t="s">
        <v>308</v>
      </c>
      <c r="E382" t="s">
        <v>65</v>
      </c>
      <c r="F382">
        <v>15000</v>
      </c>
      <c r="G382" t="s">
        <v>66</v>
      </c>
      <c r="H382">
        <v>441</v>
      </c>
    </row>
    <row r="383" spans="1:8" x14ac:dyDescent="0.3">
      <c r="A383" t="s">
        <v>106</v>
      </c>
      <c r="B383">
        <v>2016</v>
      </c>
      <c r="C383" t="s">
        <v>307</v>
      </c>
      <c r="D383" t="s">
        <v>308</v>
      </c>
      <c r="E383" t="s">
        <v>65</v>
      </c>
      <c r="F383">
        <v>15000</v>
      </c>
      <c r="G383" t="s">
        <v>66</v>
      </c>
      <c r="H383">
        <v>500</v>
      </c>
    </row>
    <row r="384" spans="1:8" x14ac:dyDescent="0.3">
      <c r="A384" t="s">
        <v>106</v>
      </c>
      <c r="B384">
        <v>2017</v>
      </c>
      <c r="C384" t="s">
        <v>307</v>
      </c>
      <c r="D384" t="s">
        <v>308</v>
      </c>
      <c r="E384" t="s">
        <v>65</v>
      </c>
      <c r="F384">
        <v>15000</v>
      </c>
      <c r="G384" t="s">
        <v>66</v>
      </c>
      <c r="H384">
        <v>547</v>
      </c>
    </row>
    <row r="385" spans="1:8" x14ac:dyDescent="0.3">
      <c r="A385" t="s">
        <v>106</v>
      </c>
      <c r="B385">
        <v>2018</v>
      </c>
      <c r="C385" t="s">
        <v>307</v>
      </c>
      <c r="D385" t="s">
        <v>308</v>
      </c>
      <c r="E385" t="s">
        <v>65</v>
      </c>
      <c r="F385">
        <v>15000</v>
      </c>
      <c r="G385" t="s">
        <v>66</v>
      </c>
      <c r="H385">
        <v>545</v>
      </c>
    </row>
    <row r="386" spans="1:8" x14ac:dyDescent="0.3">
      <c r="A386" t="s">
        <v>106</v>
      </c>
      <c r="B386">
        <v>2019</v>
      </c>
      <c r="C386" t="s">
        <v>307</v>
      </c>
      <c r="D386" t="s">
        <v>308</v>
      </c>
      <c r="E386" t="s">
        <v>65</v>
      </c>
      <c r="F386">
        <v>15000</v>
      </c>
      <c r="G386" t="s">
        <v>66</v>
      </c>
      <c r="H386">
        <v>589</v>
      </c>
    </row>
    <row r="387" spans="1:8" x14ac:dyDescent="0.3">
      <c r="A387" t="s">
        <v>106</v>
      </c>
      <c r="B387">
        <v>2020</v>
      </c>
      <c r="C387" t="s">
        <v>307</v>
      </c>
      <c r="D387" t="s">
        <v>308</v>
      </c>
      <c r="E387" t="s">
        <v>65</v>
      </c>
      <c r="F387">
        <v>15000</v>
      </c>
      <c r="G387" t="s">
        <v>66</v>
      </c>
      <c r="H387">
        <v>376</v>
      </c>
    </row>
    <row r="388" spans="1:8" x14ac:dyDescent="0.3">
      <c r="A388" t="s">
        <v>106</v>
      </c>
      <c r="B388">
        <v>2021</v>
      </c>
      <c r="C388" t="s">
        <v>307</v>
      </c>
      <c r="D388" t="s">
        <v>308</v>
      </c>
      <c r="E388" t="s">
        <v>65</v>
      </c>
      <c r="F388">
        <v>15000</v>
      </c>
      <c r="G388" t="s">
        <v>66</v>
      </c>
      <c r="H388">
        <v>420</v>
      </c>
    </row>
    <row r="389" spans="1:8" x14ac:dyDescent="0.3">
      <c r="A389" t="s">
        <v>107</v>
      </c>
      <c r="B389">
        <v>2014</v>
      </c>
      <c r="C389" t="s">
        <v>307</v>
      </c>
      <c r="D389" t="s">
        <v>308</v>
      </c>
      <c r="E389" t="s">
        <v>65</v>
      </c>
      <c r="F389">
        <v>22002</v>
      </c>
      <c r="G389" t="s">
        <v>72</v>
      </c>
      <c r="H389">
        <v>11</v>
      </c>
    </row>
    <row r="390" spans="1:8" x14ac:dyDescent="0.3">
      <c r="A390" t="s">
        <v>107</v>
      </c>
      <c r="B390">
        <v>2015</v>
      </c>
      <c r="C390" t="s">
        <v>307</v>
      </c>
      <c r="D390" t="s">
        <v>308</v>
      </c>
      <c r="E390" t="s">
        <v>65</v>
      </c>
      <c r="F390">
        <v>22002</v>
      </c>
      <c r="G390" t="s">
        <v>72</v>
      </c>
      <c r="H390">
        <v>32</v>
      </c>
    </row>
    <row r="391" spans="1:8" x14ac:dyDescent="0.3">
      <c r="A391" t="s">
        <v>107</v>
      </c>
      <c r="B391">
        <v>2016</v>
      </c>
      <c r="C391" t="s">
        <v>307</v>
      </c>
      <c r="D391" t="s">
        <v>308</v>
      </c>
      <c r="E391" t="s">
        <v>65</v>
      </c>
      <c r="F391">
        <v>22002</v>
      </c>
      <c r="G391" t="s">
        <v>72</v>
      </c>
      <c r="H391">
        <v>25</v>
      </c>
    </row>
    <row r="392" spans="1:8" x14ac:dyDescent="0.3">
      <c r="A392" t="s">
        <v>107</v>
      </c>
      <c r="B392">
        <v>2017</v>
      </c>
      <c r="C392" t="s">
        <v>307</v>
      </c>
      <c r="D392" t="s">
        <v>308</v>
      </c>
      <c r="E392" t="s">
        <v>65</v>
      </c>
      <c r="F392">
        <v>22002</v>
      </c>
      <c r="G392" t="s">
        <v>72</v>
      </c>
      <c r="H392">
        <v>45</v>
      </c>
    </row>
    <row r="393" spans="1:8" x14ac:dyDescent="0.3">
      <c r="A393" t="s">
        <v>107</v>
      </c>
      <c r="B393">
        <v>2018</v>
      </c>
      <c r="C393" t="s">
        <v>307</v>
      </c>
      <c r="D393" t="s">
        <v>308</v>
      </c>
      <c r="E393" t="s">
        <v>65</v>
      </c>
      <c r="F393">
        <v>22002</v>
      </c>
      <c r="G393" t="s">
        <v>72</v>
      </c>
      <c r="H393">
        <v>28</v>
      </c>
    </row>
    <row r="394" spans="1:8" x14ac:dyDescent="0.3">
      <c r="A394" t="s">
        <v>107</v>
      </c>
      <c r="B394">
        <v>2019</v>
      </c>
      <c r="C394" t="s">
        <v>307</v>
      </c>
      <c r="D394" t="s">
        <v>308</v>
      </c>
      <c r="E394" t="s">
        <v>65</v>
      </c>
      <c r="F394">
        <v>22002</v>
      </c>
      <c r="G394" t="s">
        <v>72</v>
      </c>
      <c r="H394">
        <v>18</v>
      </c>
    </row>
    <row r="395" spans="1:8" x14ac:dyDescent="0.3">
      <c r="A395" t="s">
        <v>107</v>
      </c>
      <c r="B395">
        <v>2020</v>
      </c>
      <c r="C395" t="s">
        <v>307</v>
      </c>
      <c r="D395" t="s">
        <v>308</v>
      </c>
      <c r="E395" t="s">
        <v>65</v>
      </c>
      <c r="F395">
        <v>22002</v>
      </c>
      <c r="G395" t="s">
        <v>72</v>
      </c>
      <c r="H395">
        <v>22</v>
      </c>
    </row>
    <row r="396" spans="1:8" x14ac:dyDescent="0.3">
      <c r="A396" t="s">
        <v>107</v>
      </c>
      <c r="B396">
        <v>2021</v>
      </c>
      <c r="C396" t="s">
        <v>307</v>
      </c>
      <c r="D396" t="s">
        <v>308</v>
      </c>
      <c r="E396" t="s">
        <v>65</v>
      </c>
      <c r="F396">
        <v>22002</v>
      </c>
      <c r="G396" t="s">
        <v>72</v>
      </c>
      <c r="H396">
        <v>20</v>
      </c>
    </row>
    <row r="397" spans="1:8" x14ac:dyDescent="0.3">
      <c r="A397" t="s">
        <v>198</v>
      </c>
      <c r="B397">
        <v>2014</v>
      </c>
      <c r="C397" t="s">
        <v>307</v>
      </c>
      <c r="D397" t="s">
        <v>308</v>
      </c>
      <c r="E397" t="s">
        <v>65</v>
      </c>
      <c r="F397">
        <v>30000</v>
      </c>
      <c r="G397" t="s">
        <v>72</v>
      </c>
      <c r="H397">
        <v>10</v>
      </c>
    </row>
    <row r="398" spans="1:8" x14ac:dyDescent="0.3">
      <c r="A398" t="s">
        <v>198</v>
      </c>
      <c r="B398">
        <v>2015</v>
      </c>
      <c r="C398" t="s">
        <v>307</v>
      </c>
      <c r="D398" t="s">
        <v>308</v>
      </c>
      <c r="E398" t="s">
        <v>65</v>
      </c>
      <c r="F398">
        <v>30000</v>
      </c>
      <c r="G398" t="s">
        <v>72</v>
      </c>
      <c r="H398">
        <v>21</v>
      </c>
    </row>
    <row r="399" spans="1:8" x14ac:dyDescent="0.3">
      <c r="A399" t="s">
        <v>198</v>
      </c>
      <c r="B399">
        <v>2016</v>
      </c>
      <c r="C399" t="s">
        <v>307</v>
      </c>
      <c r="D399" t="s">
        <v>308</v>
      </c>
      <c r="E399" t="s">
        <v>65</v>
      </c>
      <c r="F399">
        <v>30000</v>
      </c>
      <c r="G399" t="s">
        <v>72</v>
      </c>
      <c r="H399">
        <v>27</v>
      </c>
    </row>
    <row r="400" spans="1:8" x14ac:dyDescent="0.3">
      <c r="A400" t="s">
        <v>198</v>
      </c>
      <c r="B400">
        <v>2017</v>
      </c>
      <c r="C400" t="s">
        <v>307</v>
      </c>
      <c r="D400" t="s">
        <v>308</v>
      </c>
      <c r="E400" t="s">
        <v>65</v>
      </c>
      <c r="F400">
        <v>30000</v>
      </c>
      <c r="G400" t="s">
        <v>72</v>
      </c>
      <c r="H400">
        <v>26</v>
      </c>
    </row>
    <row r="401" spans="1:8" x14ac:dyDescent="0.3">
      <c r="A401" t="s">
        <v>198</v>
      </c>
      <c r="B401">
        <v>2018</v>
      </c>
      <c r="C401" t="s">
        <v>307</v>
      </c>
      <c r="D401" t="s">
        <v>308</v>
      </c>
      <c r="E401" t="s">
        <v>65</v>
      </c>
      <c r="F401">
        <v>30000</v>
      </c>
      <c r="G401" t="s">
        <v>72</v>
      </c>
      <c r="H401">
        <v>23</v>
      </c>
    </row>
    <row r="402" spans="1:8" x14ac:dyDescent="0.3">
      <c r="A402" t="s">
        <v>198</v>
      </c>
      <c r="B402">
        <v>2019</v>
      </c>
      <c r="C402" t="s">
        <v>307</v>
      </c>
      <c r="D402" t="s">
        <v>308</v>
      </c>
      <c r="E402" t="s">
        <v>65</v>
      </c>
      <c r="F402">
        <v>30000</v>
      </c>
      <c r="G402" t="s">
        <v>72</v>
      </c>
      <c r="H402">
        <v>45</v>
      </c>
    </row>
    <row r="403" spans="1:8" x14ac:dyDescent="0.3">
      <c r="A403" t="s">
        <v>198</v>
      </c>
      <c r="B403">
        <v>2020</v>
      </c>
      <c r="C403" t="s">
        <v>307</v>
      </c>
      <c r="D403" t="s">
        <v>308</v>
      </c>
      <c r="E403" t="s">
        <v>65</v>
      </c>
      <c r="F403">
        <v>30000</v>
      </c>
      <c r="G403" t="s">
        <v>72</v>
      </c>
      <c r="H403">
        <v>66</v>
      </c>
    </row>
    <row r="404" spans="1:8" x14ac:dyDescent="0.3">
      <c r="A404" t="s">
        <v>198</v>
      </c>
      <c r="B404">
        <v>2021</v>
      </c>
      <c r="C404" t="s">
        <v>307</v>
      </c>
      <c r="D404" t="s">
        <v>308</v>
      </c>
      <c r="E404" t="s">
        <v>65</v>
      </c>
      <c r="F404">
        <v>30000</v>
      </c>
      <c r="G404" t="s">
        <v>72</v>
      </c>
      <c r="H404">
        <v>85</v>
      </c>
    </row>
    <row r="405" spans="1:8" x14ac:dyDescent="0.3">
      <c r="A405" t="s">
        <v>199</v>
      </c>
      <c r="B405">
        <v>2017</v>
      </c>
      <c r="C405" t="s">
        <v>307</v>
      </c>
      <c r="D405" t="s">
        <v>308</v>
      </c>
      <c r="E405" t="s">
        <v>65</v>
      </c>
      <c r="F405">
        <v>30800</v>
      </c>
      <c r="G405" t="s">
        <v>72</v>
      </c>
      <c r="H405">
        <v>18</v>
      </c>
    </row>
    <row r="406" spans="1:8" x14ac:dyDescent="0.3">
      <c r="A406" t="s">
        <v>199</v>
      </c>
      <c r="B406">
        <v>2018</v>
      </c>
      <c r="C406" t="s">
        <v>307</v>
      </c>
      <c r="D406" t="s">
        <v>308</v>
      </c>
      <c r="E406" t="s">
        <v>65</v>
      </c>
      <c r="F406">
        <v>30800</v>
      </c>
      <c r="G406" t="s">
        <v>72</v>
      </c>
      <c r="H406">
        <v>48</v>
      </c>
    </row>
    <row r="407" spans="1:8" x14ac:dyDescent="0.3">
      <c r="A407" t="s">
        <v>199</v>
      </c>
      <c r="B407">
        <v>2019</v>
      </c>
      <c r="C407" t="s">
        <v>307</v>
      </c>
      <c r="D407" t="s">
        <v>308</v>
      </c>
      <c r="E407" t="s">
        <v>65</v>
      </c>
      <c r="F407">
        <v>30800</v>
      </c>
      <c r="G407" t="s">
        <v>72</v>
      </c>
      <c r="H407">
        <v>52</v>
      </c>
    </row>
    <row r="408" spans="1:8" x14ac:dyDescent="0.3">
      <c r="A408" t="s">
        <v>199</v>
      </c>
      <c r="B408">
        <v>2020</v>
      </c>
      <c r="C408" t="s">
        <v>307</v>
      </c>
      <c r="D408" t="s">
        <v>308</v>
      </c>
      <c r="E408" t="s">
        <v>65</v>
      </c>
      <c r="F408">
        <v>30800</v>
      </c>
      <c r="G408" t="s">
        <v>72</v>
      </c>
      <c r="H408">
        <v>34</v>
      </c>
    </row>
    <row r="409" spans="1:8" x14ac:dyDescent="0.3">
      <c r="A409" t="s">
        <v>199</v>
      </c>
      <c r="B409">
        <v>2021</v>
      </c>
      <c r="C409" t="s">
        <v>307</v>
      </c>
      <c r="D409" t="s">
        <v>308</v>
      </c>
      <c r="E409" t="s">
        <v>65</v>
      </c>
      <c r="F409">
        <v>30800</v>
      </c>
      <c r="G409" t="s">
        <v>72</v>
      </c>
      <c r="H409">
        <v>38</v>
      </c>
    </row>
    <row r="410" spans="1:8" x14ac:dyDescent="0.3">
      <c r="A410" t="s">
        <v>200</v>
      </c>
      <c r="B410">
        <v>2014</v>
      </c>
      <c r="C410" t="s">
        <v>307</v>
      </c>
      <c r="D410" t="s">
        <v>308</v>
      </c>
      <c r="E410" t="s">
        <v>65</v>
      </c>
      <c r="F410">
        <v>35699</v>
      </c>
      <c r="G410" t="s">
        <v>66</v>
      </c>
      <c r="H410">
        <v>6</v>
      </c>
    </row>
    <row r="411" spans="1:8" x14ac:dyDescent="0.3">
      <c r="A411" t="s">
        <v>200</v>
      </c>
      <c r="B411">
        <v>2015</v>
      </c>
      <c r="C411" t="s">
        <v>307</v>
      </c>
      <c r="D411" t="s">
        <v>308</v>
      </c>
      <c r="E411" t="s">
        <v>65</v>
      </c>
      <c r="F411">
        <v>35699</v>
      </c>
      <c r="G411" t="s">
        <v>66</v>
      </c>
      <c r="H411">
        <v>13</v>
      </c>
    </row>
    <row r="412" spans="1:8" x14ac:dyDescent="0.3">
      <c r="A412" t="s">
        <v>200</v>
      </c>
      <c r="B412">
        <v>2016</v>
      </c>
      <c r="C412" t="s">
        <v>307</v>
      </c>
      <c r="D412" t="s">
        <v>308</v>
      </c>
      <c r="E412" t="s">
        <v>65</v>
      </c>
      <c r="F412">
        <v>35699</v>
      </c>
      <c r="G412" t="s">
        <v>66</v>
      </c>
      <c r="H412">
        <v>16</v>
      </c>
    </row>
    <row r="413" spans="1:8" x14ac:dyDescent="0.3">
      <c r="A413" t="s">
        <v>200</v>
      </c>
      <c r="B413">
        <v>2017</v>
      </c>
      <c r="C413" t="s">
        <v>307</v>
      </c>
      <c r="D413" t="s">
        <v>308</v>
      </c>
      <c r="E413" t="s">
        <v>65</v>
      </c>
      <c r="F413">
        <v>35699</v>
      </c>
      <c r="G413" t="s">
        <v>66</v>
      </c>
      <c r="H413">
        <v>17</v>
      </c>
    </row>
    <row r="414" spans="1:8" x14ac:dyDescent="0.3">
      <c r="A414" t="s">
        <v>200</v>
      </c>
      <c r="B414">
        <v>2018</v>
      </c>
      <c r="C414" t="s">
        <v>307</v>
      </c>
      <c r="D414" t="s">
        <v>308</v>
      </c>
      <c r="E414" t="s">
        <v>65</v>
      </c>
      <c r="F414">
        <v>35699</v>
      </c>
      <c r="G414" t="s">
        <v>66</v>
      </c>
      <c r="H414">
        <v>9</v>
      </c>
    </row>
    <row r="415" spans="1:8" x14ac:dyDescent="0.3">
      <c r="A415" t="s">
        <v>200</v>
      </c>
      <c r="B415">
        <v>2019</v>
      </c>
      <c r="C415" t="s">
        <v>307</v>
      </c>
      <c r="D415" t="s">
        <v>308</v>
      </c>
      <c r="E415" t="s">
        <v>65</v>
      </c>
      <c r="F415">
        <v>35699</v>
      </c>
      <c r="G415" t="s">
        <v>66</v>
      </c>
      <c r="H415">
        <v>45</v>
      </c>
    </row>
    <row r="416" spans="1:8" x14ac:dyDescent="0.3">
      <c r="A416" t="s">
        <v>200</v>
      </c>
      <c r="B416">
        <v>2020</v>
      </c>
      <c r="C416" t="s">
        <v>307</v>
      </c>
      <c r="D416" t="s">
        <v>308</v>
      </c>
      <c r="E416" t="s">
        <v>65</v>
      </c>
      <c r="F416">
        <v>35699</v>
      </c>
      <c r="G416" t="s">
        <v>66</v>
      </c>
      <c r="H416">
        <v>133</v>
      </c>
    </row>
    <row r="417" spans="1:8" x14ac:dyDescent="0.3">
      <c r="A417" t="s">
        <v>200</v>
      </c>
      <c r="B417">
        <v>2021</v>
      </c>
      <c r="C417" t="s">
        <v>307</v>
      </c>
      <c r="D417" t="s">
        <v>308</v>
      </c>
      <c r="E417" t="s">
        <v>65</v>
      </c>
      <c r="F417">
        <v>35699</v>
      </c>
      <c r="G417" t="s">
        <v>66</v>
      </c>
      <c r="H417">
        <v>246</v>
      </c>
    </row>
    <row r="418" spans="1:8" x14ac:dyDescent="0.3">
      <c r="A418" t="s">
        <v>201</v>
      </c>
      <c r="B418">
        <v>2016</v>
      </c>
      <c r="C418" t="s">
        <v>307</v>
      </c>
      <c r="D418" t="s">
        <v>308</v>
      </c>
      <c r="E418" t="s">
        <v>65</v>
      </c>
      <c r="F418">
        <v>1300</v>
      </c>
      <c r="G418" t="s">
        <v>66</v>
      </c>
      <c r="H418">
        <v>1</v>
      </c>
    </row>
    <row r="419" spans="1:8" x14ac:dyDescent="0.3">
      <c r="A419" t="s">
        <v>201</v>
      </c>
      <c r="B419">
        <v>2017</v>
      </c>
      <c r="C419" t="s">
        <v>307</v>
      </c>
      <c r="D419" t="s">
        <v>308</v>
      </c>
      <c r="E419" t="s">
        <v>65</v>
      </c>
      <c r="F419">
        <v>1300</v>
      </c>
      <c r="G419" t="s">
        <v>66</v>
      </c>
      <c r="H419">
        <v>1</v>
      </c>
    </row>
    <row r="420" spans="1:8" x14ac:dyDescent="0.3">
      <c r="A420" t="s">
        <v>201</v>
      </c>
      <c r="B420">
        <v>2018</v>
      </c>
      <c r="C420" t="s">
        <v>307</v>
      </c>
      <c r="D420" t="s">
        <v>308</v>
      </c>
      <c r="E420" t="s">
        <v>65</v>
      </c>
      <c r="F420">
        <v>1300</v>
      </c>
      <c r="G420" t="s">
        <v>66</v>
      </c>
      <c r="H420">
        <v>1</v>
      </c>
    </row>
    <row r="421" spans="1:8" x14ac:dyDescent="0.3">
      <c r="A421" t="s">
        <v>108</v>
      </c>
      <c r="B421">
        <v>2014</v>
      </c>
      <c r="C421" t="s">
        <v>307</v>
      </c>
      <c r="D421" t="s">
        <v>308</v>
      </c>
      <c r="E421" t="s">
        <v>65</v>
      </c>
      <c r="F421">
        <v>37478</v>
      </c>
      <c r="G421" t="s">
        <v>72</v>
      </c>
      <c r="H421">
        <v>6</v>
      </c>
    </row>
    <row r="422" spans="1:8" x14ac:dyDescent="0.3">
      <c r="A422" t="s">
        <v>108</v>
      </c>
      <c r="B422">
        <v>2015</v>
      </c>
      <c r="C422" t="s">
        <v>307</v>
      </c>
      <c r="D422" t="s">
        <v>308</v>
      </c>
      <c r="E422" t="s">
        <v>65</v>
      </c>
      <c r="F422">
        <v>37478</v>
      </c>
      <c r="G422" t="s">
        <v>72</v>
      </c>
      <c r="H422">
        <v>24</v>
      </c>
    </row>
    <row r="423" spans="1:8" x14ac:dyDescent="0.3">
      <c r="A423" t="s">
        <v>108</v>
      </c>
      <c r="B423">
        <v>2016</v>
      </c>
      <c r="C423" t="s">
        <v>307</v>
      </c>
      <c r="D423" t="s">
        <v>308</v>
      </c>
      <c r="E423" t="s">
        <v>65</v>
      </c>
      <c r="F423">
        <v>37478</v>
      </c>
      <c r="G423" t="s">
        <v>72</v>
      </c>
      <c r="H423">
        <v>16</v>
      </c>
    </row>
    <row r="424" spans="1:8" x14ac:dyDescent="0.3">
      <c r="A424" t="s">
        <v>108</v>
      </c>
      <c r="B424">
        <v>2017</v>
      </c>
      <c r="C424" t="s">
        <v>307</v>
      </c>
      <c r="D424" t="s">
        <v>308</v>
      </c>
      <c r="E424" t="s">
        <v>65</v>
      </c>
      <c r="F424">
        <v>37478</v>
      </c>
      <c r="G424" t="s">
        <v>72</v>
      </c>
      <c r="H424">
        <v>11</v>
      </c>
    </row>
    <row r="425" spans="1:8" x14ac:dyDescent="0.3">
      <c r="A425" t="s">
        <v>108</v>
      </c>
      <c r="B425">
        <v>2018</v>
      </c>
      <c r="C425" t="s">
        <v>307</v>
      </c>
      <c r="D425" t="s">
        <v>308</v>
      </c>
      <c r="E425" t="s">
        <v>65</v>
      </c>
      <c r="F425">
        <v>37478</v>
      </c>
      <c r="G425" t="s">
        <v>72</v>
      </c>
      <c r="H425">
        <v>12</v>
      </c>
    </row>
    <row r="426" spans="1:8" x14ac:dyDescent="0.3">
      <c r="A426" t="s">
        <v>108</v>
      </c>
      <c r="B426">
        <v>2019</v>
      </c>
      <c r="C426" t="s">
        <v>307</v>
      </c>
      <c r="D426" t="s">
        <v>308</v>
      </c>
      <c r="E426" t="s">
        <v>65</v>
      </c>
      <c r="F426">
        <v>37478</v>
      </c>
      <c r="G426" t="s">
        <v>72</v>
      </c>
      <c r="H426">
        <v>15</v>
      </c>
    </row>
    <row r="427" spans="1:8" x14ac:dyDescent="0.3">
      <c r="A427" t="s">
        <v>108</v>
      </c>
      <c r="B427">
        <v>2020</v>
      </c>
      <c r="C427" t="s">
        <v>307</v>
      </c>
      <c r="D427" t="s">
        <v>308</v>
      </c>
      <c r="E427" t="s">
        <v>65</v>
      </c>
      <c r="F427">
        <v>37478</v>
      </c>
      <c r="G427" t="s">
        <v>72</v>
      </c>
      <c r="H427">
        <v>13</v>
      </c>
    </row>
    <row r="428" spans="1:8" x14ac:dyDescent="0.3">
      <c r="A428" t="s">
        <v>108</v>
      </c>
      <c r="B428">
        <v>2021</v>
      </c>
      <c r="C428" t="s">
        <v>307</v>
      </c>
      <c r="D428" t="s">
        <v>308</v>
      </c>
      <c r="E428" t="s">
        <v>65</v>
      </c>
      <c r="F428">
        <v>37478</v>
      </c>
      <c r="G428" t="s">
        <v>72</v>
      </c>
      <c r="H428">
        <v>12</v>
      </c>
    </row>
    <row r="429" spans="1:8" x14ac:dyDescent="0.3">
      <c r="A429" t="s">
        <v>202</v>
      </c>
      <c r="B429">
        <v>2016</v>
      </c>
      <c r="C429" t="s">
        <v>307</v>
      </c>
      <c r="D429" t="s">
        <v>308</v>
      </c>
      <c r="E429" t="s">
        <v>65</v>
      </c>
      <c r="F429">
        <v>40600</v>
      </c>
      <c r="G429" t="s">
        <v>72</v>
      </c>
      <c r="H429">
        <v>1</v>
      </c>
    </row>
    <row r="430" spans="1:8" x14ac:dyDescent="0.3">
      <c r="A430" t="s">
        <v>202</v>
      </c>
      <c r="B430">
        <v>2017</v>
      </c>
      <c r="C430" t="s">
        <v>307</v>
      </c>
      <c r="D430" t="s">
        <v>308</v>
      </c>
      <c r="E430" t="s">
        <v>65</v>
      </c>
      <c r="F430">
        <v>40600</v>
      </c>
      <c r="G430" t="s">
        <v>72</v>
      </c>
      <c r="H430">
        <v>4</v>
      </c>
    </row>
    <row r="431" spans="1:8" x14ac:dyDescent="0.3">
      <c r="A431" t="s">
        <v>202</v>
      </c>
      <c r="B431">
        <v>2018</v>
      </c>
      <c r="C431" t="s">
        <v>307</v>
      </c>
      <c r="D431" t="s">
        <v>308</v>
      </c>
      <c r="E431" t="s">
        <v>65</v>
      </c>
      <c r="F431">
        <v>40600</v>
      </c>
      <c r="G431" t="s">
        <v>72</v>
      </c>
      <c r="H431">
        <v>15</v>
      </c>
    </row>
    <row r="432" spans="1:8" x14ac:dyDescent="0.3">
      <c r="A432" t="s">
        <v>202</v>
      </c>
      <c r="B432">
        <v>2019</v>
      </c>
      <c r="C432" t="s">
        <v>307</v>
      </c>
      <c r="D432" t="s">
        <v>308</v>
      </c>
      <c r="E432" t="s">
        <v>65</v>
      </c>
      <c r="F432">
        <v>40600</v>
      </c>
      <c r="G432" t="s">
        <v>72</v>
      </c>
      <c r="H432">
        <v>8</v>
      </c>
    </row>
    <row r="433" spans="1:8" x14ac:dyDescent="0.3">
      <c r="A433" t="s">
        <v>202</v>
      </c>
      <c r="B433">
        <v>2020</v>
      </c>
      <c r="C433" t="s">
        <v>307</v>
      </c>
      <c r="D433" t="s">
        <v>308</v>
      </c>
      <c r="E433" t="s">
        <v>65</v>
      </c>
      <c r="F433">
        <v>40600</v>
      </c>
      <c r="G433" t="s">
        <v>72</v>
      </c>
      <c r="H433">
        <v>7</v>
      </c>
    </row>
    <row r="434" spans="1:8" x14ac:dyDescent="0.3">
      <c r="A434" t="s">
        <v>202</v>
      </c>
      <c r="B434">
        <v>2021</v>
      </c>
      <c r="C434" t="s">
        <v>307</v>
      </c>
      <c r="D434" t="s">
        <v>308</v>
      </c>
      <c r="E434" t="s">
        <v>65</v>
      </c>
      <c r="F434">
        <v>40600</v>
      </c>
      <c r="G434" t="s">
        <v>72</v>
      </c>
      <c r="H434">
        <v>21</v>
      </c>
    </row>
    <row r="435" spans="1:8" x14ac:dyDescent="0.3">
      <c r="A435" t="s">
        <v>203</v>
      </c>
      <c r="B435">
        <v>2014</v>
      </c>
      <c r="C435" t="s">
        <v>307</v>
      </c>
      <c r="D435" t="s">
        <v>308</v>
      </c>
      <c r="E435" t="s">
        <v>65</v>
      </c>
      <c r="F435">
        <v>48200</v>
      </c>
      <c r="G435" t="s">
        <v>72</v>
      </c>
      <c r="H435">
        <v>4</v>
      </c>
    </row>
    <row r="436" spans="1:8" x14ac:dyDescent="0.3">
      <c r="A436" t="s">
        <v>203</v>
      </c>
      <c r="B436">
        <v>2015</v>
      </c>
      <c r="C436" t="s">
        <v>307</v>
      </c>
      <c r="D436" t="s">
        <v>308</v>
      </c>
      <c r="E436" t="s">
        <v>65</v>
      </c>
      <c r="F436">
        <v>48200</v>
      </c>
      <c r="G436" t="s">
        <v>72</v>
      </c>
      <c r="H436">
        <v>10</v>
      </c>
    </row>
    <row r="437" spans="1:8" x14ac:dyDescent="0.3">
      <c r="A437" t="s">
        <v>203</v>
      </c>
      <c r="B437">
        <v>2016</v>
      </c>
      <c r="C437" t="s">
        <v>307</v>
      </c>
      <c r="D437" t="s">
        <v>308</v>
      </c>
      <c r="E437" t="s">
        <v>65</v>
      </c>
      <c r="F437">
        <v>48200</v>
      </c>
      <c r="G437" t="s">
        <v>72</v>
      </c>
      <c r="H437">
        <v>17</v>
      </c>
    </row>
    <row r="438" spans="1:8" x14ac:dyDescent="0.3">
      <c r="A438" t="s">
        <v>203</v>
      </c>
      <c r="B438">
        <v>2017</v>
      </c>
      <c r="C438" t="s">
        <v>307</v>
      </c>
      <c r="D438" t="s">
        <v>308</v>
      </c>
      <c r="E438" t="s">
        <v>65</v>
      </c>
      <c r="F438">
        <v>48200</v>
      </c>
      <c r="G438" t="s">
        <v>72</v>
      </c>
      <c r="H438">
        <v>26</v>
      </c>
    </row>
    <row r="439" spans="1:8" x14ac:dyDescent="0.3">
      <c r="A439" t="s">
        <v>203</v>
      </c>
      <c r="B439">
        <v>2018</v>
      </c>
      <c r="C439" t="s">
        <v>307</v>
      </c>
      <c r="D439" t="s">
        <v>308</v>
      </c>
      <c r="E439" t="s">
        <v>65</v>
      </c>
      <c r="F439">
        <v>48200</v>
      </c>
      <c r="G439" t="s">
        <v>72</v>
      </c>
      <c r="H439">
        <v>9</v>
      </c>
    </row>
    <row r="440" spans="1:8" x14ac:dyDescent="0.3">
      <c r="A440" t="s">
        <v>203</v>
      </c>
      <c r="B440">
        <v>2019</v>
      </c>
      <c r="C440" t="s">
        <v>307</v>
      </c>
      <c r="D440" t="s">
        <v>308</v>
      </c>
      <c r="E440" t="s">
        <v>65</v>
      </c>
      <c r="F440">
        <v>48200</v>
      </c>
      <c r="G440" t="s">
        <v>72</v>
      </c>
      <c r="H440">
        <v>59</v>
      </c>
    </row>
    <row r="441" spans="1:8" x14ac:dyDescent="0.3">
      <c r="A441" t="s">
        <v>203</v>
      </c>
      <c r="B441">
        <v>2020</v>
      </c>
      <c r="C441" t="s">
        <v>307</v>
      </c>
      <c r="D441" t="s">
        <v>308</v>
      </c>
      <c r="E441" t="s">
        <v>65</v>
      </c>
      <c r="F441">
        <v>48200</v>
      </c>
      <c r="G441" t="s">
        <v>72</v>
      </c>
      <c r="H441">
        <v>36</v>
      </c>
    </row>
    <row r="442" spans="1:8" x14ac:dyDescent="0.3">
      <c r="A442" t="s">
        <v>203</v>
      </c>
      <c r="B442">
        <v>2021</v>
      </c>
      <c r="C442" t="s">
        <v>307</v>
      </c>
      <c r="D442" t="s">
        <v>308</v>
      </c>
      <c r="E442" t="s">
        <v>65</v>
      </c>
      <c r="F442">
        <v>48200</v>
      </c>
      <c r="G442" t="s">
        <v>72</v>
      </c>
      <c r="H442">
        <v>72</v>
      </c>
    </row>
    <row r="443" spans="1:8" x14ac:dyDescent="0.3">
      <c r="A443" t="s">
        <v>109</v>
      </c>
      <c r="B443">
        <v>2015</v>
      </c>
      <c r="C443" t="s">
        <v>307</v>
      </c>
      <c r="D443" t="s">
        <v>308</v>
      </c>
      <c r="E443" t="s">
        <v>65</v>
      </c>
      <c r="F443">
        <v>3600</v>
      </c>
      <c r="G443" t="s">
        <v>66</v>
      </c>
      <c r="H443">
        <v>5</v>
      </c>
    </row>
    <row r="444" spans="1:8" x14ac:dyDescent="0.3">
      <c r="A444" t="s">
        <v>109</v>
      </c>
      <c r="B444">
        <v>2016</v>
      </c>
      <c r="C444" t="s">
        <v>307</v>
      </c>
      <c r="D444" t="s">
        <v>308</v>
      </c>
      <c r="E444" t="s">
        <v>65</v>
      </c>
      <c r="F444">
        <v>3600</v>
      </c>
      <c r="G444" t="s">
        <v>66</v>
      </c>
      <c r="H444">
        <v>15</v>
      </c>
    </row>
    <row r="445" spans="1:8" x14ac:dyDescent="0.3">
      <c r="A445" t="s">
        <v>109</v>
      </c>
      <c r="B445">
        <v>2017</v>
      </c>
      <c r="C445" t="s">
        <v>307</v>
      </c>
      <c r="D445" t="s">
        <v>308</v>
      </c>
      <c r="E445" t="s">
        <v>65</v>
      </c>
      <c r="F445">
        <v>3600</v>
      </c>
      <c r="G445" t="s">
        <v>66</v>
      </c>
      <c r="H445">
        <v>12</v>
      </c>
    </row>
    <row r="446" spans="1:8" x14ac:dyDescent="0.3">
      <c r="A446" t="s">
        <v>109</v>
      </c>
      <c r="B446">
        <v>2018</v>
      </c>
      <c r="C446" t="s">
        <v>307</v>
      </c>
      <c r="D446" t="s">
        <v>308</v>
      </c>
      <c r="E446" t="s">
        <v>65</v>
      </c>
      <c r="F446">
        <v>3600</v>
      </c>
      <c r="G446" t="s">
        <v>66</v>
      </c>
      <c r="H446">
        <v>18</v>
      </c>
    </row>
    <row r="447" spans="1:8" x14ac:dyDescent="0.3">
      <c r="A447" t="s">
        <v>109</v>
      </c>
      <c r="B447">
        <v>2019</v>
      </c>
      <c r="C447" t="s">
        <v>307</v>
      </c>
      <c r="D447" t="s">
        <v>308</v>
      </c>
      <c r="E447" t="s">
        <v>65</v>
      </c>
      <c r="F447">
        <v>3600</v>
      </c>
      <c r="G447" t="s">
        <v>66</v>
      </c>
      <c r="H447">
        <v>37</v>
      </c>
    </row>
    <row r="448" spans="1:8" x14ac:dyDescent="0.3">
      <c r="A448" t="s">
        <v>109</v>
      </c>
      <c r="B448">
        <v>2020</v>
      </c>
      <c r="C448" t="s">
        <v>307</v>
      </c>
      <c r="D448" t="s">
        <v>308</v>
      </c>
      <c r="E448" t="s">
        <v>65</v>
      </c>
      <c r="F448">
        <v>3600</v>
      </c>
      <c r="G448" t="s">
        <v>66</v>
      </c>
      <c r="H448">
        <v>1</v>
      </c>
    </row>
    <row r="449" spans="1:8" x14ac:dyDescent="0.3">
      <c r="A449" t="s">
        <v>204</v>
      </c>
      <c r="B449">
        <v>2015</v>
      </c>
      <c r="C449" t="s">
        <v>307</v>
      </c>
      <c r="D449" t="s">
        <v>308</v>
      </c>
      <c r="E449" t="s">
        <v>65</v>
      </c>
      <c r="F449">
        <v>53000</v>
      </c>
      <c r="G449" t="s">
        <v>72</v>
      </c>
      <c r="H449">
        <v>1</v>
      </c>
    </row>
    <row r="450" spans="1:8" x14ac:dyDescent="0.3">
      <c r="A450" t="s">
        <v>204</v>
      </c>
      <c r="B450">
        <v>2016</v>
      </c>
      <c r="C450" t="s">
        <v>307</v>
      </c>
      <c r="D450" t="s">
        <v>308</v>
      </c>
      <c r="E450" t="s">
        <v>65</v>
      </c>
      <c r="F450">
        <v>53000</v>
      </c>
      <c r="G450" t="s">
        <v>72</v>
      </c>
      <c r="H450">
        <v>1</v>
      </c>
    </row>
    <row r="451" spans="1:8" x14ac:dyDescent="0.3">
      <c r="A451" t="s">
        <v>204</v>
      </c>
      <c r="B451">
        <v>2018</v>
      </c>
      <c r="C451" t="s">
        <v>307</v>
      </c>
      <c r="D451" t="s">
        <v>308</v>
      </c>
      <c r="E451" t="s">
        <v>65</v>
      </c>
      <c r="F451">
        <v>53000</v>
      </c>
      <c r="G451" t="s">
        <v>72</v>
      </c>
      <c r="H451">
        <v>2</v>
      </c>
    </row>
    <row r="452" spans="1:8" x14ac:dyDescent="0.3">
      <c r="A452" t="s">
        <v>204</v>
      </c>
      <c r="B452">
        <v>2019</v>
      </c>
      <c r="C452" t="s">
        <v>307</v>
      </c>
      <c r="D452" t="s">
        <v>308</v>
      </c>
      <c r="E452" t="s">
        <v>65</v>
      </c>
      <c r="F452">
        <v>53000</v>
      </c>
      <c r="G452" t="s">
        <v>72</v>
      </c>
      <c r="H452">
        <v>1</v>
      </c>
    </row>
    <row r="453" spans="1:8" x14ac:dyDescent="0.3">
      <c r="A453" t="s">
        <v>204</v>
      </c>
      <c r="B453">
        <v>2020</v>
      </c>
      <c r="C453" t="s">
        <v>307</v>
      </c>
      <c r="D453" t="s">
        <v>308</v>
      </c>
      <c r="E453" t="s">
        <v>65</v>
      </c>
      <c r="F453">
        <v>53000</v>
      </c>
      <c r="G453" t="s">
        <v>72</v>
      </c>
      <c r="H453">
        <v>1</v>
      </c>
    </row>
    <row r="454" spans="1:8" x14ac:dyDescent="0.3">
      <c r="A454" t="s">
        <v>204</v>
      </c>
      <c r="B454">
        <v>2021</v>
      </c>
      <c r="C454" t="s">
        <v>307</v>
      </c>
      <c r="D454" t="s">
        <v>308</v>
      </c>
      <c r="E454" t="s">
        <v>65</v>
      </c>
      <c r="F454">
        <v>53000</v>
      </c>
      <c r="G454" t="s">
        <v>72</v>
      </c>
      <c r="H454">
        <v>8</v>
      </c>
    </row>
    <row r="455" spans="1:8" x14ac:dyDescent="0.3">
      <c r="A455" t="s">
        <v>205</v>
      </c>
      <c r="B455">
        <v>2016</v>
      </c>
      <c r="C455" t="s">
        <v>307</v>
      </c>
      <c r="D455" t="s">
        <v>308</v>
      </c>
      <c r="E455" t="s">
        <v>65</v>
      </c>
      <c r="F455">
        <v>84500</v>
      </c>
      <c r="G455" t="s">
        <v>72</v>
      </c>
      <c r="H455">
        <v>1</v>
      </c>
    </row>
    <row r="456" spans="1:8" x14ac:dyDescent="0.3">
      <c r="A456" t="s">
        <v>294</v>
      </c>
      <c r="B456">
        <v>2016</v>
      </c>
      <c r="C456" t="s">
        <v>307</v>
      </c>
      <c r="D456" t="s">
        <v>308</v>
      </c>
      <c r="E456" t="s">
        <v>65</v>
      </c>
      <c r="F456">
        <v>57000</v>
      </c>
      <c r="G456" t="s">
        <v>72</v>
      </c>
      <c r="H456">
        <v>1</v>
      </c>
    </row>
    <row r="457" spans="1:8" x14ac:dyDescent="0.3">
      <c r="A457" t="s">
        <v>111</v>
      </c>
      <c r="B457">
        <v>2015</v>
      </c>
      <c r="C457" t="s">
        <v>307</v>
      </c>
      <c r="D457" t="s">
        <v>308</v>
      </c>
      <c r="E457" t="s">
        <v>65</v>
      </c>
      <c r="F457">
        <v>1764</v>
      </c>
      <c r="G457" t="s">
        <v>66</v>
      </c>
      <c r="H457">
        <v>1</v>
      </c>
    </row>
    <row r="458" spans="1:8" x14ac:dyDescent="0.3">
      <c r="A458" t="s">
        <v>111</v>
      </c>
      <c r="B458">
        <v>2019</v>
      </c>
      <c r="C458" t="s">
        <v>307</v>
      </c>
      <c r="D458" t="s">
        <v>308</v>
      </c>
      <c r="E458" t="s">
        <v>65</v>
      </c>
      <c r="F458">
        <v>1764</v>
      </c>
      <c r="G458" t="s">
        <v>66</v>
      </c>
      <c r="H458">
        <v>2</v>
      </c>
    </row>
    <row r="459" spans="1:8" x14ac:dyDescent="0.3">
      <c r="A459" t="s">
        <v>111</v>
      </c>
      <c r="B459">
        <v>2021</v>
      </c>
      <c r="C459" t="s">
        <v>307</v>
      </c>
      <c r="D459" t="s">
        <v>308</v>
      </c>
      <c r="E459" t="s">
        <v>65</v>
      </c>
      <c r="F459">
        <v>1764</v>
      </c>
      <c r="G459" t="s">
        <v>66</v>
      </c>
      <c r="H459">
        <v>3</v>
      </c>
    </row>
    <row r="460" spans="1:8" x14ac:dyDescent="0.3">
      <c r="A460" t="s">
        <v>112</v>
      </c>
      <c r="B460">
        <v>2014</v>
      </c>
      <c r="C460" t="s">
        <v>307</v>
      </c>
      <c r="D460" t="s">
        <v>308</v>
      </c>
      <c r="E460" t="s">
        <v>65</v>
      </c>
      <c r="F460">
        <v>2888</v>
      </c>
      <c r="G460" t="s">
        <v>66</v>
      </c>
      <c r="H460">
        <v>5</v>
      </c>
    </row>
    <row r="461" spans="1:8" x14ac:dyDescent="0.3">
      <c r="A461" t="s">
        <v>112</v>
      </c>
      <c r="B461">
        <v>2015</v>
      </c>
      <c r="C461" t="s">
        <v>307</v>
      </c>
      <c r="D461" t="s">
        <v>308</v>
      </c>
      <c r="E461" t="s">
        <v>65</v>
      </c>
      <c r="F461">
        <v>2888</v>
      </c>
      <c r="G461" t="s">
        <v>66</v>
      </c>
      <c r="H461">
        <v>3</v>
      </c>
    </row>
    <row r="462" spans="1:8" x14ac:dyDescent="0.3">
      <c r="A462" t="s">
        <v>112</v>
      </c>
      <c r="B462">
        <v>2016</v>
      </c>
      <c r="C462" t="s">
        <v>307</v>
      </c>
      <c r="D462" t="s">
        <v>308</v>
      </c>
      <c r="E462" t="s">
        <v>65</v>
      </c>
      <c r="F462">
        <v>2888</v>
      </c>
      <c r="G462" t="s">
        <v>66</v>
      </c>
      <c r="H462">
        <v>3</v>
      </c>
    </row>
    <row r="463" spans="1:8" x14ac:dyDescent="0.3">
      <c r="A463" t="s">
        <v>112</v>
      </c>
      <c r="B463">
        <v>2017</v>
      </c>
      <c r="C463" t="s">
        <v>307</v>
      </c>
      <c r="D463" t="s">
        <v>308</v>
      </c>
      <c r="E463" t="s">
        <v>65</v>
      </c>
      <c r="F463">
        <v>2888</v>
      </c>
      <c r="G463" t="s">
        <v>66</v>
      </c>
      <c r="H463">
        <v>4</v>
      </c>
    </row>
    <row r="464" spans="1:8" x14ac:dyDescent="0.3">
      <c r="A464" t="s">
        <v>112</v>
      </c>
      <c r="B464">
        <v>2018</v>
      </c>
      <c r="C464" t="s">
        <v>307</v>
      </c>
      <c r="D464" t="s">
        <v>308</v>
      </c>
      <c r="E464" t="s">
        <v>65</v>
      </c>
      <c r="F464">
        <v>2888</v>
      </c>
      <c r="G464" t="s">
        <v>66</v>
      </c>
      <c r="H464">
        <v>49</v>
      </c>
    </row>
    <row r="465" spans="1:8" x14ac:dyDescent="0.3">
      <c r="A465" t="s">
        <v>112</v>
      </c>
      <c r="B465">
        <v>2019</v>
      </c>
      <c r="C465" t="s">
        <v>307</v>
      </c>
      <c r="D465" t="s">
        <v>308</v>
      </c>
      <c r="E465" t="s">
        <v>65</v>
      </c>
      <c r="F465">
        <v>2888</v>
      </c>
      <c r="G465" t="s">
        <v>66</v>
      </c>
      <c r="H465">
        <v>203</v>
      </c>
    </row>
    <row r="466" spans="1:8" x14ac:dyDescent="0.3">
      <c r="A466" t="s">
        <v>112</v>
      </c>
      <c r="B466">
        <v>2020</v>
      </c>
      <c r="C466" t="s">
        <v>307</v>
      </c>
      <c r="D466" t="s">
        <v>308</v>
      </c>
      <c r="E466" t="s">
        <v>65</v>
      </c>
      <c r="F466">
        <v>2888</v>
      </c>
      <c r="G466" t="s">
        <v>66</v>
      </c>
      <c r="H466">
        <v>204</v>
      </c>
    </row>
    <row r="467" spans="1:8" x14ac:dyDescent="0.3">
      <c r="A467" t="s">
        <v>112</v>
      </c>
      <c r="B467">
        <v>2021</v>
      </c>
      <c r="C467" t="s">
        <v>307</v>
      </c>
      <c r="D467" t="s">
        <v>308</v>
      </c>
      <c r="E467" t="s">
        <v>65</v>
      </c>
      <c r="F467">
        <v>2888</v>
      </c>
      <c r="G467" t="s">
        <v>66</v>
      </c>
      <c r="H467">
        <v>248</v>
      </c>
    </row>
    <row r="468" spans="1:8" x14ac:dyDescent="0.3">
      <c r="A468" t="s">
        <v>113</v>
      </c>
      <c r="B468">
        <v>2016</v>
      </c>
      <c r="C468" t="s">
        <v>307</v>
      </c>
      <c r="D468" t="s">
        <v>308</v>
      </c>
      <c r="E468" t="s">
        <v>65</v>
      </c>
      <c r="F468">
        <v>4407</v>
      </c>
      <c r="G468" t="s">
        <v>66</v>
      </c>
      <c r="H468">
        <v>1</v>
      </c>
    </row>
    <row r="469" spans="1:8" x14ac:dyDescent="0.3">
      <c r="A469" t="s">
        <v>113</v>
      </c>
      <c r="B469">
        <v>2017</v>
      </c>
      <c r="C469" t="s">
        <v>307</v>
      </c>
      <c r="D469" t="s">
        <v>308</v>
      </c>
      <c r="E469" t="s">
        <v>65</v>
      </c>
      <c r="F469">
        <v>4407</v>
      </c>
      <c r="G469" t="s">
        <v>66</v>
      </c>
      <c r="H469">
        <v>1</v>
      </c>
    </row>
    <row r="470" spans="1:8" x14ac:dyDescent="0.3">
      <c r="A470" t="s">
        <v>113</v>
      </c>
      <c r="B470">
        <v>2019</v>
      </c>
      <c r="C470" t="s">
        <v>307</v>
      </c>
      <c r="D470" t="s">
        <v>308</v>
      </c>
      <c r="E470" t="s">
        <v>65</v>
      </c>
      <c r="F470">
        <v>4407</v>
      </c>
      <c r="G470" t="s">
        <v>66</v>
      </c>
      <c r="H470">
        <v>4</v>
      </c>
    </row>
    <row r="471" spans="1:8" x14ac:dyDescent="0.3">
      <c r="A471" t="s">
        <v>113</v>
      </c>
      <c r="B471">
        <v>2020</v>
      </c>
      <c r="C471" t="s">
        <v>307</v>
      </c>
      <c r="D471" t="s">
        <v>308</v>
      </c>
      <c r="E471" t="s">
        <v>65</v>
      </c>
      <c r="F471">
        <v>4407</v>
      </c>
      <c r="G471" t="s">
        <v>66</v>
      </c>
      <c r="H471">
        <v>22</v>
      </c>
    </row>
    <row r="472" spans="1:8" x14ac:dyDescent="0.3">
      <c r="A472" t="s">
        <v>113</v>
      </c>
      <c r="B472">
        <v>2021</v>
      </c>
      <c r="C472" t="s">
        <v>307</v>
      </c>
      <c r="D472" t="s">
        <v>308</v>
      </c>
      <c r="E472" t="s">
        <v>65</v>
      </c>
      <c r="F472">
        <v>4407</v>
      </c>
      <c r="G472" t="s">
        <v>66</v>
      </c>
      <c r="H472">
        <v>83</v>
      </c>
    </row>
    <row r="473" spans="1:8" x14ac:dyDescent="0.3">
      <c r="A473" t="s">
        <v>115</v>
      </c>
      <c r="B473">
        <v>2015</v>
      </c>
      <c r="C473" t="s">
        <v>307</v>
      </c>
      <c r="D473" t="s">
        <v>308</v>
      </c>
      <c r="E473" t="s">
        <v>65</v>
      </c>
      <c r="F473">
        <v>1764</v>
      </c>
      <c r="G473" t="s">
        <v>66</v>
      </c>
      <c r="H473">
        <v>1</v>
      </c>
    </row>
    <row r="474" spans="1:8" x14ac:dyDescent="0.3">
      <c r="A474" t="s">
        <v>115</v>
      </c>
      <c r="B474">
        <v>2020</v>
      </c>
      <c r="C474" t="s">
        <v>307</v>
      </c>
      <c r="D474" t="s">
        <v>308</v>
      </c>
      <c r="E474" t="s">
        <v>65</v>
      </c>
      <c r="F474">
        <v>1764</v>
      </c>
      <c r="G474" t="s">
        <v>66</v>
      </c>
      <c r="H474">
        <v>2</v>
      </c>
    </row>
    <row r="475" spans="1:8" x14ac:dyDescent="0.3">
      <c r="A475" t="s">
        <v>212</v>
      </c>
      <c r="B475">
        <v>2015</v>
      </c>
      <c r="C475" t="s">
        <v>307</v>
      </c>
      <c r="D475" t="s">
        <v>308</v>
      </c>
      <c r="E475" t="s">
        <v>65</v>
      </c>
      <c r="F475">
        <v>25353</v>
      </c>
      <c r="G475" t="s">
        <v>72</v>
      </c>
      <c r="H475">
        <v>1</v>
      </c>
    </row>
    <row r="476" spans="1:8" x14ac:dyDescent="0.3">
      <c r="A476" t="s">
        <v>212</v>
      </c>
      <c r="B476">
        <v>2016</v>
      </c>
      <c r="C476" t="s">
        <v>307</v>
      </c>
      <c r="D476" t="s">
        <v>308</v>
      </c>
      <c r="E476" t="s">
        <v>65</v>
      </c>
      <c r="F476">
        <v>25353</v>
      </c>
      <c r="G476" t="s">
        <v>72</v>
      </c>
      <c r="H476">
        <v>2</v>
      </c>
    </row>
    <row r="477" spans="1:8" x14ac:dyDescent="0.3">
      <c r="A477" t="s">
        <v>212</v>
      </c>
      <c r="B477">
        <v>2017</v>
      </c>
      <c r="C477" t="s">
        <v>307</v>
      </c>
      <c r="D477" t="s">
        <v>308</v>
      </c>
      <c r="E477" t="s">
        <v>65</v>
      </c>
      <c r="F477">
        <v>25353</v>
      </c>
      <c r="G477" t="s">
        <v>72</v>
      </c>
      <c r="H477">
        <v>2</v>
      </c>
    </row>
    <row r="478" spans="1:8" x14ac:dyDescent="0.3">
      <c r="A478" t="s">
        <v>212</v>
      </c>
      <c r="B478">
        <v>2018</v>
      </c>
      <c r="C478" t="s">
        <v>307</v>
      </c>
      <c r="D478" t="s">
        <v>308</v>
      </c>
      <c r="E478" t="s">
        <v>65</v>
      </c>
      <c r="F478">
        <v>25353</v>
      </c>
      <c r="G478" t="s">
        <v>72</v>
      </c>
      <c r="H478">
        <v>2</v>
      </c>
    </row>
    <row r="479" spans="1:8" x14ac:dyDescent="0.3">
      <c r="A479" t="s">
        <v>212</v>
      </c>
      <c r="B479">
        <v>2020</v>
      </c>
      <c r="C479" t="s">
        <v>307</v>
      </c>
      <c r="D479" t="s">
        <v>308</v>
      </c>
      <c r="E479" t="s">
        <v>65</v>
      </c>
      <c r="F479">
        <v>25353</v>
      </c>
      <c r="G479" t="s">
        <v>72</v>
      </c>
      <c r="H479">
        <v>3</v>
      </c>
    </row>
    <row r="480" spans="1:8" x14ac:dyDescent="0.3">
      <c r="A480" t="s">
        <v>212</v>
      </c>
      <c r="B480">
        <v>2021</v>
      </c>
      <c r="C480" t="s">
        <v>307</v>
      </c>
      <c r="D480" t="s">
        <v>308</v>
      </c>
      <c r="E480" t="s">
        <v>65</v>
      </c>
      <c r="F480">
        <v>25353</v>
      </c>
      <c r="G480" t="s">
        <v>72</v>
      </c>
      <c r="H480">
        <v>3</v>
      </c>
    </row>
    <row r="481" spans="1:8" x14ac:dyDescent="0.3">
      <c r="A481" t="s">
        <v>213</v>
      </c>
      <c r="B481">
        <v>2014</v>
      </c>
      <c r="C481" t="s">
        <v>307</v>
      </c>
      <c r="D481" t="s">
        <v>308</v>
      </c>
      <c r="E481" t="s">
        <v>65</v>
      </c>
      <c r="F481">
        <v>44070</v>
      </c>
      <c r="G481" t="s">
        <v>72</v>
      </c>
      <c r="H481">
        <v>1</v>
      </c>
    </row>
    <row r="482" spans="1:8" x14ac:dyDescent="0.3">
      <c r="A482" t="s">
        <v>213</v>
      </c>
      <c r="B482">
        <v>2015</v>
      </c>
      <c r="C482" t="s">
        <v>307</v>
      </c>
      <c r="D482" t="s">
        <v>308</v>
      </c>
      <c r="E482" t="s">
        <v>65</v>
      </c>
      <c r="F482">
        <v>44070</v>
      </c>
      <c r="G482" t="s">
        <v>72</v>
      </c>
      <c r="H482">
        <v>1</v>
      </c>
    </row>
    <row r="483" spans="1:8" x14ac:dyDescent="0.3">
      <c r="A483" t="s">
        <v>213</v>
      </c>
      <c r="B483">
        <v>2016</v>
      </c>
      <c r="C483" t="s">
        <v>307</v>
      </c>
      <c r="D483" t="s">
        <v>308</v>
      </c>
      <c r="E483" t="s">
        <v>65</v>
      </c>
      <c r="F483">
        <v>44070</v>
      </c>
      <c r="G483" t="s">
        <v>72</v>
      </c>
      <c r="H483">
        <v>3</v>
      </c>
    </row>
    <row r="484" spans="1:8" x14ac:dyDescent="0.3">
      <c r="A484" t="s">
        <v>213</v>
      </c>
      <c r="B484">
        <v>2017</v>
      </c>
      <c r="C484" t="s">
        <v>307</v>
      </c>
      <c r="D484" t="s">
        <v>308</v>
      </c>
      <c r="E484" t="s">
        <v>65</v>
      </c>
      <c r="F484">
        <v>44070</v>
      </c>
      <c r="G484" t="s">
        <v>72</v>
      </c>
      <c r="H484">
        <v>4</v>
      </c>
    </row>
    <row r="485" spans="1:8" x14ac:dyDescent="0.3">
      <c r="A485" t="s">
        <v>213</v>
      </c>
      <c r="B485">
        <v>2018</v>
      </c>
      <c r="C485" t="s">
        <v>307</v>
      </c>
      <c r="D485" t="s">
        <v>308</v>
      </c>
      <c r="E485" t="s">
        <v>65</v>
      </c>
      <c r="F485">
        <v>44070</v>
      </c>
      <c r="G485" t="s">
        <v>72</v>
      </c>
      <c r="H485">
        <v>2</v>
      </c>
    </row>
    <row r="486" spans="1:8" x14ac:dyDescent="0.3">
      <c r="A486" t="s">
        <v>213</v>
      </c>
      <c r="B486">
        <v>2020</v>
      </c>
      <c r="C486" t="s">
        <v>307</v>
      </c>
      <c r="D486" t="s">
        <v>308</v>
      </c>
      <c r="E486" t="s">
        <v>65</v>
      </c>
      <c r="F486">
        <v>44070</v>
      </c>
      <c r="G486" t="s">
        <v>72</v>
      </c>
      <c r="H486">
        <v>2</v>
      </c>
    </row>
    <row r="487" spans="1:8" x14ac:dyDescent="0.3">
      <c r="A487" t="s">
        <v>213</v>
      </c>
      <c r="B487">
        <v>2021</v>
      </c>
      <c r="C487" t="s">
        <v>307</v>
      </c>
      <c r="D487" t="s">
        <v>308</v>
      </c>
      <c r="E487" t="s">
        <v>65</v>
      </c>
      <c r="F487">
        <v>44070</v>
      </c>
      <c r="G487" t="s">
        <v>72</v>
      </c>
      <c r="H487">
        <v>1</v>
      </c>
    </row>
    <row r="488" spans="1:8" x14ac:dyDescent="0.3">
      <c r="A488" t="s">
        <v>215</v>
      </c>
      <c r="B488">
        <v>2015</v>
      </c>
      <c r="C488" t="s">
        <v>307</v>
      </c>
      <c r="D488" t="s">
        <v>308</v>
      </c>
      <c r="E488" t="s">
        <v>65</v>
      </c>
      <c r="F488">
        <v>85098</v>
      </c>
      <c r="G488" t="s">
        <v>72</v>
      </c>
      <c r="H488">
        <v>1</v>
      </c>
    </row>
    <row r="489" spans="1:8" x14ac:dyDescent="0.3">
      <c r="A489" t="s">
        <v>215</v>
      </c>
      <c r="B489">
        <v>2016</v>
      </c>
      <c r="C489" t="s">
        <v>307</v>
      </c>
      <c r="D489" t="s">
        <v>308</v>
      </c>
      <c r="E489" t="s">
        <v>65</v>
      </c>
      <c r="F489">
        <v>85098</v>
      </c>
      <c r="G489" t="s">
        <v>72</v>
      </c>
      <c r="H489">
        <v>1</v>
      </c>
    </row>
    <row r="490" spans="1:8" x14ac:dyDescent="0.3">
      <c r="A490" t="s">
        <v>116</v>
      </c>
      <c r="B490">
        <v>2014</v>
      </c>
      <c r="C490" t="s">
        <v>307</v>
      </c>
      <c r="D490" t="s">
        <v>308</v>
      </c>
      <c r="E490" t="s">
        <v>65</v>
      </c>
      <c r="F490">
        <v>10471</v>
      </c>
      <c r="G490" t="s">
        <v>66</v>
      </c>
      <c r="H490">
        <v>1</v>
      </c>
    </row>
    <row r="491" spans="1:8" x14ac:dyDescent="0.3">
      <c r="A491" t="s">
        <v>116</v>
      </c>
      <c r="B491">
        <v>2015</v>
      </c>
      <c r="C491" t="s">
        <v>307</v>
      </c>
      <c r="D491" t="s">
        <v>308</v>
      </c>
      <c r="E491" t="s">
        <v>65</v>
      </c>
      <c r="F491">
        <v>10471</v>
      </c>
      <c r="G491" t="s">
        <v>66</v>
      </c>
      <c r="H491">
        <v>9</v>
      </c>
    </row>
    <row r="492" spans="1:8" x14ac:dyDescent="0.3">
      <c r="A492" t="s">
        <v>116</v>
      </c>
      <c r="B492">
        <v>2016</v>
      </c>
      <c r="C492" t="s">
        <v>307</v>
      </c>
      <c r="D492" t="s">
        <v>308</v>
      </c>
      <c r="E492" t="s">
        <v>65</v>
      </c>
      <c r="F492">
        <v>10471</v>
      </c>
      <c r="G492" t="s">
        <v>66</v>
      </c>
      <c r="H492">
        <v>6</v>
      </c>
    </row>
    <row r="493" spans="1:8" x14ac:dyDescent="0.3">
      <c r="A493" t="s">
        <v>116</v>
      </c>
      <c r="B493">
        <v>2017</v>
      </c>
      <c r="C493" t="s">
        <v>307</v>
      </c>
      <c r="D493" t="s">
        <v>308</v>
      </c>
      <c r="E493" t="s">
        <v>65</v>
      </c>
      <c r="F493">
        <v>10471</v>
      </c>
      <c r="G493" t="s">
        <v>66</v>
      </c>
      <c r="H493">
        <v>14</v>
      </c>
    </row>
    <row r="494" spans="1:8" x14ac:dyDescent="0.3">
      <c r="A494" t="s">
        <v>116</v>
      </c>
      <c r="B494">
        <v>2018</v>
      </c>
      <c r="C494" t="s">
        <v>307</v>
      </c>
      <c r="D494" t="s">
        <v>308</v>
      </c>
      <c r="E494" t="s">
        <v>65</v>
      </c>
      <c r="F494">
        <v>10471</v>
      </c>
      <c r="G494" t="s">
        <v>66</v>
      </c>
      <c r="H494">
        <v>8</v>
      </c>
    </row>
    <row r="495" spans="1:8" x14ac:dyDescent="0.3">
      <c r="A495" t="s">
        <v>116</v>
      </c>
      <c r="B495">
        <v>2019</v>
      </c>
      <c r="C495" t="s">
        <v>307</v>
      </c>
      <c r="D495" t="s">
        <v>308</v>
      </c>
      <c r="E495" t="s">
        <v>65</v>
      </c>
      <c r="F495">
        <v>10471</v>
      </c>
      <c r="G495" t="s">
        <v>66</v>
      </c>
      <c r="H495">
        <v>3</v>
      </c>
    </row>
    <row r="496" spans="1:8" x14ac:dyDescent="0.3">
      <c r="A496" t="s">
        <v>116</v>
      </c>
      <c r="B496">
        <v>2020</v>
      </c>
      <c r="C496" t="s">
        <v>307</v>
      </c>
      <c r="D496" t="s">
        <v>308</v>
      </c>
      <c r="E496" t="s">
        <v>65</v>
      </c>
      <c r="F496">
        <v>10471</v>
      </c>
      <c r="G496" t="s">
        <v>66</v>
      </c>
      <c r="H496">
        <v>3</v>
      </c>
    </row>
    <row r="497" spans="1:8" x14ac:dyDescent="0.3">
      <c r="A497" t="s">
        <v>116</v>
      </c>
      <c r="B497">
        <v>2021</v>
      </c>
      <c r="C497" t="s">
        <v>307</v>
      </c>
      <c r="D497" t="s">
        <v>308</v>
      </c>
      <c r="E497" t="s">
        <v>65</v>
      </c>
      <c r="F497">
        <v>10471</v>
      </c>
      <c r="G497" t="s">
        <v>66</v>
      </c>
      <c r="H497">
        <v>4</v>
      </c>
    </row>
    <row r="498" spans="1:8" x14ac:dyDescent="0.3">
      <c r="A498" t="s">
        <v>218</v>
      </c>
      <c r="B498">
        <v>2014</v>
      </c>
      <c r="C498" t="s">
        <v>307</v>
      </c>
      <c r="D498" t="s">
        <v>308</v>
      </c>
      <c r="E498" t="s">
        <v>65</v>
      </c>
      <c r="F498">
        <v>17528</v>
      </c>
      <c r="G498" t="s">
        <v>66</v>
      </c>
      <c r="H498">
        <v>8</v>
      </c>
    </row>
    <row r="499" spans="1:8" x14ac:dyDescent="0.3">
      <c r="A499" t="s">
        <v>218</v>
      </c>
      <c r="B499">
        <v>2015</v>
      </c>
      <c r="C499" t="s">
        <v>307</v>
      </c>
      <c r="D499" t="s">
        <v>308</v>
      </c>
      <c r="E499" t="s">
        <v>65</v>
      </c>
      <c r="F499">
        <v>17528</v>
      </c>
      <c r="G499" t="s">
        <v>66</v>
      </c>
      <c r="H499">
        <v>13</v>
      </c>
    </row>
    <row r="500" spans="1:8" x14ac:dyDescent="0.3">
      <c r="A500" t="s">
        <v>218</v>
      </c>
      <c r="B500">
        <v>2016</v>
      </c>
      <c r="C500" t="s">
        <v>307</v>
      </c>
      <c r="D500" t="s">
        <v>308</v>
      </c>
      <c r="E500" t="s">
        <v>65</v>
      </c>
      <c r="F500">
        <v>17528</v>
      </c>
      <c r="G500" t="s">
        <v>66</v>
      </c>
      <c r="H500">
        <v>28</v>
      </c>
    </row>
    <row r="501" spans="1:8" x14ac:dyDescent="0.3">
      <c r="A501" t="s">
        <v>218</v>
      </c>
      <c r="B501">
        <v>2017</v>
      </c>
      <c r="C501" t="s">
        <v>307</v>
      </c>
      <c r="D501" t="s">
        <v>308</v>
      </c>
      <c r="E501" t="s">
        <v>65</v>
      </c>
      <c r="F501">
        <v>17528</v>
      </c>
      <c r="G501" t="s">
        <v>66</v>
      </c>
      <c r="H501">
        <v>40</v>
      </c>
    </row>
    <row r="502" spans="1:8" x14ac:dyDescent="0.3">
      <c r="A502" t="s">
        <v>218</v>
      </c>
      <c r="B502">
        <v>2018</v>
      </c>
      <c r="C502" t="s">
        <v>307</v>
      </c>
      <c r="D502" t="s">
        <v>308</v>
      </c>
      <c r="E502" t="s">
        <v>65</v>
      </c>
      <c r="F502">
        <v>17528</v>
      </c>
      <c r="G502" t="s">
        <v>66</v>
      </c>
      <c r="H502">
        <v>45</v>
      </c>
    </row>
    <row r="503" spans="1:8" x14ac:dyDescent="0.3">
      <c r="A503" t="s">
        <v>218</v>
      </c>
      <c r="B503">
        <v>2019</v>
      </c>
      <c r="C503" t="s">
        <v>307</v>
      </c>
      <c r="D503" t="s">
        <v>308</v>
      </c>
      <c r="E503" t="s">
        <v>65</v>
      </c>
      <c r="F503">
        <v>17528</v>
      </c>
      <c r="G503" t="s">
        <v>66</v>
      </c>
      <c r="H503">
        <v>61</v>
      </c>
    </row>
    <row r="504" spans="1:8" x14ac:dyDescent="0.3">
      <c r="A504" t="s">
        <v>218</v>
      </c>
      <c r="B504">
        <v>2020</v>
      </c>
      <c r="C504" t="s">
        <v>307</v>
      </c>
      <c r="D504" t="s">
        <v>308</v>
      </c>
      <c r="E504" t="s">
        <v>65</v>
      </c>
      <c r="F504">
        <v>17528</v>
      </c>
      <c r="G504" t="s">
        <v>66</v>
      </c>
      <c r="H504">
        <v>37</v>
      </c>
    </row>
    <row r="505" spans="1:8" x14ac:dyDescent="0.3">
      <c r="A505" t="s">
        <v>218</v>
      </c>
      <c r="B505">
        <v>2021</v>
      </c>
      <c r="C505" t="s">
        <v>307</v>
      </c>
      <c r="D505" t="s">
        <v>308</v>
      </c>
      <c r="E505" t="s">
        <v>65</v>
      </c>
      <c r="F505">
        <v>17528</v>
      </c>
      <c r="G505" t="s">
        <v>66</v>
      </c>
      <c r="H505">
        <v>63</v>
      </c>
    </row>
    <row r="506" spans="1:8" x14ac:dyDescent="0.3">
      <c r="A506" t="s">
        <v>117</v>
      </c>
      <c r="B506">
        <v>2014</v>
      </c>
      <c r="C506" t="s">
        <v>307</v>
      </c>
      <c r="D506" t="s">
        <v>308</v>
      </c>
      <c r="E506" t="s">
        <v>65</v>
      </c>
      <c r="F506">
        <v>39595</v>
      </c>
      <c r="G506" t="s">
        <v>66</v>
      </c>
      <c r="H506">
        <v>5</v>
      </c>
    </row>
    <row r="507" spans="1:8" x14ac:dyDescent="0.3">
      <c r="A507" t="s">
        <v>117</v>
      </c>
      <c r="B507">
        <v>2015</v>
      </c>
      <c r="C507" t="s">
        <v>307</v>
      </c>
      <c r="D507" t="s">
        <v>308</v>
      </c>
      <c r="E507" t="s">
        <v>65</v>
      </c>
      <c r="F507">
        <v>39595</v>
      </c>
      <c r="G507" t="s">
        <v>66</v>
      </c>
      <c r="H507">
        <v>1</v>
      </c>
    </row>
    <row r="508" spans="1:8" x14ac:dyDescent="0.3">
      <c r="A508" t="s">
        <v>117</v>
      </c>
      <c r="B508">
        <v>2016</v>
      </c>
      <c r="C508" t="s">
        <v>307</v>
      </c>
      <c r="D508" t="s">
        <v>308</v>
      </c>
      <c r="E508" t="s">
        <v>65</v>
      </c>
      <c r="F508">
        <v>39595</v>
      </c>
      <c r="G508" t="s">
        <v>66</v>
      </c>
      <c r="H508">
        <v>7</v>
      </c>
    </row>
    <row r="509" spans="1:8" x14ac:dyDescent="0.3">
      <c r="A509" t="s">
        <v>117</v>
      </c>
      <c r="B509">
        <v>2017</v>
      </c>
      <c r="C509" t="s">
        <v>307</v>
      </c>
      <c r="D509" t="s">
        <v>308</v>
      </c>
      <c r="E509" t="s">
        <v>65</v>
      </c>
      <c r="F509">
        <v>39595</v>
      </c>
      <c r="G509" t="s">
        <v>66</v>
      </c>
      <c r="H509">
        <v>2</v>
      </c>
    </row>
    <row r="510" spans="1:8" x14ac:dyDescent="0.3">
      <c r="A510" t="s">
        <v>117</v>
      </c>
      <c r="B510">
        <v>2018</v>
      </c>
      <c r="C510" t="s">
        <v>307</v>
      </c>
      <c r="D510" t="s">
        <v>308</v>
      </c>
      <c r="E510" t="s">
        <v>65</v>
      </c>
      <c r="F510">
        <v>39595</v>
      </c>
      <c r="G510" t="s">
        <v>66</v>
      </c>
      <c r="H510">
        <v>4</v>
      </c>
    </row>
    <row r="511" spans="1:8" x14ac:dyDescent="0.3">
      <c r="A511" t="s">
        <v>117</v>
      </c>
      <c r="B511">
        <v>2019</v>
      </c>
      <c r="C511" t="s">
        <v>307</v>
      </c>
      <c r="D511" t="s">
        <v>308</v>
      </c>
      <c r="E511" t="s">
        <v>65</v>
      </c>
      <c r="F511">
        <v>39595</v>
      </c>
      <c r="G511" t="s">
        <v>66</v>
      </c>
      <c r="H511">
        <v>5</v>
      </c>
    </row>
    <row r="512" spans="1:8" x14ac:dyDescent="0.3">
      <c r="A512" t="s">
        <v>117</v>
      </c>
      <c r="B512">
        <v>2021</v>
      </c>
      <c r="C512" t="s">
        <v>307</v>
      </c>
      <c r="D512" t="s">
        <v>308</v>
      </c>
      <c r="E512" t="s">
        <v>65</v>
      </c>
      <c r="F512">
        <v>39595</v>
      </c>
      <c r="G512" t="s">
        <v>66</v>
      </c>
      <c r="H512">
        <v>3</v>
      </c>
    </row>
    <row r="513" spans="1:8" x14ac:dyDescent="0.3">
      <c r="A513" t="s">
        <v>119</v>
      </c>
      <c r="B513">
        <v>2014</v>
      </c>
      <c r="C513" t="s">
        <v>307</v>
      </c>
      <c r="D513" t="s">
        <v>308</v>
      </c>
      <c r="E513" t="s">
        <v>65</v>
      </c>
      <c r="F513">
        <v>34833</v>
      </c>
      <c r="G513" t="s">
        <v>72</v>
      </c>
      <c r="H513">
        <v>1</v>
      </c>
    </row>
    <row r="514" spans="1:8" x14ac:dyDescent="0.3">
      <c r="A514" t="s">
        <v>119</v>
      </c>
      <c r="B514">
        <v>2015</v>
      </c>
      <c r="C514" t="s">
        <v>307</v>
      </c>
      <c r="D514" t="s">
        <v>308</v>
      </c>
      <c r="E514" t="s">
        <v>65</v>
      </c>
      <c r="F514">
        <v>34833</v>
      </c>
      <c r="G514" t="s">
        <v>72</v>
      </c>
      <c r="H514">
        <v>21</v>
      </c>
    </row>
    <row r="515" spans="1:8" x14ac:dyDescent="0.3">
      <c r="A515" t="s">
        <v>119</v>
      </c>
      <c r="B515">
        <v>2016</v>
      </c>
      <c r="C515" t="s">
        <v>307</v>
      </c>
      <c r="D515" t="s">
        <v>308</v>
      </c>
      <c r="E515" t="s">
        <v>65</v>
      </c>
      <c r="F515">
        <v>34833</v>
      </c>
      <c r="G515" t="s">
        <v>72</v>
      </c>
      <c r="H515">
        <v>10</v>
      </c>
    </row>
    <row r="516" spans="1:8" x14ac:dyDescent="0.3">
      <c r="A516" t="s">
        <v>119</v>
      </c>
      <c r="B516">
        <v>2017</v>
      </c>
      <c r="C516" t="s">
        <v>307</v>
      </c>
      <c r="D516" t="s">
        <v>308</v>
      </c>
      <c r="E516" t="s">
        <v>65</v>
      </c>
      <c r="F516">
        <v>34833</v>
      </c>
      <c r="G516" t="s">
        <v>72</v>
      </c>
      <c r="H516">
        <v>14</v>
      </c>
    </row>
    <row r="517" spans="1:8" x14ac:dyDescent="0.3">
      <c r="A517" t="s">
        <v>119</v>
      </c>
      <c r="B517">
        <v>2018</v>
      </c>
      <c r="C517" t="s">
        <v>307</v>
      </c>
      <c r="D517" t="s">
        <v>308</v>
      </c>
      <c r="E517" t="s">
        <v>65</v>
      </c>
      <c r="F517">
        <v>34833</v>
      </c>
      <c r="G517" t="s">
        <v>72</v>
      </c>
      <c r="H517">
        <v>8</v>
      </c>
    </row>
    <row r="518" spans="1:8" x14ac:dyDescent="0.3">
      <c r="A518" t="s">
        <v>119</v>
      </c>
      <c r="B518">
        <v>2019</v>
      </c>
      <c r="C518" t="s">
        <v>307</v>
      </c>
      <c r="D518" t="s">
        <v>308</v>
      </c>
      <c r="E518" t="s">
        <v>65</v>
      </c>
      <c r="F518">
        <v>34833</v>
      </c>
      <c r="G518" t="s">
        <v>72</v>
      </c>
      <c r="H518">
        <v>15</v>
      </c>
    </row>
    <row r="519" spans="1:8" x14ac:dyDescent="0.3">
      <c r="A519" t="s">
        <v>119</v>
      </c>
      <c r="B519">
        <v>2020</v>
      </c>
      <c r="C519" t="s">
        <v>307</v>
      </c>
      <c r="D519" t="s">
        <v>308</v>
      </c>
      <c r="E519" t="s">
        <v>65</v>
      </c>
      <c r="F519">
        <v>34833</v>
      </c>
      <c r="G519" t="s">
        <v>72</v>
      </c>
      <c r="H519">
        <v>9</v>
      </c>
    </row>
    <row r="520" spans="1:8" x14ac:dyDescent="0.3">
      <c r="A520" t="s">
        <v>119</v>
      </c>
      <c r="B520">
        <v>2021</v>
      </c>
      <c r="C520" t="s">
        <v>307</v>
      </c>
      <c r="D520" t="s">
        <v>308</v>
      </c>
      <c r="E520" t="s">
        <v>65</v>
      </c>
      <c r="F520">
        <v>34833</v>
      </c>
      <c r="G520" t="s">
        <v>72</v>
      </c>
      <c r="H520">
        <v>46</v>
      </c>
    </row>
    <row r="521" spans="1:8" x14ac:dyDescent="0.3">
      <c r="A521" t="s">
        <v>224</v>
      </c>
      <c r="B521">
        <v>2014</v>
      </c>
      <c r="C521" t="s">
        <v>307</v>
      </c>
      <c r="D521" t="s">
        <v>308</v>
      </c>
      <c r="E521" t="s">
        <v>65</v>
      </c>
      <c r="F521">
        <v>45503</v>
      </c>
      <c r="G521" t="s">
        <v>72</v>
      </c>
      <c r="H521">
        <v>6</v>
      </c>
    </row>
    <row r="522" spans="1:8" x14ac:dyDescent="0.3">
      <c r="A522" t="s">
        <v>224</v>
      </c>
      <c r="B522">
        <v>2015</v>
      </c>
      <c r="C522" t="s">
        <v>307</v>
      </c>
      <c r="D522" t="s">
        <v>308</v>
      </c>
      <c r="E522" t="s">
        <v>65</v>
      </c>
      <c r="F522">
        <v>45503</v>
      </c>
      <c r="G522" t="s">
        <v>72</v>
      </c>
      <c r="H522">
        <v>12</v>
      </c>
    </row>
    <row r="523" spans="1:8" x14ac:dyDescent="0.3">
      <c r="A523" t="s">
        <v>224</v>
      </c>
      <c r="B523">
        <v>2016</v>
      </c>
      <c r="C523" t="s">
        <v>307</v>
      </c>
      <c r="D523" t="s">
        <v>308</v>
      </c>
      <c r="E523" t="s">
        <v>65</v>
      </c>
      <c r="F523">
        <v>45503</v>
      </c>
      <c r="G523" t="s">
        <v>72</v>
      </c>
      <c r="H523">
        <v>23</v>
      </c>
    </row>
    <row r="524" spans="1:8" x14ac:dyDescent="0.3">
      <c r="A524" t="s">
        <v>224</v>
      </c>
      <c r="B524">
        <v>2017</v>
      </c>
      <c r="C524" t="s">
        <v>307</v>
      </c>
      <c r="D524" t="s">
        <v>308</v>
      </c>
      <c r="E524" t="s">
        <v>65</v>
      </c>
      <c r="F524">
        <v>45503</v>
      </c>
      <c r="G524" t="s">
        <v>72</v>
      </c>
      <c r="H524">
        <v>37</v>
      </c>
    </row>
    <row r="525" spans="1:8" x14ac:dyDescent="0.3">
      <c r="A525" t="s">
        <v>224</v>
      </c>
      <c r="B525">
        <v>2018</v>
      </c>
      <c r="C525" t="s">
        <v>307</v>
      </c>
      <c r="D525" t="s">
        <v>308</v>
      </c>
      <c r="E525" t="s">
        <v>65</v>
      </c>
      <c r="F525">
        <v>45503</v>
      </c>
      <c r="G525" t="s">
        <v>72</v>
      </c>
      <c r="H525">
        <v>41</v>
      </c>
    </row>
    <row r="526" spans="1:8" x14ac:dyDescent="0.3">
      <c r="A526" t="s">
        <v>224</v>
      </c>
      <c r="B526">
        <v>2019</v>
      </c>
      <c r="C526" t="s">
        <v>307</v>
      </c>
      <c r="D526" t="s">
        <v>308</v>
      </c>
      <c r="E526" t="s">
        <v>65</v>
      </c>
      <c r="F526">
        <v>45503</v>
      </c>
      <c r="G526" t="s">
        <v>72</v>
      </c>
      <c r="H526">
        <v>27</v>
      </c>
    </row>
    <row r="527" spans="1:8" x14ac:dyDescent="0.3">
      <c r="A527" t="s">
        <v>224</v>
      </c>
      <c r="B527">
        <v>2020</v>
      </c>
      <c r="C527" t="s">
        <v>307</v>
      </c>
      <c r="D527" t="s">
        <v>308</v>
      </c>
      <c r="E527" t="s">
        <v>65</v>
      </c>
      <c r="F527">
        <v>45503</v>
      </c>
      <c r="G527" t="s">
        <v>72</v>
      </c>
      <c r="H527">
        <v>12</v>
      </c>
    </row>
    <row r="528" spans="1:8" x14ac:dyDescent="0.3">
      <c r="A528" t="s">
        <v>224</v>
      </c>
      <c r="B528">
        <v>2021</v>
      </c>
      <c r="C528" t="s">
        <v>307</v>
      </c>
      <c r="D528" t="s">
        <v>308</v>
      </c>
      <c r="E528" t="s">
        <v>65</v>
      </c>
      <c r="F528">
        <v>45503</v>
      </c>
      <c r="G528" t="s">
        <v>72</v>
      </c>
      <c r="H528">
        <v>9</v>
      </c>
    </row>
    <row r="529" spans="1:8" x14ac:dyDescent="0.3">
      <c r="A529" t="s">
        <v>225</v>
      </c>
      <c r="B529">
        <v>2014</v>
      </c>
      <c r="C529" t="s">
        <v>307</v>
      </c>
      <c r="D529" t="s">
        <v>308</v>
      </c>
      <c r="E529" t="s">
        <v>65</v>
      </c>
      <c r="F529">
        <v>30325</v>
      </c>
      <c r="G529" t="s">
        <v>72</v>
      </c>
      <c r="H529">
        <v>3</v>
      </c>
    </row>
    <row r="530" spans="1:8" x14ac:dyDescent="0.3">
      <c r="A530" t="s">
        <v>225</v>
      </c>
      <c r="B530">
        <v>2015</v>
      </c>
      <c r="C530" t="s">
        <v>307</v>
      </c>
      <c r="D530" t="s">
        <v>308</v>
      </c>
      <c r="E530" t="s">
        <v>65</v>
      </c>
      <c r="F530">
        <v>30325</v>
      </c>
      <c r="G530" t="s">
        <v>72</v>
      </c>
      <c r="H530">
        <v>7</v>
      </c>
    </row>
    <row r="531" spans="1:8" x14ac:dyDescent="0.3">
      <c r="A531" t="s">
        <v>225</v>
      </c>
      <c r="B531">
        <v>2016</v>
      </c>
      <c r="C531" t="s">
        <v>307</v>
      </c>
      <c r="D531" t="s">
        <v>308</v>
      </c>
      <c r="E531" t="s">
        <v>65</v>
      </c>
      <c r="F531">
        <v>30325</v>
      </c>
      <c r="G531" t="s">
        <v>72</v>
      </c>
      <c r="H531">
        <v>12</v>
      </c>
    </row>
    <row r="532" spans="1:8" x14ac:dyDescent="0.3">
      <c r="A532" t="s">
        <v>225</v>
      </c>
      <c r="B532">
        <v>2017</v>
      </c>
      <c r="C532" t="s">
        <v>307</v>
      </c>
      <c r="D532" t="s">
        <v>308</v>
      </c>
      <c r="E532" t="s">
        <v>65</v>
      </c>
      <c r="F532">
        <v>30325</v>
      </c>
      <c r="G532" t="s">
        <v>72</v>
      </c>
      <c r="H532">
        <v>10</v>
      </c>
    </row>
    <row r="533" spans="1:8" x14ac:dyDescent="0.3">
      <c r="A533" t="s">
        <v>225</v>
      </c>
      <c r="B533">
        <v>2018</v>
      </c>
      <c r="C533" t="s">
        <v>307</v>
      </c>
      <c r="D533" t="s">
        <v>308</v>
      </c>
      <c r="E533" t="s">
        <v>65</v>
      </c>
      <c r="F533">
        <v>30325</v>
      </c>
      <c r="G533" t="s">
        <v>72</v>
      </c>
      <c r="H533">
        <v>6</v>
      </c>
    </row>
    <row r="534" spans="1:8" x14ac:dyDescent="0.3">
      <c r="A534" t="s">
        <v>225</v>
      </c>
      <c r="B534">
        <v>2019</v>
      </c>
      <c r="C534" t="s">
        <v>307</v>
      </c>
      <c r="D534" t="s">
        <v>308</v>
      </c>
      <c r="E534" t="s">
        <v>65</v>
      </c>
      <c r="F534">
        <v>30325</v>
      </c>
      <c r="G534" t="s">
        <v>72</v>
      </c>
      <c r="H534">
        <v>10</v>
      </c>
    </row>
    <row r="535" spans="1:8" x14ac:dyDescent="0.3">
      <c r="A535" t="s">
        <v>225</v>
      </c>
      <c r="B535">
        <v>2020</v>
      </c>
      <c r="C535" t="s">
        <v>307</v>
      </c>
      <c r="D535" t="s">
        <v>308</v>
      </c>
      <c r="E535" t="s">
        <v>65</v>
      </c>
      <c r="F535">
        <v>30325</v>
      </c>
      <c r="G535" t="s">
        <v>72</v>
      </c>
      <c r="H535">
        <v>4</v>
      </c>
    </row>
    <row r="536" spans="1:8" x14ac:dyDescent="0.3">
      <c r="A536" t="s">
        <v>225</v>
      </c>
      <c r="B536">
        <v>2021</v>
      </c>
      <c r="C536" t="s">
        <v>307</v>
      </c>
      <c r="D536" t="s">
        <v>308</v>
      </c>
      <c r="E536" t="s">
        <v>65</v>
      </c>
      <c r="F536">
        <v>30325</v>
      </c>
      <c r="G536" t="s">
        <v>72</v>
      </c>
      <c r="H536">
        <v>11</v>
      </c>
    </row>
    <row r="537" spans="1:8" x14ac:dyDescent="0.3">
      <c r="A537" t="s">
        <v>226</v>
      </c>
      <c r="B537">
        <v>2014</v>
      </c>
      <c r="C537" t="s">
        <v>307</v>
      </c>
      <c r="D537" t="s">
        <v>308</v>
      </c>
      <c r="E537" t="s">
        <v>65</v>
      </c>
      <c r="F537">
        <v>38801</v>
      </c>
      <c r="G537" t="s">
        <v>66</v>
      </c>
      <c r="H537">
        <v>5</v>
      </c>
    </row>
    <row r="538" spans="1:8" x14ac:dyDescent="0.3">
      <c r="A538" t="s">
        <v>226</v>
      </c>
      <c r="B538">
        <v>2015</v>
      </c>
      <c r="C538" t="s">
        <v>307</v>
      </c>
      <c r="D538" t="s">
        <v>308</v>
      </c>
      <c r="E538" t="s">
        <v>65</v>
      </c>
      <c r="F538">
        <v>38801</v>
      </c>
      <c r="G538" t="s">
        <v>66</v>
      </c>
      <c r="H538">
        <v>9</v>
      </c>
    </row>
    <row r="539" spans="1:8" x14ac:dyDescent="0.3">
      <c r="A539" t="s">
        <v>226</v>
      </c>
      <c r="B539">
        <v>2016</v>
      </c>
      <c r="C539" t="s">
        <v>307</v>
      </c>
      <c r="D539" t="s">
        <v>308</v>
      </c>
      <c r="E539" t="s">
        <v>65</v>
      </c>
      <c r="F539">
        <v>38801</v>
      </c>
      <c r="G539" t="s">
        <v>66</v>
      </c>
      <c r="H539">
        <v>16</v>
      </c>
    </row>
    <row r="540" spans="1:8" x14ac:dyDescent="0.3">
      <c r="A540" t="s">
        <v>226</v>
      </c>
      <c r="B540">
        <v>2017</v>
      </c>
      <c r="C540" t="s">
        <v>307</v>
      </c>
      <c r="D540" t="s">
        <v>308</v>
      </c>
      <c r="E540" t="s">
        <v>65</v>
      </c>
      <c r="F540">
        <v>38801</v>
      </c>
      <c r="G540" t="s">
        <v>66</v>
      </c>
      <c r="H540">
        <v>16</v>
      </c>
    </row>
    <row r="541" spans="1:8" x14ac:dyDescent="0.3">
      <c r="A541" t="s">
        <v>226</v>
      </c>
      <c r="B541">
        <v>2018</v>
      </c>
      <c r="C541" t="s">
        <v>307</v>
      </c>
      <c r="D541" t="s">
        <v>308</v>
      </c>
      <c r="E541" t="s">
        <v>65</v>
      </c>
      <c r="F541">
        <v>38801</v>
      </c>
      <c r="G541" t="s">
        <v>66</v>
      </c>
      <c r="H541">
        <v>18</v>
      </c>
    </row>
    <row r="542" spans="1:8" x14ac:dyDescent="0.3">
      <c r="A542" t="s">
        <v>226</v>
      </c>
      <c r="B542">
        <v>2019</v>
      </c>
      <c r="C542" t="s">
        <v>307</v>
      </c>
      <c r="D542" t="s">
        <v>308</v>
      </c>
      <c r="E542" t="s">
        <v>65</v>
      </c>
      <c r="F542">
        <v>38801</v>
      </c>
      <c r="G542" t="s">
        <v>66</v>
      </c>
      <c r="H542">
        <v>9</v>
      </c>
    </row>
    <row r="543" spans="1:8" x14ac:dyDescent="0.3">
      <c r="A543" t="s">
        <v>226</v>
      </c>
      <c r="B543">
        <v>2020</v>
      </c>
      <c r="C543" t="s">
        <v>307</v>
      </c>
      <c r="D543" t="s">
        <v>308</v>
      </c>
      <c r="E543" t="s">
        <v>65</v>
      </c>
      <c r="F543">
        <v>38801</v>
      </c>
      <c r="G543" t="s">
        <v>66</v>
      </c>
      <c r="H543">
        <v>8</v>
      </c>
    </row>
    <row r="544" spans="1:8" x14ac:dyDescent="0.3">
      <c r="A544" t="s">
        <v>226</v>
      </c>
      <c r="B544">
        <v>2021</v>
      </c>
      <c r="C544" t="s">
        <v>307</v>
      </c>
      <c r="D544" t="s">
        <v>308</v>
      </c>
      <c r="E544" t="s">
        <v>65</v>
      </c>
      <c r="F544">
        <v>38801</v>
      </c>
      <c r="G544" t="s">
        <v>66</v>
      </c>
      <c r="H544">
        <v>6</v>
      </c>
    </row>
    <row r="545" spans="1:8" x14ac:dyDescent="0.3">
      <c r="A545" t="s">
        <v>227</v>
      </c>
      <c r="B545">
        <v>2017</v>
      </c>
      <c r="C545" t="s">
        <v>307</v>
      </c>
      <c r="D545" t="s">
        <v>308</v>
      </c>
      <c r="E545" t="s">
        <v>65</v>
      </c>
      <c r="F545">
        <v>70000</v>
      </c>
      <c r="G545" t="s">
        <v>72</v>
      </c>
      <c r="H545">
        <v>4</v>
      </c>
    </row>
    <row r="546" spans="1:8" x14ac:dyDescent="0.3">
      <c r="A546" t="s">
        <v>227</v>
      </c>
      <c r="B546">
        <v>2018</v>
      </c>
      <c r="C546" t="s">
        <v>307</v>
      </c>
      <c r="D546" t="s">
        <v>308</v>
      </c>
      <c r="E546" t="s">
        <v>65</v>
      </c>
      <c r="F546">
        <v>70000</v>
      </c>
      <c r="G546" t="s">
        <v>72</v>
      </c>
      <c r="H546">
        <v>13</v>
      </c>
    </row>
    <row r="547" spans="1:8" x14ac:dyDescent="0.3">
      <c r="A547" t="s">
        <v>227</v>
      </c>
      <c r="B547">
        <v>2019</v>
      </c>
      <c r="C547" t="s">
        <v>307</v>
      </c>
      <c r="D547" t="s">
        <v>308</v>
      </c>
      <c r="E547" t="s">
        <v>65</v>
      </c>
      <c r="F547">
        <v>70000</v>
      </c>
      <c r="G547" t="s">
        <v>72</v>
      </c>
      <c r="H547">
        <v>13</v>
      </c>
    </row>
    <row r="548" spans="1:8" x14ac:dyDescent="0.3">
      <c r="A548" t="s">
        <v>227</v>
      </c>
      <c r="B548">
        <v>2020</v>
      </c>
      <c r="C548" t="s">
        <v>307</v>
      </c>
      <c r="D548" t="s">
        <v>308</v>
      </c>
      <c r="E548" t="s">
        <v>65</v>
      </c>
      <c r="F548">
        <v>70000</v>
      </c>
      <c r="G548" t="s">
        <v>72</v>
      </c>
      <c r="H548">
        <v>6</v>
      </c>
    </row>
    <row r="549" spans="1:8" x14ac:dyDescent="0.3">
      <c r="A549" t="s">
        <v>227</v>
      </c>
      <c r="B549">
        <v>2021</v>
      </c>
      <c r="C549" t="s">
        <v>307</v>
      </c>
      <c r="D549" t="s">
        <v>308</v>
      </c>
      <c r="E549" t="s">
        <v>65</v>
      </c>
      <c r="F549">
        <v>70000</v>
      </c>
      <c r="G549" t="s">
        <v>72</v>
      </c>
      <c r="H549">
        <v>2</v>
      </c>
    </row>
    <row r="550" spans="1:8" x14ac:dyDescent="0.3">
      <c r="A550" t="s">
        <v>228</v>
      </c>
      <c r="B550">
        <v>2015</v>
      </c>
      <c r="C550" t="s">
        <v>307</v>
      </c>
      <c r="D550" t="s">
        <v>308</v>
      </c>
      <c r="E550" t="s">
        <v>65</v>
      </c>
      <c r="F550">
        <v>26100</v>
      </c>
      <c r="G550" t="s">
        <v>72</v>
      </c>
      <c r="H550">
        <v>3</v>
      </c>
    </row>
    <row r="551" spans="1:8" x14ac:dyDescent="0.3">
      <c r="A551" t="s">
        <v>228</v>
      </c>
      <c r="B551">
        <v>2016</v>
      </c>
      <c r="C551" t="s">
        <v>307</v>
      </c>
      <c r="D551" t="s">
        <v>308</v>
      </c>
      <c r="E551" t="s">
        <v>65</v>
      </c>
      <c r="F551">
        <v>26100</v>
      </c>
      <c r="G551" t="s">
        <v>72</v>
      </c>
      <c r="H551">
        <v>6</v>
      </c>
    </row>
    <row r="552" spans="1:8" x14ac:dyDescent="0.3">
      <c r="A552" t="s">
        <v>228</v>
      </c>
      <c r="B552">
        <v>2018</v>
      </c>
      <c r="C552" t="s">
        <v>307</v>
      </c>
      <c r="D552" t="s">
        <v>308</v>
      </c>
      <c r="E552" t="s">
        <v>65</v>
      </c>
      <c r="F552">
        <v>26100</v>
      </c>
      <c r="G552" t="s">
        <v>72</v>
      </c>
      <c r="H552">
        <v>2</v>
      </c>
    </row>
    <row r="553" spans="1:8" x14ac:dyDescent="0.3">
      <c r="A553" t="s">
        <v>228</v>
      </c>
      <c r="B553">
        <v>2019</v>
      </c>
      <c r="C553" t="s">
        <v>307</v>
      </c>
      <c r="D553" t="s">
        <v>308</v>
      </c>
      <c r="E553" t="s">
        <v>65</v>
      </c>
      <c r="F553">
        <v>26100</v>
      </c>
      <c r="G553" t="s">
        <v>72</v>
      </c>
      <c r="H553">
        <v>7</v>
      </c>
    </row>
    <row r="554" spans="1:8" x14ac:dyDescent="0.3">
      <c r="A554" t="s">
        <v>228</v>
      </c>
      <c r="B554">
        <v>2020</v>
      </c>
      <c r="C554" t="s">
        <v>307</v>
      </c>
      <c r="D554" t="s">
        <v>308</v>
      </c>
      <c r="E554" t="s">
        <v>65</v>
      </c>
      <c r="F554">
        <v>26100</v>
      </c>
      <c r="G554" t="s">
        <v>72</v>
      </c>
      <c r="H554">
        <v>5</v>
      </c>
    </row>
    <row r="555" spans="1:8" x14ac:dyDescent="0.3">
      <c r="A555" t="s">
        <v>228</v>
      </c>
      <c r="B555">
        <v>2021</v>
      </c>
      <c r="C555" t="s">
        <v>307</v>
      </c>
      <c r="D555" t="s">
        <v>308</v>
      </c>
      <c r="E555" t="s">
        <v>65</v>
      </c>
      <c r="F555">
        <v>26100</v>
      </c>
      <c r="G555" t="s">
        <v>72</v>
      </c>
      <c r="H555">
        <v>2</v>
      </c>
    </row>
    <row r="556" spans="1:8" x14ac:dyDescent="0.3">
      <c r="A556" t="s">
        <v>229</v>
      </c>
      <c r="B556">
        <v>2014</v>
      </c>
      <c r="C556" t="s">
        <v>307</v>
      </c>
      <c r="D556" t="s">
        <v>308</v>
      </c>
      <c r="E556" t="s">
        <v>65</v>
      </c>
      <c r="F556">
        <v>12566</v>
      </c>
      <c r="G556" t="s">
        <v>72</v>
      </c>
      <c r="H556">
        <v>1</v>
      </c>
    </row>
    <row r="557" spans="1:8" x14ac:dyDescent="0.3">
      <c r="A557" t="s">
        <v>229</v>
      </c>
      <c r="B557">
        <v>2017</v>
      </c>
      <c r="C557" t="s">
        <v>307</v>
      </c>
      <c r="D557" t="s">
        <v>308</v>
      </c>
      <c r="E557" t="s">
        <v>65</v>
      </c>
      <c r="F557">
        <v>12566</v>
      </c>
      <c r="G557" t="s">
        <v>72</v>
      </c>
      <c r="H557">
        <v>3</v>
      </c>
    </row>
    <row r="558" spans="1:8" x14ac:dyDescent="0.3">
      <c r="A558" t="s">
        <v>229</v>
      </c>
      <c r="B558">
        <v>2018</v>
      </c>
      <c r="C558" t="s">
        <v>307</v>
      </c>
      <c r="D558" t="s">
        <v>308</v>
      </c>
      <c r="E558" t="s">
        <v>65</v>
      </c>
      <c r="F558">
        <v>12566</v>
      </c>
      <c r="G558" t="s">
        <v>72</v>
      </c>
      <c r="H558">
        <v>1</v>
      </c>
    </row>
    <row r="559" spans="1:8" x14ac:dyDescent="0.3">
      <c r="A559" t="s">
        <v>229</v>
      </c>
      <c r="B559">
        <v>2019</v>
      </c>
      <c r="C559" t="s">
        <v>307</v>
      </c>
      <c r="D559" t="s">
        <v>308</v>
      </c>
      <c r="E559" t="s">
        <v>65</v>
      </c>
      <c r="F559">
        <v>12566</v>
      </c>
      <c r="G559" t="s">
        <v>72</v>
      </c>
      <c r="H559">
        <v>1</v>
      </c>
    </row>
    <row r="560" spans="1:8" x14ac:dyDescent="0.3">
      <c r="A560" t="s">
        <v>229</v>
      </c>
      <c r="B560">
        <v>2020</v>
      </c>
      <c r="C560" t="s">
        <v>307</v>
      </c>
      <c r="D560" t="s">
        <v>308</v>
      </c>
      <c r="E560" t="s">
        <v>65</v>
      </c>
      <c r="F560">
        <v>12566</v>
      </c>
      <c r="G560" t="s">
        <v>72</v>
      </c>
      <c r="H560">
        <v>5</v>
      </c>
    </row>
    <row r="561" spans="1:8" x14ac:dyDescent="0.3">
      <c r="A561" t="s">
        <v>229</v>
      </c>
      <c r="B561">
        <v>2021</v>
      </c>
      <c r="C561" t="s">
        <v>307</v>
      </c>
      <c r="D561" t="s">
        <v>308</v>
      </c>
      <c r="E561" t="s">
        <v>65</v>
      </c>
      <c r="F561">
        <v>12566</v>
      </c>
      <c r="G561" t="s">
        <v>72</v>
      </c>
      <c r="H561">
        <v>2</v>
      </c>
    </row>
    <row r="562" spans="1:8" x14ac:dyDescent="0.3">
      <c r="A562" t="s">
        <v>230</v>
      </c>
      <c r="B562">
        <v>2014</v>
      </c>
      <c r="C562" t="s">
        <v>307</v>
      </c>
      <c r="D562" t="s">
        <v>308</v>
      </c>
      <c r="E562" t="s">
        <v>65</v>
      </c>
      <c r="F562">
        <v>33289</v>
      </c>
      <c r="G562" t="s">
        <v>72</v>
      </c>
      <c r="H562">
        <v>1</v>
      </c>
    </row>
    <row r="563" spans="1:8" x14ac:dyDescent="0.3">
      <c r="A563" t="s">
        <v>230</v>
      </c>
      <c r="B563">
        <v>2015</v>
      </c>
      <c r="C563" t="s">
        <v>307</v>
      </c>
      <c r="D563" t="s">
        <v>308</v>
      </c>
      <c r="E563" t="s">
        <v>65</v>
      </c>
      <c r="F563">
        <v>33289</v>
      </c>
      <c r="G563" t="s">
        <v>72</v>
      </c>
      <c r="H563">
        <v>5</v>
      </c>
    </row>
    <row r="564" spans="1:8" x14ac:dyDescent="0.3">
      <c r="A564" t="s">
        <v>230</v>
      </c>
      <c r="B564">
        <v>2016</v>
      </c>
      <c r="C564" t="s">
        <v>307</v>
      </c>
      <c r="D564" t="s">
        <v>308</v>
      </c>
      <c r="E564" t="s">
        <v>65</v>
      </c>
      <c r="F564">
        <v>33289</v>
      </c>
      <c r="G564" t="s">
        <v>72</v>
      </c>
      <c r="H564">
        <v>11</v>
      </c>
    </row>
    <row r="565" spans="1:8" x14ac:dyDescent="0.3">
      <c r="A565" t="s">
        <v>230</v>
      </c>
      <c r="B565">
        <v>2017</v>
      </c>
      <c r="C565" t="s">
        <v>307</v>
      </c>
      <c r="D565" t="s">
        <v>308</v>
      </c>
      <c r="E565" t="s">
        <v>65</v>
      </c>
      <c r="F565">
        <v>33289</v>
      </c>
      <c r="G565" t="s">
        <v>72</v>
      </c>
      <c r="H565">
        <v>1</v>
      </c>
    </row>
    <row r="566" spans="1:8" x14ac:dyDescent="0.3">
      <c r="A566" t="s">
        <v>230</v>
      </c>
      <c r="B566">
        <v>2018</v>
      </c>
      <c r="C566" t="s">
        <v>307</v>
      </c>
      <c r="D566" t="s">
        <v>308</v>
      </c>
      <c r="E566" t="s">
        <v>65</v>
      </c>
      <c r="F566">
        <v>33289</v>
      </c>
      <c r="G566" t="s">
        <v>72</v>
      </c>
      <c r="H566">
        <v>15</v>
      </c>
    </row>
    <row r="567" spans="1:8" x14ac:dyDescent="0.3">
      <c r="A567" t="s">
        <v>230</v>
      </c>
      <c r="B567">
        <v>2019</v>
      </c>
      <c r="C567" t="s">
        <v>307</v>
      </c>
      <c r="D567" t="s">
        <v>308</v>
      </c>
      <c r="E567" t="s">
        <v>65</v>
      </c>
      <c r="F567">
        <v>33289</v>
      </c>
      <c r="G567" t="s">
        <v>72</v>
      </c>
      <c r="H567">
        <v>4</v>
      </c>
    </row>
    <row r="568" spans="1:8" x14ac:dyDescent="0.3">
      <c r="A568" t="s">
        <v>230</v>
      </c>
      <c r="B568">
        <v>2020</v>
      </c>
      <c r="C568" t="s">
        <v>307</v>
      </c>
      <c r="D568" t="s">
        <v>308</v>
      </c>
      <c r="E568" t="s">
        <v>65</v>
      </c>
      <c r="F568">
        <v>33289</v>
      </c>
      <c r="G568" t="s">
        <v>72</v>
      </c>
      <c r="H568">
        <v>3</v>
      </c>
    </row>
    <row r="569" spans="1:8" x14ac:dyDescent="0.3">
      <c r="A569" t="s">
        <v>230</v>
      </c>
      <c r="B569">
        <v>2021</v>
      </c>
      <c r="C569" t="s">
        <v>307</v>
      </c>
      <c r="D569" t="s">
        <v>308</v>
      </c>
      <c r="E569" t="s">
        <v>65</v>
      </c>
      <c r="F569">
        <v>33289</v>
      </c>
      <c r="G569" t="s">
        <v>72</v>
      </c>
      <c r="H569">
        <v>9</v>
      </c>
    </row>
    <row r="570" spans="1:8" x14ac:dyDescent="0.3">
      <c r="A570" t="s">
        <v>231</v>
      </c>
      <c r="B570">
        <v>2015</v>
      </c>
      <c r="C570" t="s">
        <v>307</v>
      </c>
      <c r="D570" t="s">
        <v>308</v>
      </c>
      <c r="E570" t="s">
        <v>65</v>
      </c>
      <c r="F570">
        <v>95901</v>
      </c>
      <c r="G570" t="s">
        <v>72</v>
      </c>
      <c r="H570">
        <v>1</v>
      </c>
    </row>
    <row r="571" spans="1:8" x14ac:dyDescent="0.3">
      <c r="A571" t="s">
        <v>231</v>
      </c>
      <c r="B571">
        <v>2016</v>
      </c>
      <c r="C571" t="s">
        <v>307</v>
      </c>
      <c r="D571" t="s">
        <v>308</v>
      </c>
      <c r="E571" t="s">
        <v>65</v>
      </c>
      <c r="F571">
        <v>95901</v>
      </c>
      <c r="G571" t="s">
        <v>72</v>
      </c>
      <c r="H571">
        <v>3</v>
      </c>
    </row>
    <row r="572" spans="1:8" x14ac:dyDescent="0.3">
      <c r="A572" t="s">
        <v>231</v>
      </c>
      <c r="B572">
        <v>2018</v>
      </c>
      <c r="C572" t="s">
        <v>307</v>
      </c>
      <c r="D572" t="s">
        <v>308</v>
      </c>
      <c r="E572" t="s">
        <v>65</v>
      </c>
      <c r="F572">
        <v>95901</v>
      </c>
      <c r="G572" t="s">
        <v>72</v>
      </c>
      <c r="H572">
        <v>3</v>
      </c>
    </row>
    <row r="573" spans="1:8" x14ac:dyDescent="0.3">
      <c r="A573" t="s">
        <v>231</v>
      </c>
      <c r="B573">
        <v>2021</v>
      </c>
      <c r="C573" t="s">
        <v>307</v>
      </c>
      <c r="D573" t="s">
        <v>308</v>
      </c>
      <c r="E573" t="s">
        <v>65</v>
      </c>
      <c r="F573">
        <v>95901</v>
      </c>
      <c r="G573" t="s">
        <v>72</v>
      </c>
      <c r="H573">
        <v>2</v>
      </c>
    </row>
    <row r="574" spans="1:8" x14ac:dyDescent="0.3">
      <c r="A574" t="s">
        <v>232</v>
      </c>
      <c r="B574">
        <v>2014</v>
      </c>
      <c r="C574" t="s">
        <v>307</v>
      </c>
      <c r="D574" t="s">
        <v>308</v>
      </c>
      <c r="E574" t="s">
        <v>65</v>
      </c>
      <c r="F574">
        <v>73200</v>
      </c>
      <c r="G574" t="s">
        <v>72</v>
      </c>
      <c r="H574">
        <v>2</v>
      </c>
    </row>
    <row r="575" spans="1:8" x14ac:dyDescent="0.3">
      <c r="A575" t="s">
        <v>232</v>
      </c>
      <c r="B575">
        <v>2015</v>
      </c>
      <c r="C575" t="s">
        <v>307</v>
      </c>
      <c r="D575" t="s">
        <v>308</v>
      </c>
      <c r="E575" t="s">
        <v>65</v>
      </c>
      <c r="F575">
        <v>73200</v>
      </c>
      <c r="G575" t="s">
        <v>72</v>
      </c>
      <c r="H575">
        <v>12</v>
      </c>
    </row>
    <row r="576" spans="1:8" x14ac:dyDescent="0.3">
      <c r="A576" t="s">
        <v>232</v>
      </c>
      <c r="B576">
        <v>2016</v>
      </c>
      <c r="C576" t="s">
        <v>307</v>
      </c>
      <c r="D576" t="s">
        <v>308</v>
      </c>
      <c r="E576" t="s">
        <v>65</v>
      </c>
      <c r="F576">
        <v>73200</v>
      </c>
      <c r="G576" t="s">
        <v>72</v>
      </c>
      <c r="H576">
        <v>13</v>
      </c>
    </row>
    <row r="577" spans="1:8" x14ac:dyDescent="0.3">
      <c r="A577" t="s">
        <v>232</v>
      </c>
      <c r="B577">
        <v>2017</v>
      </c>
      <c r="C577" t="s">
        <v>307</v>
      </c>
      <c r="D577" t="s">
        <v>308</v>
      </c>
      <c r="E577" t="s">
        <v>65</v>
      </c>
      <c r="F577">
        <v>73200</v>
      </c>
      <c r="G577" t="s">
        <v>72</v>
      </c>
      <c r="H577">
        <v>14</v>
      </c>
    </row>
    <row r="578" spans="1:8" x14ac:dyDescent="0.3">
      <c r="A578" t="s">
        <v>232</v>
      </c>
      <c r="B578">
        <v>2018</v>
      </c>
      <c r="C578" t="s">
        <v>307</v>
      </c>
      <c r="D578" t="s">
        <v>308</v>
      </c>
      <c r="E578" t="s">
        <v>65</v>
      </c>
      <c r="F578">
        <v>73200</v>
      </c>
      <c r="G578" t="s">
        <v>72</v>
      </c>
      <c r="H578">
        <v>12</v>
      </c>
    </row>
    <row r="579" spans="1:8" x14ac:dyDescent="0.3">
      <c r="A579" t="s">
        <v>232</v>
      </c>
      <c r="B579">
        <v>2019</v>
      </c>
      <c r="C579" t="s">
        <v>307</v>
      </c>
      <c r="D579" t="s">
        <v>308</v>
      </c>
      <c r="E579" t="s">
        <v>65</v>
      </c>
      <c r="F579">
        <v>73200</v>
      </c>
      <c r="G579" t="s">
        <v>72</v>
      </c>
      <c r="H579">
        <v>14</v>
      </c>
    </row>
    <row r="580" spans="1:8" x14ac:dyDescent="0.3">
      <c r="A580" t="s">
        <v>232</v>
      </c>
      <c r="B580">
        <v>2020</v>
      </c>
      <c r="C580" t="s">
        <v>307</v>
      </c>
      <c r="D580" t="s">
        <v>308</v>
      </c>
      <c r="E580" t="s">
        <v>65</v>
      </c>
      <c r="F580">
        <v>73200</v>
      </c>
      <c r="G580" t="s">
        <v>72</v>
      </c>
      <c r="H580">
        <v>17</v>
      </c>
    </row>
    <row r="581" spans="1:8" x14ac:dyDescent="0.3">
      <c r="A581" t="s">
        <v>232</v>
      </c>
      <c r="B581">
        <v>2021</v>
      </c>
      <c r="C581" t="s">
        <v>307</v>
      </c>
      <c r="D581" t="s">
        <v>308</v>
      </c>
      <c r="E581" t="s">
        <v>65</v>
      </c>
      <c r="F581">
        <v>73200</v>
      </c>
      <c r="G581" t="s">
        <v>72</v>
      </c>
      <c r="H581">
        <v>22</v>
      </c>
    </row>
    <row r="582" spans="1:8" x14ac:dyDescent="0.3">
      <c r="A582" t="s">
        <v>233</v>
      </c>
      <c r="B582">
        <v>2015</v>
      </c>
      <c r="C582" t="s">
        <v>307</v>
      </c>
      <c r="D582" t="s">
        <v>308</v>
      </c>
      <c r="E582" t="s">
        <v>65</v>
      </c>
      <c r="F582">
        <v>88846</v>
      </c>
      <c r="G582" t="s">
        <v>72</v>
      </c>
      <c r="H582">
        <v>3</v>
      </c>
    </row>
    <row r="583" spans="1:8" x14ac:dyDescent="0.3">
      <c r="A583" t="s">
        <v>233</v>
      </c>
      <c r="B583">
        <v>2016</v>
      </c>
      <c r="C583" t="s">
        <v>307</v>
      </c>
      <c r="D583" t="s">
        <v>308</v>
      </c>
      <c r="E583" t="s">
        <v>65</v>
      </c>
      <c r="F583">
        <v>88846</v>
      </c>
      <c r="G583" t="s">
        <v>72</v>
      </c>
      <c r="H583">
        <v>6</v>
      </c>
    </row>
    <row r="584" spans="1:8" x14ac:dyDescent="0.3">
      <c r="A584" t="s">
        <v>233</v>
      </c>
      <c r="B584">
        <v>2017</v>
      </c>
      <c r="C584" t="s">
        <v>307</v>
      </c>
      <c r="D584" t="s">
        <v>308</v>
      </c>
      <c r="E584" t="s">
        <v>65</v>
      </c>
      <c r="F584">
        <v>88846</v>
      </c>
      <c r="G584" t="s">
        <v>72</v>
      </c>
      <c r="H584">
        <v>3</v>
      </c>
    </row>
    <row r="585" spans="1:8" x14ac:dyDescent="0.3">
      <c r="A585" t="s">
        <v>233</v>
      </c>
      <c r="B585">
        <v>2018</v>
      </c>
      <c r="C585" t="s">
        <v>307</v>
      </c>
      <c r="D585" t="s">
        <v>308</v>
      </c>
      <c r="E585" t="s">
        <v>65</v>
      </c>
      <c r="F585">
        <v>88846</v>
      </c>
      <c r="G585" t="s">
        <v>72</v>
      </c>
      <c r="H585">
        <v>8</v>
      </c>
    </row>
    <row r="586" spans="1:8" x14ac:dyDescent="0.3">
      <c r="A586" t="s">
        <v>233</v>
      </c>
      <c r="B586">
        <v>2019</v>
      </c>
      <c r="C586" t="s">
        <v>307</v>
      </c>
      <c r="D586" t="s">
        <v>308</v>
      </c>
      <c r="E586" t="s">
        <v>65</v>
      </c>
      <c r="F586">
        <v>88846</v>
      </c>
      <c r="G586" t="s">
        <v>72</v>
      </c>
      <c r="H586">
        <v>2</v>
      </c>
    </row>
    <row r="587" spans="1:8" x14ac:dyDescent="0.3">
      <c r="A587" t="s">
        <v>233</v>
      </c>
      <c r="B587">
        <v>2020</v>
      </c>
      <c r="C587" t="s">
        <v>307</v>
      </c>
      <c r="D587" t="s">
        <v>308</v>
      </c>
      <c r="E587" t="s">
        <v>65</v>
      </c>
      <c r="F587">
        <v>88846</v>
      </c>
      <c r="G587" t="s">
        <v>72</v>
      </c>
      <c r="H587">
        <v>2</v>
      </c>
    </row>
    <row r="588" spans="1:8" x14ac:dyDescent="0.3">
      <c r="A588" t="s">
        <v>233</v>
      </c>
      <c r="B588">
        <v>2021</v>
      </c>
      <c r="C588" t="s">
        <v>307</v>
      </c>
      <c r="D588" t="s">
        <v>308</v>
      </c>
      <c r="E588" t="s">
        <v>65</v>
      </c>
      <c r="F588">
        <v>88846</v>
      </c>
      <c r="G588" t="s">
        <v>72</v>
      </c>
      <c r="H588">
        <v>2</v>
      </c>
    </row>
    <row r="589" spans="1:8" x14ac:dyDescent="0.3">
      <c r="A589" t="s">
        <v>234</v>
      </c>
      <c r="B589">
        <v>2021</v>
      </c>
      <c r="C589" t="s">
        <v>307</v>
      </c>
      <c r="D589" t="s">
        <v>308</v>
      </c>
      <c r="E589" t="s">
        <v>65</v>
      </c>
      <c r="F589">
        <v>99600</v>
      </c>
      <c r="G589" t="s">
        <v>72</v>
      </c>
      <c r="H589">
        <v>2</v>
      </c>
    </row>
    <row r="590" spans="1:8" x14ac:dyDescent="0.3">
      <c r="A590" t="s">
        <v>120</v>
      </c>
      <c r="B590">
        <v>2014</v>
      </c>
      <c r="C590" t="s">
        <v>307</v>
      </c>
      <c r="D590" t="s">
        <v>308</v>
      </c>
      <c r="E590" t="s">
        <v>65</v>
      </c>
      <c r="F590">
        <v>28000</v>
      </c>
      <c r="G590" t="s">
        <v>72</v>
      </c>
      <c r="H590">
        <v>7</v>
      </c>
    </row>
    <row r="591" spans="1:8" x14ac:dyDescent="0.3">
      <c r="A591" t="s">
        <v>120</v>
      </c>
      <c r="B591">
        <v>2015</v>
      </c>
      <c r="C591" t="s">
        <v>307</v>
      </c>
      <c r="D591" t="s">
        <v>308</v>
      </c>
      <c r="E591" t="s">
        <v>65</v>
      </c>
      <c r="F591">
        <v>28000</v>
      </c>
      <c r="G591" t="s">
        <v>72</v>
      </c>
      <c r="H591">
        <v>65</v>
      </c>
    </row>
    <row r="592" spans="1:8" x14ac:dyDescent="0.3">
      <c r="A592" t="s">
        <v>120</v>
      </c>
      <c r="B592">
        <v>2016</v>
      </c>
      <c r="C592" t="s">
        <v>307</v>
      </c>
      <c r="D592" t="s">
        <v>308</v>
      </c>
      <c r="E592" t="s">
        <v>65</v>
      </c>
      <c r="F592">
        <v>28000</v>
      </c>
      <c r="G592" t="s">
        <v>72</v>
      </c>
      <c r="H592">
        <v>63</v>
      </c>
    </row>
    <row r="593" spans="1:8" x14ac:dyDescent="0.3">
      <c r="A593" t="s">
        <v>120</v>
      </c>
      <c r="B593">
        <v>2017</v>
      </c>
      <c r="C593" t="s">
        <v>307</v>
      </c>
      <c r="D593" t="s">
        <v>308</v>
      </c>
      <c r="E593" t="s">
        <v>65</v>
      </c>
      <c r="F593">
        <v>28000</v>
      </c>
      <c r="G593" t="s">
        <v>72</v>
      </c>
      <c r="H593">
        <v>47</v>
      </c>
    </row>
    <row r="594" spans="1:8" x14ac:dyDescent="0.3">
      <c r="A594" t="s">
        <v>120</v>
      </c>
      <c r="B594">
        <v>2018</v>
      </c>
      <c r="C594" t="s">
        <v>307</v>
      </c>
      <c r="D594" t="s">
        <v>308</v>
      </c>
      <c r="E594" t="s">
        <v>65</v>
      </c>
      <c r="F594">
        <v>28000</v>
      </c>
      <c r="G594" t="s">
        <v>72</v>
      </c>
      <c r="H594">
        <v>48</v>
      </c>
    </row>
    <row r="595" spans="1:8" x14ac:dyDescent="0.3">
      <c r="A595" t="s">
        <v>120</v>
      </c>
      <c r="B595">
        <v>2019</v>
      </c>
      <c r="C595" t="s">
        <v>307</v>
      </c>
      <c r="D595" t="s">
        <v>308</v>
      </c>
      <c r="E595" t="s">
        <v>65</v>
      </c>
      <c r="F595">
        <v>28000</v>
      </c>
      <c r="G595" t="s">
        <v>72</v>
      </c>
      <c r="H595">
        <v>49</v>
      </c>
    </row>
    <row r="596" spans="1:8" x14ac:dyDescent="0.3">
      <c r="A596" t="s">
        <v>120</v>
      </c>
      <c r="B596">
        <v>2020</v>
      </c>
      <c r="C596" t="s">
        <v>307</v>
      </c>
      <c r="D596" t="s">
        <v>308</v>
      </c>
      <c r="E596" t="s">
        <v>65</v>
      </c>
      <c r="F596">
        <v>28000</v>
      </c>
      <c r="G596" t="s">
        <v>72</v>
      </c>
      <c r="H596">
        <v>35</v>
      </c>
    </row>
    <row r="597" spans="1:8" x14ac:dyDescent="0.3">
      <c r="A597" t="s">
        <v>120</v>
      </c>
      <c r="B597">
        <v>2021</v>
      </c>
      <c r="C597" t="s">
        <v>307</v>
      </c>
      <c r="D597" t="s">
        <v>308</v>
      </c>
      <c r="E597" t="s">
        <v>65</v>
      </c>
      <c r="F597">
        <v>28000</v>
      </c>
      <c r="G597" t="s">
        <v>72</v>
      </c>
      <c r="H597">
        <v>81</v>
      </c>
    </row>
    <row r="598" spans="1:8" x14ac:dyDescent="0.3">
      <c r="A598" t="s">
        <v>235</v>
      </c>
      <c r="B598">
        <v>2019</v>
      </c>
      <c r="C598" t="s">
        <v>307</v>
      </c>
      <c r="D598" t="s">
        <v>308</v>
      </c>
      <c r="E598" t="s">
        <v>65</v>
      </c>
      <c r="F598">
        <v>39500</v>
      </c>
      <c r="G598" t="s">
        <v>72</v>
      </c>
      <c r="H598">
        <v>1</v>
      </c>
    </row>
    <row r="599" spans="1:8" x14ac:dyDescent="0.3">
      <c r="A599" t="s">
        <v>235</v>
      </c>
      <c r="B599">
        <v>2020</v>
      </c>
      <c r="C599" t="s">
        <v>307</v>
      </c>
      <c r="D599" t="s">
        <v>308</v>
      </c>
      <c r="E599" t="s">
        <v>65</v>
      </c>
      <c r="F599">
        <v>39500</v>
      </c>
      <c r="G599" t="s">
        <v>72</v>
      </c>
      <c r="H599">
        <v>1</v>
      </c>
    </row>
    <row r="600" spans="1:8" x14ac:dyDescent="0.3">
      <c r="A600" t="s">
        <v>236</v>
      </c>
      <c r="B600">
        <v>2016</v>
      </c>
      <c r="C600" t="s">
        <v>307</v>
      </c>
      <c r="D600" t="s">
        <v>308</v>
      </c>
      <c r="E600" t="s">
        <v>65</v>
      </c>
      <c r="F600">
        <v>9963</v>
      </c>
      <c r="G600" t="s">
        <v>66</v>
      </c>
      <c r="H600">
        <v>2</v>
      </c>
    </row>
    <row r="601" spans="1:8" x14ac:dyDescent="0.3">
      <c r="A601" t="s">
        <v>236</v>
      </c>
      <c r="B601">
        <v>2019</v>
      </c>
      <c r="C601" t="s">
        <v>307</v>
      </c>
      <c r="D601" t="s">
        <v>308</v>
      </c>
      <c r="E601" t="s">
        <v>65</v>
      </c>
      <c r="F601">
        <v>9963</v>
      </c>
      <c r="G601" t="s">
        <v>66</v>
      </c>
      <c r="H601">
        <v>2</v>
      </c>
    </row>
    <row r="602" spans="1:8" x14ac:dyDescent="0.3">
      <c r="A602" t="s">
        <v>236</v>
      </c>
      <c r="B602">
        <v>2020</v>
      </c>
      <c r="C602" t="s">
        <v>307</v>
      </c>
      <c r="D602" t="s">
        <v>308</v>
      </c>
      <c r="E602" t="s">
        <v>65</v>
      </c>
      <c r="F602">
        <v>9963</v>
      </c>
      <c r="G602" t="s">
        <v>66</v>
      </c>
      <c r="H602">
        <v>1</v>
      </c>
    </row>
    <row r="603" spans="1:8" x14ac:dyDescent="0.3">
      <c r="A603" t="s">
        <v>236</v>
      </c>
      <c r="B603">
        <v>2021</v>
      </c>
      <c r="C603" t="s">
        <v>307</v>
      </c>
      <c r="D603" t="s">
        <v>308</v>
      </c>
      <c r="E603" t="s">
        <v>65</v>
      </c>
      <c r="F603">
        <v>9963</v>
      </c>
      <c r="G603" t="s">
        <v>66</v>
      </c>
      <c r="H603">
        <v>5</v>
      </c>
    </row>
    <row r="604" spans="1:8" x14ac:dyDescent="0.3">
      <c r="A604" t="s">
        <v>237</v>
      </c>
      <c r="B604">
        <v>2015</v>
      </c>
      <c r="C604" t="s">
        <v>307</v>
      </c>
      <c r="D604" t="s">
        <v>308</v>
      </c>
      <c r="E604" t="s">
        <v>65</v>
      </c>
      <c r="F604">
        <v>34524</v>
      </c>
      <c r="G604" t="s">
        <v>72</v>
      </c>
      <c r="H604">
        <v>2</v>
      </c>
    </row>
    <row r="605" spans="1:8" x14ac:dyDescent="0.3">
      <c r="A605" t="s">
        <v>237</v>
      </c>
      <c r="B605">
        <v>2016</v>
      </c>
      <c r="C605" t="s">
        <v>307</v>
      </c>
      <c r="D605" t="s">
        <v>308</v>
      </c>
      <c r="E605" t="s">
        <v>65</v>
      </c>
      <c r="F605">
        <v>34524</v>
      </c>
      <c r="G605" t="s">
        <v>72</v>
      </c>
      <c r="H605">
        <v>1</v>
      </c>
    </row>
    <row r="606" spans="1:8" x14ac:dyDescent="0.3">
      <c r="A606" t="s">
        <v>237</v>
      </c>
      <c r="B606">
        <v>2017</v>
      </c>
      <c r="C606" t="s">
        <v>307</v>
      </c>
      <c r="D606" t="s">
        <v>308</v>
      </c>
      <c r="E606" t="s">
        <v>65</v>
      </c>
      <c r="F606">
        <v>34524</v>
      </c>
      <c r="G606" t="s">
        <v>72</v>
      </c>
      <c r="H606">
        <v>2</v>
      </c>
    </row>
    <row r="607" spans="1:8" x14ac:dyDescent="0.3">
      <c r="A607" t="s">
        <v>239</v>
      </c>
      <c r="B607">
        <v>2018</v>
      </c>
      <c r="C607" t="s">
        <v>307</v>
      </c>
      <c r="D607" t="s">
        <v>308</v>
      </c>
      <c r="E607" t="s">
        <v>65</v>
      </c>
      <c r="F607">
        <v>2200</v>
      </c>
      <c r="G607" t="s">
        <v>66</v>
      </c>
      <c r="H607">
        <v>1</v>
      </c>
    </row>
    <row r="608" spans="1:8" x14ac:dyDescent="0.3">
      <c r="A608" t="s">
        <v>241</v>
      </c>
      <c r="B608">
        <v>2014</v>
      </c>
      <c r="C608" t="s">
        <v>307</v>
      </c>
      <c r="D608" t="s">
        <v>308</v>
      </c>
      <c r="E608" t="s">
        <v>65</v>
      </c>
      <c r="F608">
        <v>17698</v>
      </c>
      <c r="G608" t="s">
        <v>72</v>
      </c>
      <c r="H608">
        <v>6</v>
      </c>
    </row>
    <row r="609" spans="1:8" x14ac:dyDescent="0.3">
      <c r="A609" t="s">
        <v>241</v>
      </c>
      <c r="B609">
        <v>2015</v>
      </c>
      <c r="C609" t="s">
        <v>307</v>
      </c>
      <c r="D609" t="s">
        <v>308</v>
      </c>
      <c r="E609" t="s">
        <v>65</v>
      </c>
      <c r="F609">
        <v>17698</v>
      </c>
      <c r="G609" t="s">
        <v>72</v>
      </c>
      <c r="H609">
        <v>4</v>
      </c>
    </row>
    <row r="610" spans="1:8" x14ac:dyDescent="0.3">
      <c r="A610" t="s">
        <v>241</v>
      </c>
      <c r="B610">
        <v>2016</v>
      </c>
      <c r="C610" t="s">
        <v>307</v>
      </c>
      <c r="D610" t="s">
        <v>308</v>
      </c>
      <c r="E610" t="s">
        <v>65</v>
      </c>
      <c r="F610">
        <v>17698</v>
      </c>
      <c r="G610" t="s">
        <v>72</v>
      </c>
      <c r="H610">
        <v>12</v>
      </c>
    </row>
    <row r="611" spans="1:8" x14ac:dyDescent="0.3">
      <c r="A611" t="s">
        <v>241</v>
      </c>
      <c r="B611">
        <v>2017</v>
      </c>
      <c r="C611" t="s">
        <v>307</v>
      </c>
      <c r="D611" t="s">
        <v>308</v>
      </c>
      <c r="E611" t="s">
        <v>65</v>
      </c>
      <c r="F611">
        <v>17698</v>
      </c>
      <c r="G611" t="s">
        <v>72</v>
      </c>
      <c r="H611">
        <v>8</v>
      </c>
    </row>
    <row r="612" spans="1:8" x14ac:dyDescent="0.3">
      <c r="A612" t="s">
        <v>241</v>
      </c>
      <c r="B612">
        <v>2018</v>
      </c>
      <c r="C612" t="s">
        <v>307</v>
      </c>
      <c r="D612" t="s">
        <v>308</v>
      </c>
      <c r="E612" t="s">
        <v>65</v>
      </c>
      <c r="F612">
        <v>17698</v>
      </c>
      <c r="G612" t="s">
        <v>72</v>
      </c>
      <c r="H612">
        <v>3</v>
      </c>
    </row>
    <row r="613" spans="1:8" x14ac:dyDescent="0.3">
      <c r="A613" t="s">
        <v>241</v>
      </c>
      <c r="B613">
        <v>2019</v>
      </c>
      <c r="C613" t="s">
        <v>307</v>
      </c>
      <c r="D613" t="s">
        <v>308</v>
      </c>
      <c r="E613" t="s">
        <v>65</v>
      </c>
      <c r="F613">
        <v>17698</v>
      </c>
      <c r="G613" t="s">
        <v>72</v>
      </c>
      <c r="H613">
        <v>3</v>
      </c>
    </row>
    <row r="614" spans="1:8" x14ac:dyDescent="0.3">
      <c r="A614" t="s">
        <v>241</v>
      </c>
      <c r="B614">
        <v>2020</v>
      </c>
      <c r="C614" t="s">
        <v>307</v>
      </c>
      <c r="D614" t="s">
        <v>308</v>
      </c>
      <c r="E614" t="s">
        <v>65</v>
      </c>
      <c r="F614">
        <v>17698</v>
      </c>
      <c r="G614" t="s">
        <v>72</v>
      </c>
      <c r="H614">
        <v>2</v>
      </c>
    </row>
    <row r="615" spans="1:8" x14ac:dyDescent="0.3">
      <c r="A615" t="s">
        <v>241</v>
      </c>
      <c r="B615">
        <v>2021</v>
      </c>
      <c r="C615" t="s">
        <v>307</v>
      </c>
      <c r="D615" t="s">
        <v>308</v>
      </c>
      <c r="E615" t="s">
        <v>65</v>
      </c>
      <c r="F615">
        <v>17698</v>
      </c>
      <c r="G615" t="s">
        <v>72</v>
      </c>
      <c r="H615">
        <v>2</v>
      </c>
    </row>
    <row r="616" spans="1:8" x14ac:dyDescent="0.3">
      <c r="A616" t="s">
        <v>242</v>
      </c>
      <c r="B616">
        <v>2014</v>
      </c>
      <c r="C616" t="s">
        <v>307</v>
      </c>
      <c r="D616" t="s">
        <v>308</v>
      </c>
      <c r="E616" t="s">
        <v>65</v>
      </c>
      <c r="F616">
        <v>18000</v>
      </c>
      <c r="G616" t="s">
        <v>72</v>
      </c>
      <c r="H616">
        <v>5</v>
      </c>
    </row>
    <row r="617" spans="1:8" x14ac:dyDescent="0.3">
      <c r="A617" t="s">
        <v>242</v>
      </c>
      <c r="B617">
        <v>2015</v>
      </c>
      <c r="C617" t="s">
        <v>307</v>
      </c>
      <c r="D617" t="s">
        <v>308</v>
      </c>
      <c r="E617" t="s">
        <v>65</v>
      </c>
      <c r="F617">
        <v>18000</v>
      </c>
      <c r="G617" t="s">
        <v>72</v>
      </c>
      <c r="H617">
        <v>12</v>
      </c>
    </row>
    <row r="618" spans="1:8" x14ac:dyDescent="0.3">
      <c r="A618" t="s">
        <v>242</v>
      </c>
      <c r="B618">
        <v>2016</v>
      </c>
      <c r="C618" t="s">
        <v>307</v>
      </c>
      <c r="D618" t="s">
        <v>308</v>
      </c>
      <c r="E618" t="s">
        <v>65</v>
      </c>
      <c r="F618">
        <v>18000</v>
      </c>
      <c r="G618" t="s">
        <v>72</v>
      </c>
      <c r="H618">
        <v>9</v>
      </c>
    </row>
    <row r="619" spans="1:8" x14ac:dyDescent="0.3">
      <c r="A619" t="s">
        <v>242</v>
      </c>
      <c r="B619">
        <v>2017</v>
      </c>
      <c r="C619" t="s">
        <v>307</v>
      </c>
      <c r="D619" t="s">
        <v>308</v>
      </c>
      <c r="E619" t="s">
        <v>65</v>
      </c>
      <c r="F619">
        <v>18000</v>
      </c>
      <c r="G619" t="s">
        <v>72</v>
      </c>
      <c r="H619">
        <v>4</v>
      </c>
    </row>
    <row r="620" spans="1:8" x14ac:dyDescent="0.3">
      <c r="A620" t="s">
        <v>242</v>
      </c>
      <c r="B620">
        <v>2018</v>
      </c>
      <c r="C620" t="s">
        <v>307</v>
      </c>
      <c r="D620" t="s">
        <v>308</v>
      </c>
      <c r="E620" t="s">
        <v>65</v>
      </c>
      <c r="F620">
        <v>18000</v>
      </c>
      <c r="G620" t="s">
        <v>72</v>
      </c>
      <c r="H620">
        <v>2</v>
      </c>
    </row>
    <row r="621" spans="1:8" x14ac:dyDescent="0.3">
      <c r="A621" t="s">
        <v>242</v>
      </c>
      <c r="B621">
        <v>2019</v>
      </c>
      <c r="C621" t="s">
        <v>307</v>
      </c>
      <c r="D621" t="s">
        <v>308</v>
      </c>
      <c r="E621" t="s">
        <v>65</v>
      </c>
      <c r="F621">
        <v>18000</v>
      </c>
      <c r="G621" t="s">
        <v>72</v>
      </c>
      <c r="H621">
        <v>4</v>
      </c>
    </row>
    <row r="622" spans="1:8" x14ac:dyDescent="0.3">
      <c r="A622" t="s">
        <v>242</v>
      </c>
      <c r="B622">
        <v>2020</v>
      </c>
      <c r="C622" t="s">
        <v>307</v>
      </c>
      <c r="D622" t="s">
        <v>308</v>
      </c>
      <c r="E622" t="s">
        <v>65</v>
      </c>
      <c r="F622">
        <v>18000</v>
      </c>
      <c r="G622" t="s">
        <v>72</v>
      </c>
      <c r="H622">
        <v>2</v>
      </c>
    </row>
    <row r="623" spans="1:8" x14ac:dyDescent="0.3">
      <c r="A623" t="s">
        <v>242</v>
      </c>
      <c r="B623">
        <v>2021</v>
      </c>
      <c r="C623" t="s">
        <v>307</v>
      </c>
      <c r="D623" t="s">
        <v>308</v>
      </c>
      <c r="E623" t="s">
        <v>65</v>
      </c>
      <c r="F623">
        <v>18000</v>
      </c>
      <c r="G623" t="s">
        <v>72</v>
      </c>
      <c r="H623">
        <v>7</v>
      </c>
    </row>
    <row r="624" spans="1:8" x14ac:dyDescent="0.3">
      <c r="A624" t="s">
        <v>121</v>
      </c>
      <c r="B624">
        <v>2014</v>
      </c>
      <c r="C624" t="s">
        <v>307</v>
      </c>
      <c r="D624" t="s">
        <v>308</v>
      </c>
      <c r="E624" t="s">
        <v>65</v>
      </c>
      <c r="F624">
        <v>21500</v>
      </c>
      <c r="G624" t="s">
        <v>72</v>
      </c>
      <c r="H624">
        <v>12</v>
      </c>
    </row>
    <row r="625" spans="1:8" x14ac:dyDescent="0.3">
      <c r="A625" t="s">
        <v>121</v>
      </c>
      <c r="B625">
        <v>2015</v>
      </c>
      <c r="C625" t="s">
        <v>307</v>
      </c>
      <c r="D625" t="s">
        <v>308</v>
      </c>
      <c r="E625" t="s">
        <v>65</v>
      </c>
      <c r="F625">
        <v>21500</v>
      </c>
      <c r="G625" t="s">
        <v>72</v>
      </c>
      <c r="H625">
        <v>37</v>
      </c>
    </row>
    <row r="626" spans="1:8" x14ac:dyDescent="0.3">
      <c r="A626" t="s">
        <v>121</v>
      </c>
      <c r="B626">
        <v>2016</v>
      </c>
      <c r="C626" t="s">
        <v>307</v>
      </c>
      <c r="D626" t="s">
        <v>308</v>
      </c>
      <c r="E626" t="s">
        <v>65</v>
      </c>
      <c r="F626">
        <v>21500</v>
      </c>
      <c r="G626" t="s">
        <v>72</v>
      </c>
      <c r="H626">
        <v>34</v>
      </c>
    </row>
    <row r="627" spans="1:8" x14ac:dyDescent="0.3">
      <c r="A627" t="s">
        <v>121</v>
      </c>
      <c r="B627">
        <v>2017</v>
      </c>
      <c r="C627" t="s">
        <v>307</v>
      </c>
      <c r="D627" t="s">
        <v>308</v>
      </c>
      <c r="E627" t="s">
        <v>65</v>
      </c>
      <c r="F627">
        <v>21500</v>
      </c>
      <c r="G627" t="s">
        <v>72</v>
      </c>
      <c r="H627">
        <v>36</v>
      </c>
    </row>
    <row r="628" spans="1:8" x14ac:dyDescent="0.3">
      <c r="A628" t="s">
        <v>121</v>
      </c>
      <c r="B628">
        <v>2018</v>
      </c>
      <c r="C628" t="s">
        <v>307</v>
      </c>
      <c r="D628" t="s">
        <v>308</v>
      </c>
      <c r="E628" t="s">
        <v>65</v>
      </c>
      <c r="F628">
        <v>21500</v>
      </c>
      <c r="G628" t="s">
        <v>72</v>
      </c>
      <c r="H628">
        <v>25</v>
      </c>
    </row>
    <row r="629" spans="1:8" x14ac:dyDescent="0.3">
      <c r="A629" t="s">
        <v>121</v>
      </c>
      <c r="B629">
        <v>2019</v>
      </c>
      <c r="C629" t="s">
        <v>307</v>
      </c>
      <c r="D629" t="s">
        <v>308</v>
      </c>
      <c r="E629" t="s">
        <v>65</v>
      </c>
      <c r="F629">
        <v>21500</v>
      </c>
      <c r="G629" t="s">
        <v>72</v>
      </c>
      <c r="H629">
        <v>15</v>
      </c>
    </row>
    <row r="630" spans="1:8" x14ac:dyDescent="0.3">
      <c r="A630" t="s">
        <v>121</v>
      </c>
      <c r="B630">
        <v>2020</v>
      </c>
      <c r="C630" t="s">
        <v>307</v>
      </c>
      <c r="D630" t="s">
        <v>308</v>
      </c>
      <c r="E630" t="s">
        <v>65</v>
      </c>
      <c r="F630">
        <v>21500</v>
      </c>
      <c r="G630" t="s">
        <v>72</v>
      </c>
      <c r="H630">
        <v>12</v>
      </c>
    </row>
    <row r="631" spans="1:8" x14ac:dyDescent="0.3">
      <c r="A631" t="s">
        <v>121</v>
      </c>
      <c r="B631">
        <v>2021</v>
      </c>
      <c r="C631" t="s">
        <v>307</v>
      </c>
      <c r="D631" t="s">
        <v>308</v>
      </c>
      <c r="E631" t="s">
        <v>65</v>
      </c>
      <c r="F631">
        <v>21500</v>
      </c>
      <c r="G631" t="s">
        <v>72</v>
      </c>
      <c r="H631">
        <v>11</v>
      </c>
    </row>
    <row r="632" spans="1:8" x14ac:dyDescent="0.3">
      <c r="A632" t="s">
        <v>243</v>
      </c>
      <c r="B632">
        <v>2014</v>
      </c>
      <c r="C632" t="s">
        <v>307</v>
      </c>
      <c r="D632" t="s">
        <v>308</v>
      </c>
      <c r="E632" t="s">
        <v>65</v>
      </c>
      <c r="F632">
        <v>23500</v>
      </c>
      <c r="G632" t="s">
        <v>72</v>
      </c>
      <c r="H632">
        <v>2</v>
      </c>
    </row>
    <row r="633" spans="1:8" x14ac:dyDescent="0.3">
      <c r="A633" t="s">
        <v>243</v>
      </c>
      <c r="B633">
        <v>2015</v>
      </c>
      <c r="C633" t="s">
        <v>307</v>
      </c>
      <c r="D633" t="s">
        <v>308</v>
      </c>
      <c r="E633" t="s">
        <v>65</v>
      </c>
      <c r="F633">
        <v>23500</v>
      </c>
      <c r="G633" t="s">
        <v>72</v>
      </c>
      <c r="H633">
        <v>7</v>
      </c>
    </row>
    <row r="634" spans="1:8" x14ac:dyDescent="0.3">
      <c r="A634" t="s">
        <v>243</v>
      </c>
      <c r="B634">
        <v>2016</v>
      </c>
      <c r="C634" t="s">
        <v>307</v>
      </c>
      <c r="D634" t="s">
        <v>308</v>
      </c>
      <c r="E634" t="s">
        <v>65</v>
      </c>
      <c r="F634">
        <v>23500</v>
      </c>
      <c r="G634" t="s">
        <v>72</v>
      </c>
      <c r="H634">
        <v>6</v>
      </c>
    </row>
    <row r="635" spans="1:8" x14ac:dyDescent="0.3">
      <c r="A635" t="s">
        <v>243</v>
      </c>
      <c r="B635">
        <v>2017</v>
      </c>
      <c r="C635" t="s">
        <v>307</v>
      </c>
      <c r="D635" t="s">
        <v>308</v>
      </c>
      <c r="E635" t="s">
        <v>65</v>
      </c>
      <c r="F635">
        <v>23500</v>
      </c>
      <c r="G635" t="s">
        <v>72</v>
      </c>
      <c r="H635">
        <v>11</v>
      </c>
    </row>
    <row r="636" spans="1:8" x14ac:dyDescent="0.3">
      <c r="A636" t="s">
        <v>243</v>
      </c>
      <c r="B636">
        <v>2018</v>
      </c>
      <c r="C636" t="s">
        <v>307</v>
      </c>
      <c r="D636" t="s">
        <v>308</v>
      </c>
      <c r="E636" t="s">
        <v>65</v>
      </c>
      <c r="F636">
        <v>23500</v>
      </c>
      <c r="G636" t="s">
        <v>72</v>
      </c>
      <c r="H636">
        <v>7</v>
      </c>
    </row>
    <row r="637" spans="1:8" x14ac:dyDescent="0.3">
      <c r="A637" t="s">
        <v>243</v>
      </c>
      <c r="B637">
        <v>2019</v>
      </c>
      <c r="C637" t="s">
        <v>307</v>
      </c>
      <c r="D637" t="s">
        <v>308</v>
      </c>
      <c r="E637" t="s">
        <v>65</v>
      </c>
      <c r="F637">
        <v>23500</v>
      </c>
      <c r="G637" t="s">
        <v>72</v>
      </c>
      <c r="H637">
        <v>8</v>
      </c>
    </row>
    <row r="638" spans="1:8" x14ac:dyDescent="0.3">
      <c r="A638" t="s">
        <v>243</v>
      </c>
      <c r="B638">
        <v>2020</v>
      </c>
      <c r="C638" t="s">
        <v>307</v>
      </c>
      <c r="D638" t="s">
        <v>308</v>
      </c>
      <c r="E638" t="s">
        <v>65</v>
      </c>
      <c r="F638">
        <v>23500</v>
      </c>
      <c r="G638" t="s">
        <v>72</v>
      </c>
      <c r="H638">
        <v>17</v>
      </c>
    </row>
    <row r="639" spans="1:8" x14ac:dyDescent="0.3">
      <c r="A639" t="s">
        <v>243</v>
      </c>
      <c r="B639">
        <v>2021</v>
      </c>
      <c r="C639" t="s">
        <v>307</v>
      </c>
      <c r="D639" t="s">
        <v>308</v>
      </c>
      <c r="E639" t="s">
        <v>65</v>
      </c>
      <c r="F639">
        <v>23500</v>
      </c>
      <c r="G639" t="s">
        <v>72</v>
      </c>
      <c r="H639">
        <v>15</v>
      </c>
    </row>
    <row r="640" spans="1:8" x14ac:dyDescent="0.3">
      <c r="A640" t="s">
        <v>122</v>
      </c>
      <c r="B640">
        <v>2020</v>
      </c>
      <c r="C640" t="s">
        <v>307</v>
      </c>
      <c r="D640" t="s">
        <v>308</v>
      </c>
      <c r="E640" t="s">
        <v>65</v>
      </c>
      <c r="F640">
        <v>3086</v>
      </c>
      <c r="G640" t="s">
        <v>66</v>
      </c>
      <c r="H640">
        <v>1</v>
      </c>
    </row>
    <row r="641" spans="1:8" x14ac:dyDescent="0.3">
      <c r="A641" t="s">
        <v>123</v>
      </c>
      <c r="B641">
        <v>2014</v>
      </c>
      <c r="C641" t="s">
        <v>307</v>
      </c>
      <c r="D641" t="s">
        <v>308</v>
      </c>
      <c r="E641" t="s">
        <v>65</v>
      </c>
      <c r="F641">
        <v>2579</v>
      </c>
      <c r="G641" t="s">
        <v>66</v>
      </c>
      <c r="H641">
        <v>4</v>
      </c>
    </row>
    <row r="642" spans="1:8" x14ac:dyDescent="0.3">
      <c r="A642" t="s">
        <v>123</v>
      </c>
      <c r="B642">
        <v>2015</v>
      </c>
      <c r="C642" t="s">
        <v>307</v>
      </c>
      <c r="D642" t="s">
        <v>308</v>
      </c>
      <c r="E642" t="s">
        <v>65</v>
      </c>
      <c r="F642">
        <v>2579</v>
      </c>
      <c r="G642" t="s">
        <v>66</v>
      </c>
      <c r="H642">
        <v>11</v>
      </c>
    </row>
    <row r="643" spans="1:8" x14ac:dyDescent="0.3">
      <c r="A643" t="s">
        <v>123</v>
      </c>
      <c r="B643">
        <v>2016</v>
      </c>
      <c r="C643" t="s">
        <v>307</v>
      </c>
      <c r="D643" t="s">
        <v>308</v>
      </c>
      <c r="E643" t="s">
        <v>65</v>
      </c>
      <c r="F643">
        <v>2579</v>
      </c>
      <c r="G643" t="s">
        <v>66</v>
      </c>
      <c r="H643">
        <v>12</v>
      </c>
    </row>
    <row r="644" spans="1:8" x14ac:dyDescent="0.3">
      <c r="A644" t="s">
        <v>123</v>
      </c>
      <c r="B644">
        <v>2017</v>
      </c>
      <c r="C644" t="s">
        <v>307</v>
      </c>
      <c r="D644" t="s">
        <v>308</v>
      </c>
      <c r="E644" t="s">
        <v>65</v>
      </c>
      <c r="F644">
        <v>2579</v>
      </c>
      <c r="G644" t="s">
        <v>66</v>
      </c>
      <c r="H644">
        <v>7</v>
      </c>
    </row>
    <row r="645" spans="1:8" x14ac:dyDescent="0.3">
      <c r="A645" t="s">
        <v>123</v>
      </c>
      <c r="B645">
        <v>2018</v>
      </c>
      <c r="C645" t="s">
        <v>307</v>
      </c>
      <c r="D645" t="s">
        <v>308</v>
      </c>
      <c r="E645" t="s">
        <v>65</v>
      </c>
      <c r="F645">
        <v>2579</v>
      </c>
      <c r="G645" t="s">
        <v>66</v>
      </c>
      <c r="H645">
        <v>8</v>
      </c>
    </row>
    <row r="646" spans="1:8" x14ac:dyDescent="0.3">
      <c r="A646" t="s">
        <v>123</v>
      </c>
      <c r="B646">
        <v>2019</v>
      </c>
      <c r="C646" t="s">
        <v>307</v>
      </c>
      <c r="D646" t="s">
        <v>308</v>
      </c>
      <c r="E646" t="s">
        <v>65</v>
      </c>
      <c r="F646">
        <v>2579</v>
      </c>
      <c r="G646" t="s">
        <v>66</v>
      </c>
      <c r="H646">
        <v>10</v>
      </c>
    </row>
    <row r="647" spans="1:8" x14ac:dyDescent="0.3">
      <c r="A647" t="s">
        <v>123</v>
      </c>
      <c r="B647">
        <v>2020</v>
      </c>
      <c r="C647" t="s">
        <v>307</v>
      </c>
      <c r="D647" t="s">
        <v>308</v>
      </c>
      <c r="E647" t="s">
        <v>65</v>
      </c>
      <c r="F647">
        <v>2579</v>
      </c>
      <c r="G647" t="s">
        <v>66</v>
      </c>
      <c r="H647">
        <v>16</v>
      </c>
    </row>
    <row r="648" spans="1:8" x14ac:dyDescent="0.3">
      <c r="A648" t="s">
        <v>123</v>
      </c>
      <c r="B648">
        <v>2021</v>
      </c>
      <c r="C648" t="s">
        <v>307</v>
      </c>
      <c r="D648" t="s">
        <v>308</v>
      </c>
      <c r="E648" t="s">
        <v>65</v>
      </c>
      <c r="F648">
        <v>2579</v>
      </c>
      <c r="G648" t="s">
        <v>66</v>
      </c>
      <c r="H648">
        <v>13</v>
      </c>
    </row>
    <row r="649" spans="1:8" x14ac:dyDescent="0.3">
      <c r="A649" t="s">
        <v>124</v>
      </c>
      <c r="B649">
        <v>2015</v>
      </c>
      <c r="C649" t="s">
        <v>307</v>
      </c>
      <c r="D649" t="s">
        <v>308</v>
      </c>
      <c r="E649" t="s">
        <v>65</v>
      </c>
      <c r="F649">
        <v>12500</v>
      </c>
      <c r="G649" t="s">
        <v>66</v>
      </c>
      <c r="H649">
        <v>1</v>
      </c>
    </row>
    <row r="650" spans="1:8" x14ac:dyDescent="0.3">
      <c r="A650" t="s">
        <v>124</v>
      </c>
      <c r="B650">
        <v>2016</v>
      </c>
      <c r="C650" t="s">
        <v>307</v>
      </c>
      <c r="D650" t="s">
        <v>308</v>
      </c>
      <c r="E650" t="s">
        <v>65</v>
      </c>
      <c r="F650">
        <v>12500</v>
      </c>
      <c r="G650" t="s">
        <v>66</v>
      </c>
      <c r="H650">
        <v>7</v>
      </c>
    </row>
    <row r="651" spans="1:8" x14ac:dyDescent="0.3">
      <c r="A651" t="s">
        <v>124</v>
      </c>
      <c r="B651">
        <v>2017</v>
      </c>
      <c r="C651" t="s">
        <v>307</v>
      </c>
      <c r="D651" t="s">
        <v>308</v>
      </c>
      <c r="E651" t="s">
        <v>65</v>
      </c>
      <c r="F651">
        <v>12500</v>
      </c>
      <c r="G651" t="s">
        <v>66</v>
      </c>
      <c r="H651">
        <v>3</v>
      </c>
    </row>
    <row r="652" spans="1:8" x14ac:dyDescent="0.3">
      <c r="A652" t="s">
        <v>124</v>
      </c>
      <c r="B652">
        <v>2018</v>
      </c>
      <c r="C652" t="s">
        <v>307</v>
      </c>
      <c r="D652" t="s">
        <v>308</v>
      </c>
      <c r="E652" t="s">
        <v>65</v>
      </c>
      <c r="F652">
        <v>12500</v>
      </c>
      <c r="G652" t="s">
        <v>66</v>
      </c>
      <c r="H652">
        <v>6</v>
      </c>
    </row>
    <row r="653" spans="1:8" x14ac:dyDescent="0.3">
      <c r="A653" t="s">
        <v>124</v>
      </c>
      <c r="B653">
        <v>2019</v>
      </c>
      <c r="C653" t="s">
        <v>307</v>
      </c>
      <c r="D653" t="s">
        <v>308</v>
      </c>
      <c r="E653" t="s">
        <v>65</v>
      </c>
      <c r="F653">
        <v>12500</v>
      </c>
      <c r="G653" t="s">
        <v>66</v>
      </c>
      <c r="H653">
        <v>1</v>
      </c>
    </row>
    <row r="654" spans="1:8" x14ac:dyDescent="0.3">
      <c r="A654" t="s">
        <v>124</v>
      </c>
      <c r="B654">
        <v>2020</v>
      </c>
      <c r="C654" t="s">
        <v>307</v>
      </c>
      <c r="D654" t="s">
        <v>308</v>
      </c>
      <c r="E654" t="s">
        <v>65</v>
      </c>
      <c r="F654">
        <v>12500</v>
      </c>
      <c r="G654" t="s">
        <v>66</v>
      </c>
      <c r="H654">
        <v>3</v>
      </c>
    </row>
    <row r="655" spans="1:8" x14ac:dyDescent="0.3">
      <c r="A655" t="s">
        <v>244</v>
      </c>
      <c r="B655">
        <v>2019</v>
      </c>
      <c r="C655" t="s">
        <v>307</v>
      </c>
      <c r="D655" t="s">
        <v>308</v>
      </c>
      <c r="E655" t="s">
        <v>65</v>
      </c>
      <c r="F655">
        <v>6000</v>
      </c>
      <c r="G655" t="s">
        <v>66</v>
      </c>
      <c r="H655">
        <v>1</v>
      </c>
    </row>
    <row r="656" spans="1:8" x14ac:dyDescent="0.3">
      <c r="A656" t="s">
        <v>244</v>
      </c>
      <c r="B656">
        <v>2021</v>
      </c>
      <c r="C656" t="s">
        <v>307</v>
      </c>
      <c r="D656" t="s">
        <v>308</v>
      </c>
      <c r="E656" t="s">
        <v>65</v>
      </c>
      <c r="F656">
        <v>6000</v>
      </c>
      <c r="G656" t="s">
        <v>66</v>
      </c>
      <c r="H656">
        <v>2</v>
      </c>
    </row>
    <row r="657" spans="1:8" x14ac:dyDescent="0.3">
      <c r="A657" t="s">
        <v>248</v>
      </c>
      <c r="B657">
        <v>2014</v>
      </c>
      <c r="C657" t="s">
        <v>307</v>
      </c>
      <c r="D657" t="s">
        <v>308</v>
      </c>
      <c r="E657" t="s">
        <v>65</v>
      </c>
      <c r="F657">
        <v>11799</v>
      </c>
      <c r="G657" t="s">
        <v>66</v>
      </c>
      <c r="H657">
        <v>1</v>
      </c>
    </row>
    <row r="658" spans="1:8" x14ac:dyDescent="0.3">
      <c r="A658" t="s">
        <v>248</v>
      </c>
      <c r="B658">
        <v>2015</v>
      </c>
      <c r="C658" t="s">
        <v>307</v>
      </c>
      <c r="D658" t="s">
        <v>308</v>
      </c>
      <c r="E658" t="s">
        <v>65</v>
      </c>
      <c r="F658">
        <v>11799</v>
      </c>
      <c r="G658" t="s">
        <v>66</v>
      </c>
      <c r="H658">
        <v>6</v>
      </c>
    </row>
    <row r="659" spans="1:8" x14ac:dyDescent="0.3">
      <c r="A659" t="s">
        <v>248</v>
      </c>
      <c r="B659">
        <v>2016</v>
      </c>
      <c r="C659" t="s">
        <v>307</v>
      </c>
      <c r="D659" t="s">
        <v>308</v>
      </c>
      <c r="E659" t="s">
        <v>65</v>
      </c>
      <c r="F659">
        <v>11799</v>
      </c>
      <c r="G659" t="s">
        <v>66</v>
      </c>
      <c r="H659">
        <v>4</v>
      </c>
    </row>
    <row r="660" spans="1:8" x14ac:dyDescent="0.3">
      <c r="A660" t="s">
        <v>248</v>
      </c>
      <c r="B660">
        <v>2017</v>
      </c>
      <c r="C660" t="s">
        <v>307</v>
      </c>
      <c r="D660" t="s">
        <v>308</v>
      </c>
      <c r="E660" t="s">
        <v>65</v>
      </c>
      <c r="F660">
        <v>11799</v>
      </c>
      <c r="G660" t="s">
        <v>66</v>
      </c>
      <c r="H660">
        <v>1</v>
      </c>
    </row>
    <row r="661" spans="1:8" x14ac:dyDescent="0.3">
      <c r="A661" t="s">
        <v>249</v>
      </c>
      <c r="B661">
        <v>2015</v>
      </c>
      <c r="C661" t="s">
        <v>307</v>
      </c>
      <c r="D661" t="s">
        <v>308</v>
      </c>
      <c r="E661" t="s">
        <v>65</v>
      </c>
      <c r="F661">
        <v>11574</v>
      </c>
      <c r="G661" t="s">
        <v>66</v>
      </c>
      <c r="H661">
        <v>1</v>
      </c>
    </row>
    <row r="662" spans="1:8" x14ac:dyDescent="0.3">
      <c r="A662" t="s">
        <v>249</v>
      </c>
      <c r="B662">
        <v>2017</v>
      </c>
      <c r="C662" t="s">
        <v>307</v>
      </c>
      <c r="D662" t="s">
        <v>308</v>
      </c>
      <c r="E662" t="s">
        <v>65</v>
      </c>
      <c r="F662">
        <v>11574</v>
      </c>
      <c r="G662" t="s">
        <v>66</v>
      </c>
      <c r="H662">
        <v>4</v>
      </c>
    </row>
    <row r="663" spans="1:8" x14ac:dyDescent="0.3">
      <c r="A663" t="s">
        <v>249</v>
      </c>
      <c r="B663">
        <v>2018</v>
      </c>
      <c r="C663" t="s">
        <v>307</v>
      </c>
      <c r="D663" t="s">
        <v>308</v>
      </c>
      <c r="E663" t="s">
        <v>65</v>
      </c>
      <c r="F663">
        <v>11574</v>
      </c>
      <c r="G663" t="s">
        <v>66</v>
      </c>
      <c r="H663">
        <v>3</v>
      </c>
    </row>
    <row r="664" spans="1:8" x14ac:dyDescent="0.3">
      <c r="A664" t="s">
        <v>249</v>
      </c>
      <c r="B664">
        <v>2019</v>
      </c>
      <c r="C664" t="s">
        <v>307</v>
      </c>
      <c r="D664" t="s">
        <v>308</v>
      </c>
      <c r="E664" t="s">
        <v>65</v>
      </c>
      <c r="F664">
        <v>11574</v>
      </c>
      <c r="G664" t="s">
        <v>66</v>
      </c>
      <c r="H664">
        <v>1</v>
      </c>
    </row>
    <row r="665" spans="1:8" x14ac:dyDescent="0.3">
      <c r="A665" t="s">
        <v>249</v>
      </c>
      <c r="B665">
        <v>2020</v>
      </c>
      <c r="C665" t="s">
        <v>307</v>
      </c>
      <c r="D665" t="s">
        <v>308</v>
      </c>
      <c r="E665" t="s">
        <v>65</v>
      </c>
      <c r="F665">
        <v>11574</v>
      </c>
      <c r="G665" t="s">
        <v>66</v>
      </c>
      <c r="H665">
        <v>2</v>
      </c>
    </row>
    <row r="666" spans="1:8" x14ac:dyDescent="0.3">
      <c r="A666" t="s">
        <v>249</v>
      </c>
      <c r="B666">
        <v>2021</v>
      </c>
      <c r="C666" t="s">
        <v>307</v>
      </c>
      <c r="D666" t="s">
        <v>308</v>
      </c>
      <c r="E666" t="s">
        <v>65</v>
      </c>
      <c r="F666">
        <v>11574</v>
      </c>
      <c r="G666" t="s">
        <v>66</v>
      </c>
      <c r="H666">
        <v>1</v>
      </c>
    </row>
    <row r="667" spans="1:8" x14ac:dyDescent="0.3">
      <c r="A667" t="s">
        <v>125</v>
      </c>
      <c r="B667">
        <v>2015</v>
      </c>
      <c r="C667" t="s">
        <v>307</v>
      </c>
      <c r="D667" t="s">
        <v>308</v>
      </c>
      <c r="E667" t="s">
        <v>65</v>
      </c>
      <c r="F667">
        <v>12100</v>
      </c>
      <c r="G667" t="s">
        <v>66</v>
      </c>
      <c r="H667">
        <v>8</v>
      </c>
    </row>
    <row r="668" spans="1:8" x14ac:dyDescent="0.3">
      <c r="A668" t="s">
        <v>125</v>
      </c>
      <c r="B668">
        <v>2016</v>
      </c>
      <c r="C668" t="s">
        <v>307</v>
      </c>
      <c r="D668" t="s">
        <v>308</v>
      </c>
      <c r="E668" t="s">
        <v>65</v>
      </c>
      <c r="F668">
        <v>12100</v>
      </c>
      <c r="G668" t="s">
        <v>66</v>
      </c>
      <c r="H668">
        <v>8</v>
      </c>
    </row>
    <row r="669" spans="1:8" x14ac:dyDescent="0.3">
      <c r="A669" t="s">
        <v>125</v>
      </c>
      <c r="B669">
        <v>2017</v>
      </c>
      <c r="C669" t="s">
        <v>307</v>
      </c>
      <c r="D669" t="s">
        <v>308</v>
      </c>
      <c r="E669" t="s">
        <v>65</v>
      </c>
      <c r="F669">
        <v>12100</v>
      </c>
      <c r="G669" t="s">
        <v>66</v>
      </c>
      <c r="H669">
        <v>12</v>
      </c>
    </row>
    <row r="670" spans="1:8" x14ac:dyDescent="0.3">
      <c r="A670" t="s">
        <v>125</v>
      </c>
      <c r="B670">
        <v>2018</v>
      </c>
      <c r="C670" t="s">
        <v>307</v>
      </c>
      <c r="D670" t="s">
        <v>308</v>
      </c>
      <c r="E670" t="s">
        <v>65</v>
      </c>
      <c r="F670">
        <v>12100</v>
      </c>
      <c r="G670" t="s">
        <v>66</v>
      </c>
      <c r="H670">
        <v>6</v>
      </c>
    </row>
    <row r="671" spans="1:8" x14ac:dyDescent="0.3">
      <c r="A671" t="s">
        <v>125</v>
      </c>
      <c r="B671">
        <v>2019</v>
      </c>
      <c r="C671" t="s">
        <v>307</v>
      </c>
      <c r="D671" t="s">
        <v>308</v>
      </c>
      <c r="E671" t="s">
        <v>65</v>
      </c>
      <c r="F671">
        <v>12100</v>
      </c>
      <c r="G671" t="s">
        <v>66</v>
      </c>
      <c r="H671">
        <v>4</v>
      </c>
    </row>
    <row r="672" spans="1:8" x14ac:dyDescent="0.3">
      <c r="A672" t="s">
        <v>125</v>
      </c>
      <c r="B672">
        <v>2020</v>
      </c>
      <c r="C672" t="s">
        <v>307</v>
      </c>
      <c r="D672" t="s">
        <v>308</v>
      </c>
      <c r="E672" t="s">
        <v>65</v>
      </c>
      <c r="F672">
        <v>12100</v>
      </c>
      <c r="G672" t="s">
        <v>66</v>
      </c>
      <c r="H672">
        <v>2</v>
      </c>
    </row>
    <row r="673" spans="1:8" x14ac:dyDescent="0.3">
      <c r="A673" t="s">
        <v>125</v>
      </c>
      <c r="B673">
        <v>2021</v>
      </c>
      <c r="C673" t="s">
        <v>307</v>
      </c>
      <c r="D673" t="s">
        <v>308</v>
      </c>
      <c r="E673" t="s">
        <v>65</v>
      </c>
      <c r="F673">
        <v>12100</v>
      </c>
      <c r="G673" t="s">
        <v>66</v>
      </c>
      <c r="H673">
        <v>8</v>
      </c>
    </row>
    <row r="674" spans="1:8" x14ac:dyDescent="0.3">
      <c r="A674" t="s">
        <v>126</v>
      </c>
      <c r="B674">
        <v>2014</v>
      </c>
      <c r="C674" t="s">
        <v>307</v>
      </c>
      <c r="D674" t="s">
        <v>308</v>
      </c>
      <c r="E674" t="s">
        <v>65</v>
      </c>
      <c r="F674">
        <v>2548</v>
      </c>
      <c r="G674" t="s">
        <v>66</v>
      </c>
      <c r="H674">
        <v>8</v>
      </c>
    </row>
    <row r="675" spans="1:8" x14ac:dyDescent="0.3">
      <c r="A675" t="s">
        <v>126</v>
      </c>
      <c r="B675">
        <v>2015</v>
      </c>
      <c r="C675" t="s">
        <v>307</v>
      </c>
      <c r="D675" t="s">
        <v>308</v>
      </c>
      <c r="E675" t="s">
        <v>65</v>
      </c>
      <c r="F675">
        <v>2548</v>
      </c>
      <c r="G675" t="s">
        <v>66</v>
      </c>
      <c r="H675">
        <v>26</v>
      </c>
    </row>
    <row r="676" spans="1:8" x14ac:dyDescent="0.3">
      <c r="A676" t="s">
        <v>126</v>
      </c>
      <c r="B676">
        <v>2016</v>
      </c>
      <c r="C676" t="s">
        <v>307</v>
      </c>
      <c r="D676" t="s">
        <v>308</v>
      </c>
      <c r="E676" t="s">
        <v>65</v>
      </c>
      <c r="F676">
        <v>2548</v>
      </c>
      <c r="G676" t="s">
        <v>66</v>
      </c>
      <c r="H676">
        <v>29</v>
      </c>
    </row>
    <row r="677" spans="1:8" x14ac:dyDescent="0.3">
      <c r="A677" t="s">
        <v>126</v>
      </c>
      <c r="B677">
        <v>2017</v>
      </c>
      <c r="C677" t="s">
        <v>307</v>
      </c>
      <c r="D677" t="s">
        <v>308</v>
      </c>
      <c r="E677" t="s">
        <v>65</v>
      </c>
      <c r="F677">
        <v>2548</v>
      </c>
      <c r="G677" t="s">
        <v>66</v>
      </c>
      <c r="H677">
        <v>48</v>
      </c>
    </row>
    <row r="678" spans="1:8" x14ac:dyDescent="0.3">
      <c r="A678" t="s">
        <v>126</v>
      </c>
      <c r="B678">
        <v>2018</v>
      </c>
      <c r="C678" t="s">
        <v>307</v>
      </c>
      <c r="D678" t="s">
        <v>308</v>
      </c>
      <c r="E678" t="s">
        <v>65</v>
      </c>
      <c r="F678">
        <v>2548</v>
      </c>
      <c r="G678" t="s">
        <v>66</v>
      </c>
      <c r="H678">
        <v>40</v>
      </c>
    </row>
    <row r="679" spans="1:8" x14ac:dyDescent="0.3">
      <c r="A679" t="s">
        <v>126</v>
      </c>
      <c r="B679">
        <v>2019</v>
      </c>
      <c r="C679" t="s">
        <v>307</v>
      </c>
      <c r="D679" t="s">
        <v>308</v>
      </c>
      <c r="E679" t="s">
        <v>65</v>
      </c>
      <c r="F679">
        <v>2548</v>
      </c>
      <c r="G679" t="s">
        <v>66</v>
      </c>
      <c r="H679">
        <v>36</v>
      </c>
    </row>
    <row r="680" spans="1:8" x14ac:dyDescent="0.3">
      <c r="A680" t="s">
        <v>126</v>
      </c>
      <c r="B680">
        <v>2020</v>
      </c>
      <c r="C680" t="s">
        <v>307</v>
      </c>
      <c r="D680" t="s">
        <v>308</v>
      </c>
      <c r="E680" t="s">
        <v>65</v>
      </c>
      <c r="F680">
        <v>2548</v>
      </c>
      <c r="G680" t="s">
        <v>66</v>
      </c>
      <c r="H680">
        <v>24</v>
      </c>
    </row>
    <row r="681" spans="1:8" x14ac:dyDescent="0.3">
      <c r="A681" t="s">
        <v>126</v>
      </c>
      <c r="B681">
        <v>2021</v>
      </c>
      <c r="C681" t="s">
        <v>307</v>
      </c>
      <c r="D681" t="s">
        <v>308</v>
      </c>
      <c r="E681" t="s">
        <v>65</v>
      </c>
      <c r="F681">
        <v>2548</v>
      </c>
      <c r="G681" t="s">
        <v>66</v>
      </c>
      <c r="H681">
        <v>108</v>
      </c>
    </row>
    <row r="682" spans="1:8" x14ac:dyDescent="0.3">
      <c r="A682" t="s">
        <v>127</v>
      </c>
      <c r="B682">
        <v>2014</v>
      </c>
      <c r="C682" t="s">
        <v>307</v>
      </c>
      <c r="D682" t="s">
        <v>308</v>
      </c>
      <c r="E682" t="s">
        <v>65</v>
      </c>
      <c r="F682">
        <v>2150</v>
      </c>
      <c r="G682" t="s">
        <v>66</v>
      </c>
      <c r="H682">
        <v>1</v>
      </c>
    </row>
    <row r="683" spans="1:8" x14ac:dyDescent="0.3">
      <c r="A683" t="s">
        <v>127</v>
      </c>
      <c r="B683">
        <v>2015</v>
      </c>
      <c r="C683" t="s">
        <v>307</v>
      </c>
      <c r="D683" t="s">
        <v>308</v>
      </c>
      <c r="E683" t="s">
        <v>65</v>
      </c>
      <c r="F683">
        <v>2150</v>
      </c>
      <c r="G683" t="s">
        <v>66</v>
      </c>
      <c r="H683">
        <v>2</v>
      </c>
    </row>
    <row r="684" spans="1:8" x14ac:dyDescent="0.3">
      <c r="A684" t="s">
        <v>127</v>
      </c>
      <c r="B684">
        <v>2016</v>
      </c>
      <c r="C684" t="s">
        <v>307</v>
      </c>
      <c r="D684" t="s">
        <v>308</v>
      </c>
      <c r="E684" t="s">
        <v>65</v>
      </c>
      <c r="F684">
        <v>2150</v>
      </c>
      <c r="G684" t="s">
        <v>66</v>
      </c>
      <c r="H684">
        <v>1</v>
      </c>
    </row>
    <row r="685" spans="1:8" x14ac:dyDescent="0.3">
      <c r="A685" t="s">
        <v>127</v>
      </c>
      <c r="B685">
        <v>2017</v>
      </c>
      <c r="C685" t="s">
        <v>307</v>
      </c>
      <c r="D685" t="s">
        <v>308</v>
      </c>
      <c r="E685" t="s">
        <v>65</v>
      </c>
      <c r="F685">
        <v>2150</v>
      </c>
      <c r="G685" t="s">
        <v>66</v>
      </c>
      <c r="H685">
        <v>11</v>
      </c>
    </row>
    <row r="686" spans="1:8" x14ac:dyDescent="0.3">
      <c r="A686" t="s">
        <v>127</v>
      </c>
      <c r="B686">
        <v>2018</v>
      </c>
      <c r="C686" t="s">
        <v>307</v>
      </c>
      <c r="D686" t="s">
        <v>308</v>
      </c>
      <c r="E686" t="s">
        <v>65</v>
      </c>
      <c r="F686">
        <v>2150</v>
      </c>
      <c r="G686" t="s">
        <v>66</v>
      </c>
      <c r="H686">
        <v>7</v>
      </c>
    </row>
    <row r="687" spans="1:8" x14ac:dyDescent="0.3">
      <c r="A687" t="s">
        <v>127</v>
      </c>
      <c r="B687">
        <v>2019</v>
      </c>
      <c r="C687" t="s">
        <v>307</v>
      </c>
      <c r="D687" t="s">
        <v>308</v>
      </c>
      <c r="E687" t="s">
        <v>65</v>
      </c>
      <c r="F687">
        <v>2150</v>
      </c>
      <c r="G687" t="s">
        <v>66</v>
      </c>
      <c r="H687">
        <v>2</v>
      </c>
    </row>
    <row r="688" spans="1:8" x14ac:dyDescent="0.3">
      <c r="A688" t="s">
        <v>127</v>
      </c>
      <c r="B688">
        <v>2021</v>
      </c>
      <c r="C688" t="s">
        <v>307</v>
      </c>
      <c r="D688" t="s">
        <v>308</v>
      </c>
      <c r="E688" t="s">
        <v>65</v>
      </c>
      <c r="F688">
        <v>2150</v>
      </c>
      <c r="G688" t="s">
        <v>66</v>
      </c>
      <c r="H688">
        <v>2</v>
      </c>
    </row>
    <row r="689" spans="1:8" x14ac:dyDescent="0.3">
      <c r="A689" t="s">
        <v>128</v>
      </c>
      <c r="B689">
        <v>2014</v>
      </c>
      <c r="C689" t="s">
        <v>307</v>
      </c>
      <c r="D689" t="s">
        <v>308</v>
      </c>
      <c r="E689" t="s">
        <v>65</v>
      </c>
      <c r="F689">
        <v>2866</v>
      </c>
      <c r="G689" t="s">
        <v>66</v>
      </c>
      <c r="H689">
        <v>4</v>
      </c>
    </row>
    <row r="690" spans="1:8" x14ac:dyDescent="0.3">
      <c r="A690" t="s">
        <v>128</v>
      </c>
      <c r="B690">
        <v>2015</v>
      </c>
      <c r="C690" t="s">
        <v>307</v>
      </c>
      <c r="D690" t="s">
        <v>308</v>
      </c>
      <c r="E690" t="s">
        <v>65</v>
      </c>
      <c r="F690">
        <v>2866</v>
      </c>
      <c r="G690" t="s">
        <v>66</v>
      </c>
      <c r="H690">
        <v>5</v>
      </c>
    </row>
    <row r="691" spans="1:8" x14ac:dyDescent="0.3">
      <c r="A691" t="s">
        <v>128</v>
      </c>
      <c r="B691">
        <v>2016</v>
      </c>
      <c r="C691" t="s">
        <v>307</v>
      </c>
      <c r="D691" t="s">
        <v>308</v>
      </c>
      <c r="E691" t="s">
        <v>65</v>
      </c>
      <c r="F691">
        <v>2866</v>
      </c>
      <c r="G691" t="s">
        <v>66</v>
      </c>
      <c r="H691">
        <v>4</v>
      </c>
    </row>
    <row r="692" spans="1:8" x14ac:dyDescent="0.3">
      <c r="A692" t="s">
        <v>128</v>
      </c>
      <c r="B692">
        <v>2017</v>
      </c>
      <c r="C692" t="s">
        <v>307</v>
      </c>
      <c r="D692" t="s">
        <v>308</v>
      </c>
      <c r="E692" t="s">
        <v>65</v>
      </c>
      <c r="F692">
        <v>2866</v>
      </c>
      <c r="G692" t="s">
        <v>66</v>
      </c>
      <c r="H692">
        <v>14</v>
      </c>
    </row>
    <row r="693" spans="1:8" x14ac:dyDescent="0.3">
      <c r="A693" t="s">
        <v>128</v>
      </c>
      <c r="B693">
        <v>2018</v>
      </c>
      <c r="C693" t="s">
        <v>307</v>
      </c>
      <c r="D693" t="s">
        <v>308</v>
      </c>
      <c r="E693" t="s">
        <v>65</v>
      </c>
      <c r="F693">
        <v>2866</v>
      </c>
      <c r="G693" t="s">
        <v>66</v>
      </c>
      <c r="H693">
        <v>15</v>
      </c>
    </row>
    <row r="694" spans="1:8" x14ac:dyDescent="0.3">
      <c r="A694" t="s">
        <v>128</v>
      </c>
      <c r="B694">
        <v>2019</v>
      </c>
      <c r="C694" t="s">
        <v>307</v>
      </c>
      <c r="D694" t="s">
        <v>308</v>
      </c>
      <c r="E694" t="s">
        <v>65</v>
      </c>
      <c r="F694">
        <v>2866</v>
      </c>
      <c r="G694" t="s">
        <v>66</v>
      </c>
      <c r="H694">
        <v>10</v>
      </c>
    </row>
    <row r="695" spans="1:8" x14ac:dyDescent="0.3">
      <c r="A695" t="s">
        <v>128</v>
      </c>
      <c r="B695">
        <v>2020</v>
      </c>
      <c r="C695" t="s">
        <v>307</v>
      </c>
      <c r="D695" t="s">
        <v>308</v>
      </c>
      <c r="E695" t="s">
        <v>65</v>
      </c>
      <c r="F695">
        <v>2866</v>
      </c>
      <c r="G695" t="s">
        <v>66</v>
      </c>
      <c r="H695">
        <v>14</v>
      </c>
    </row>
    <row r="696" spans="1:8" x14ac:dyDescent="0.3">
      <c r="A696" t="s">
        <v>128</v>
      </c>
      <c r="B696">
        <v>2021</v>
      </c>
      <c r="C696" t="s">
        <v>307</v>
      </c>
      <c r="D696" t="s">
        <v>308</v>
      </c>
      <c r="E696" t="s">
        <v>65</v>
      </c>
      <c r="F696">
        <v>2866</v>
      </c>
      <c r="G696" t="s">
        <v>66</v>
      </c>
      <c r="H696">
        <v>7</v>
      </c>
    </row>
    <row r="697" spans="1:8" x14ac:dyDescent="0.3">
      <c r="A697" t="s">
        <v>129</v>
      </c>
      <c r="B697">
        <v>2014</v>
      </c>
      <c r="C697" t="s">
        <v>307</v>
      </c>
      <c r="D697" t="s">
        <v>308</v>
      </c>
      <c r="E697" t="s">
        <v>65</v>
      </c>
      <c r="F697">
        <v>3615</v>
      </c>
      <c r="G697" t="s">
        <v>66</v>
      </c>
      <c r="H697">
        <v>9</v>
      </c>
    </row>
    <row r="698" spans="1:8" x14ac:dyDescent="0.3">
      <c r="A698" t="s">
        <v>129</v>
      </c>
      <c r="B698">
        <v>2015</v>
      </c>
      <c r="C698" t="s">
        <v>307</v>
      </c>
      <c r="D698" t="s">
        <v>308</v>
      </c>
      <c r="E698" t="s">
        <v>65</v>
      </c>
      <c r="F698">
        <v>3615</v>
      </c>
      <c r="G698" t="s">
        <v>66</v>
      </c>
      <c r="H698">
        <v>7</v>
      </c>
    </row>
    <row r="699" spans="1:8" x14ac:dyDescent="0.3">
      <c r="A699" t="s">
        <v>129</v>
      </c>
      <c r="B699">
        <v>2016</v>
      </c>
      <c r="C699" t="s">
        <v>307</v>
      </c>
      <c r="D699" t="s">
        <v>308</v>
      </c>
      <c r="E699" t="s">
        <v>65</v>
      </c>
      <c r="F699">
        <v>3615</v>
      </c>
      <c r="G699" t="s">
        <v>66</v>
      </c>
      <c r="H699">
        <v>5</v>
      </c>
    </row>
    <row r="700" spans="1:8" x14ac:dyDescent="0.3">
      <c r="A700" t="s">
        <v>129</v>
      </c>
      <c r="B700">
        <v>2017</v>
      </c>
      <c r="C700" t="s">
        <v>307</v>
      </c>
      <c r="D700" t="s">
        <v>308</v>
      </c>
      <c r="E700" t="s">
        <v>65</v>
      </c>
      <c r="F700">
        <v>3615</v>
      </c>
      <c r="G700" t="s">
        <v>66</v>
      </c>
      <c r="H700">
        <v>3</v>
      </c>
    </row>
    <row r="701" spans="1:8" x14ac:dyDescent="0.3">
      <c r="A701" t="s">
        <v>129</v>
      </c>
      <c r="B701">
        <v>2018</v>
      </c>
      <c r="C701" t="s">
        <v>307</v>
      </c>
      <c r="D701" t="s">
        <v>308</v>
      </c>
      <c r="E701" t="s">
        <v>65</v>
      </c>
      <c r="F701">
        <v>3615</v>
      </c>
      <c r="G701" t="s">
        <v>66</v>
      </c>
      <c r="H701">
        <v>3</v>
      </c>
    </row>
    <row r="702" spans="1:8" x14ac:dyDescent="0.3">
      <c r="A702" t="s">
        <v>129</v>
      </c>
      <c r="B702">
        <v>2019</v>
      </c>
      <c r="C702" t="s">
        <v>307</v>
      </c>
      <c r="D702" t="s">
        <v>308</v>
      </c>
      <c r="E702" t="s">
        <v>65</v>
      </c>
      <c r="F702">
        <v>3615</v>
      </c>
      <c r="G702" t="s">
        <v>66</v>
      </c>
      <c r="H702">
        <v>7</v>
      </c>
    </row>
    <row r="703" spans="1:8" x14ac:dyDescent="0.3">
      <c r="A703" t="s">
        <v>129</v>
      </c>
      <c r="B703">
        <v>2020</v>
      </c>
      <c r="C703" t="s">
        <v>307</v>
      </c>
      <c r="D703" t="s">
        <v>308</v>
      </c>
      <c r="E703" t="s">
        <v>65</v>
      </c>
      <c r="F703">
        <v>3615</v>
      </c>
      <c r="G703" t="s">
        <v>66</v>
      </c>
      <c r="H703">
        <v>5</v>
      </c>
    </row>
    <row r="704" spans="1:8" x14ac:dyDescent="0.3">
      <c r="A704" t="s">
        <v>129</v>
      </c>
      <c r="B704">
        <v>2021</v>
      </c>
      <c r="C704" t="s">
        <v>307</v>
      </c>
      <c r="D704" t="s">
        <v>308</v>
      </c>
      <c r="E704" t="s">
        <v>65</v>
      </c>
      <c r="F704">
        <v>3615</v>
      </c>
      <c r="G704" t="s">
        <v>66</v>
      </c>
      <c r="H704">
        <v>9</v>
      </c>
    </row>
    <row r="705" spans="1:8" x14ac:dyDescent="0.3">
      <c r="A705" t="s">
        <v>130</v>
      </c>
      <c r="B705">
        <v>2014</v>
      </c>
      <c r="C705" t="s">
        <v>307</v>
      </c>
      <c r="D705" t="s">
        <v>308</v>
      </c>
      <c r="E705" t="s">
        <v>65</v>
      </c>
      <c r="F705">
        <v>4850</v>
      </c>
      <c r="G705" t="s">
        <v>66</v>
      </c>
      <c r="H705">
        <v>31</v>
      </c>
    </row>
    <row r="706" spans="1:8" x14ac:dyDescent="0.3">
      <c r="A706" t="s">
        <v>130</v>
      </c>
      <c r="B706">
        <v>2015</v>
      </c>
      <c r="C706" t="s">
        <v>307</v>
      </c>
      <c r="D706" t="s">
        <v>308</v>
      </c>
      <c r="E706" t="s">
        <v>65</v>
      </c>
      <c r="F706">
        <v>4850</v>
      </c>
      <c r="G706" t="s">
        <v>66</v>
      </c>
      <c r="H706">
        <v>57</v>
      </c>
    </row>
    <row r="707" spans="1:8" x14ac:dyDescent="0.3">
      <c r="A707" t="s">
        <v>130</v>
      </c>
      <c r="B707">
        <v>2016</v>
      </c>
      <c r="C707" t="s">
        <v>307</v>
      </c>
      <c r="D707" t="s">
        <v>308</v>
      </c>
      <c r="E707" t="s">
        <v>65</v>
      </c>
      <c r="F707">
        <v>4850</v>
      </c>
      <c r="G707" t="s">
        <v>66</v>
      </c>
      <c r="H707">
        <v>47</v>
      </c>
    </row>
    <row r="708" spans="1:8" x14ac:dyDescent="0.3">
      <c r="A708" t="s">
        <v>130</v>
      </c>
      <c r="B708">
        <v>2017</v>
      </c>
      <c r="C708" t="s">
        <v>307</v>
      </c>
      <c r="D708" t="s">
        <v>308</v>
      </c>
      <c r="E708" t="s">
        <v>65</v>
      </c>
      <c r="F708">
        <v>4850</v>
      </c>
      <c r="G708" t="s">
        <v>66</v>
      </c>
      <c r="H708">
        <v>51</v>
      </c>
    </row>
    <row r="709" spans="1:8" x14ac:dyDescent="0.3">
      <c r="A709" t="s">
        <v>130</v>
      </c>
      <c r="B709">
        <v>2018</v>
      </c>
      <c r="C709" t="s">
        <v>307</v>
      </c>
      <c r="D709" t="s">
        <v>308</v>
      </c>
      <c r="E709" t="s">
        <v>65</v>
      </c>
      <c r="F709">
        <v>4850</v>
      </c>
      <c r="G709" t="s">
        <v>66</v>
      </c>
      <c r="H709">
        <v>32</v>
      </c>
    </row>
    <row r="710" spans="1:8" x14ac:dyDescent="0.3">
      <c r="A710" t="s">
        <v>130</v>
      </c>
      <c r="B710">
        <v>2019</v>
      </c>
      <c r="C710" t="s">
        <v>307</v>
      </c>
      <c r="D710" t="s">
        <v>308</v>
      </c>
      <c r="E710" t="s">
        <v>65</v>
      </c>
      <c r="F710">
        <v>4850</v>
      </c>
      <c r="G710" t="s">
        <v>66</v>
      </c>
      <c r="H710">
        <v>41</v>
      </c>
    </row>
    <row r="711" spans="1:8" x14ac:dyDescent="0.3">
      <c r="A711" t="s">
        <v>130</v>
      </c>
      <c r="B711">
        <v>2020</v>
      </c>
      <c r="C711" t="s">
        <v>307</v>
      </c>
      <c r="D711" t="s">
        <v>308</v>
      </c>
      <c r="E711" t="s">
        <v>65</v>
      </c>
      <c r="F711">
        <v>4850</v>
      </c>
      <c r="G711" t="s">
        <v>66</v>
      </c>
      <c r="H711">
        <v>13</v>
      </c>
    </row>
    <row r="712" spans="1:8" x14ac:dyDescent="0.3">
      <c r="A712" t="s">
        <v>130</v>
      </c>
      <c r="B712">
        <v>2021</v>
      </c>
      <c r="C712" t="s">
        <v>307</v>
      </c>
      <c r="D712" t="s">
        <v>308</v>
      </c>
      <c r="E712" t="s">
        <v>65</v>
      </c>
      <c r="F712">
        <v>4850</v>
      </c>
      <c r="G712" t="s">
        <v>66</v>
      </c>
      <c r="H712">
        <v>2</v>
      </c>
    </row>
    <row r="713" spans="1:8" x14ac:dyDescent="0.3">
      <c r="A713" t="s">
        <v>131</v>
      </c>
      <c r="B713">
        <v>2015</v>
      </c>
      <c r="C713" t="s">
        <v>307</v>
      </c>
      <c r="D713" t="s">
        <v>308</v>
      </c>
      <c r="E713" t="s">
        <v>65</v>
      </c>
      <c r="F713">
        <v>1950</v>
      </c>
      <c r="G713" t="s">
        <v>66</v>
      </c>
      <c r="H713">
        <v>2</v>
      </c>
    </row>
    <row r="714" spans="1:8" x14ac:dyDescent="0.3">
      <c r="A714" t="s">
        <v>131</v>
      </c>
      <c r="B714">
        <v>2018</v>
      </c>
      <c r="C714" t="s">
        <v>307</v>
      </c>
      <c r="D714" t="s">
        <v>308</v>
      </c>
      <c r="E714" t="s">
        <v>65</v>
      </c>
      <c r="F714">
        <v>1950</v>
      </c>
      <c r="G714" t="s">
        <v>66</v>
      </c>
      <c r="H714">
        <v>1</v>
      </c>
    </row>
    <row r="715" spans="1:8" x14ac:dyDescent="0.3">
      <c r="A715" t="s">
        <v>132</v>
      </c>
      <c r="B715">
        <v>2014</v>
      </c>
      <c r="C715" t="s">
        <v>307</v>
      </c>
      <c r="D715" t="s">
        <v>308</v>
      </c>
      <c r="E715" t="s">
        <v>65</v>
      </c>
      <c r="F715">
        <v>3200</v>
      </c>
      <c r="G715" t="s">
        <v>66</v>
      </c>
      <c r="H715">
        <v>5</v>
      </c>
    </row>
    <row r="716" spans="1:8" x14ac:dyDescent="0.3">
      <c r="A716" t="s">
        <v>132</v>
      </c>
      <c r="B716">
        <v>2015</v>
      </c>
      <c r="C716" t="s">
        <v>307</v>
      </c>
      <c r="D716" t="s">
        <v>308</v>
      </c>
      <c r="E716" t="s">
        <v>65</v>
      </c>
      <c r="F716">
        <v>3200</v>
      </c>
      <c r="G716" t="s">
        <v>66</v>
      </c>
      <c r="H716">
        <v>1</v>
      </c>
    </row>
    <row r="717" spans="1:8" x14ac:dyDescent="0.3">
      <c r="A717" t="s">
        <v>132</v>
      </c>
      <c r="B717">
        <v>2016</v>
      </c>
      <c r="C717" t="s">
        <v>307</v>
      </c>
      <c r="D717" t="s">
        <v>308</v>
      </c>
      <c r="E717" t="s">
        <v>65</v>
      </c>
      <c r="F717">
        <v>3200</v>
      </c>
      <c r="G717" t="s">
        <v>66</v>
      </c>
      <c r="H717">
        <v>1</v>
      </c>
    </row>
    <row r="718" spans="1:8" x14ac:dyDescent="0.3">
      <c r="A718" t="s">
        <v>132</v>
      </c>
      <c r="B718">
        <v>2017</v>
      </c>
      <c r="C718" t="s">
        <v>307</v>
      </c>
      <c r="D718" t="s">
        <v>308</v>
      </c>
      <c r="E718" t="s">
        <v>65</v>
      </c>
      <c r="F718">
        <v>3200</v>
      </c>
      <c r="G718" t="s">
        <v>66</v>
      </c>
      <c r="H718">
        <v>8</v>
      </c>
    </row>
    <row r="719" spans="1:8" x14ac:dyDescent="0.3">
      <c r="A719" t="s">
        <v>132</v>
      </c>
      <c r="B719">
        <v>2018</v>
      </c>
      <c r="C719" t="s">
        <v>307</v>
      </c>
      <c r="D719" t="s">
        <v>308</v>
      </c>
      <c r="E719" t="s">
        <v>65</v>
      </c>
      <c r="F719">
        <v>3200</v>
      </c>
      <c r="G719" t="s">
        <v>66</v>
      </c>
      <c r="H719">
        <v>2</v>
      </c>
    </row>
    <row r="720" spans="1:8" x14ac:dyDescent="0.3">
      <c r="A720" t="s">
        <v>132</v>
      </c>
      <c r="B720">
        <v>2019</v>
      </c>
      <c r="C720" t="s">
        <v>307</v>
      </c>
      <c r="D720" t="s">
        <v>308</v>
      </c>
      <c r="E720" t="s">
        <v>65</v>
      </c>
      <c r="F720">
        <v>3200</v>
      </c>
      <c r="G720" t="s">
        <v>66</v>
      </c>
      <c r="H720">
        <v>2</v>
      </c>
    </row>
    <row r="721" spans="1:8" x14ac:dyDescent="0.3">
      <c r="A721" t="s">
        <v>132</v>
      </c>
      <c r="B721">
        <v>2020</v>
      </c>
      <c r="C721" t="s">
        <v>307</v>
      </c>
      <c r="D721" t="s">
        <v>308</v>
      </c>
      <c r="E721" t="s">
        <v>65</v>
      </c>
      <c r="F721">
        <v>3200</v>
      </c>
      <c r="G721" t="s">
        <v>66</v>
      </c>
      <c r="H721">
        <v>3</v>
      </c>
    </row>
    <row r="722" spans="1:8" x14ac:dyDescent="0.3">
      <c r="A722" t="s">
        <v>132</v>
      </c>
      <c r="B722">
        <v>2021</v>
      </c>
      <c r="C722" t="s">
        <v>307</v>
      </c>
      <c r="D722" t="s">
        <v>308</v>
      </c>
      <c r="E722" t="s">
        <v>65</v>
      </c>
      <c r="F722">
        <v>3200</v>
      </c>
      <c r="G722" t="s">
        <v>66</v>
      </c>
      <c r="H722">
        <v>2</v>
      </c>
    </row>
    <row r="723" spans="1:8" x14ac:dyDescent="0.3">
      <c r="A723" t="s">
        <v>251</v>
      </c>
      <c r="B723">
        <v>2014</v>
      </c>
      <c r="C723" t="s">
        <v>307</v>
      </c>
      <c r="D723" t="s">
        <v>308</v>
      </c>
      <c r="E723" t="s">
        <v>65</v>
      </c>
      <c r="F723">
        <v>5200</v>
      </c>
      <c r="G723" t="s">
        <v>66</v>
      </c>
      <c r="H723">
        <v>9</v>
      </c>
    </row>
    <row r="724" spans="1:8" x14ac:dyDescent="0.3">
      <c r="A724" t="s">
        <v>251</v>
      </c>
      <c r="B724">
        <v>2015</v>
      </c>
      <c r="C724" t="s">
        <v>307</v>
      </c>
      <c r="D724" t="s">
        <v>308</v>
      </c>
      <c r="E724" t="s">
        <v>65</v>
      </c>
      <c r="F724">
        <v>5200</v>
      </c>
      <c r="G724" t="s">
        <v>66</v>
      </c>
      <c r="H724">
        <v>4</v>
      </c>
    </row>
    <row r="725" spans="1:8" x14ac:dyDescent="0.3">
      <c r="A725" t="s">
        <v>251</v>
      </c>
      <c r="B725">
        <v>2016</v>
      </c>
      <c r="C725" t="s">
        <v>307</v>
      </c>
      <c r="D725" t="s">
        <v>308</v>
      </c>
      <c r="E725" t="s">
        <v>65</v>
      </c>
      <c r="F725">
        <v>5200</v>
      </c>
      <c r="G725" t="s">
        <v>66</v>
      </c>
      <c r="H725">
        <v>7</v>
      </c>
    </row>
    <row r="726" spans="1:8" x14ac:dyDescent="0.3">
      <c r="A726" t="s">
        <v>251</v>
      </c>
      <c r="B726">
        <v>2017</v>
      </c>
      <c r="C726" t="s">
        <v>307</v>
      </c>
      <c r="D726" t="s">
        <v>308</v>
      </c>
      <c r="E726" t="s">
        <v>65</v>
      </c>
      <c r="F726">
        <v>5200</v>
      </c>
      <c r="G726" t="s">
        <v>66</v>
      </c>
      <c r="H726">
        <v>2</v>
      </c>
    </row>
    <row r="727" spans="1:8" x14ac:dyDescent="0.3">
      <c r="A727" t="s">
        <v>251</v>
      </c>
      <c r="B727">
        <v>2018</v>
      </c>
      <c r="C727" t="s">
        <v>307</v>
      </c>
      <c r="D727" t="s">
        <v>308</v>
      </c>
      <c r="E727" t="s">
        <v>65</v>
      </c>
      <c r="F727">
        <v>5200</v>
      </c>
      <c r="G727" t="s">
        <v>66</v>
      </c>
      <c r="H727">
        <v>4</v>
      </c>
    </row>
    <row r="728" spans="1:8" x14ac:dyDescent="0.3">
      <c r="A728" t="s">
        <v>251</v>
      </c>
      <c r="B728">
        <v>2019</v>
      </c>
      <c r="C728" t="s">
        <v>307</v>
      </c>
      <c r="D728" t="s">
        <v>308</v>
      </c>
      <c r="E728" t="s">
        <v>65</v>
      </c>
      <c r="F728">
        <v>5200</v>
      </c>
      <c r="G728" t="s">
        <v>66</v>
      </c>
      <c r="H728">
        <v>9</v>
      </c>
    </row>
    <row r="729" spans="1:8" x14ac:dyDescent="0.3">
      <c r="A729" t="s">
        <v>251</v>
      </c>
      <c r="B729">
        <v>2020</v>
      </c>
      <c r="C729" t="s">
        <v>307</v>
      </c>
      <c r="D729" t="s">
        <v>308</v>
      </c>
      <c r="E729" t="s">
        <v>65</v>
      </c>
      <c r="F729">
        <v>5200</v>
      </c>
      <c r="G729" t="s">
        <v>66</v>
      </c>
      <c r="H729">
        <v>7</v>
      </c>
    </row>
    <row r="730" spans="1:8" x14ac:dyDescent="0.3">
      <c r="A730" t="s">
        <v>251</v>
      </c>
      <c r="B730">
        <v>2021</v>
      </c>
      <c r="C730" t="s">
        <v>307</v>
      </c>
      <c r="D730" t="s">
        <v>308</v>
      </c>
      <c r="E730" t="s">
        <v>65</v>
      </c>
      <c r="F730">
        <v>5200</v>
      </c>
      <c r="G730" t="s">
        <v>66</v>
      </c>
      <c r="H730">
        <v>2</v>
      </c>
    </row>
    <row r="731" spans="1:8" x14ac:dyDescent="0.3">
      <c r="A731" t="s">
        <v>133</v>
      </c>
      <c r="B731">
        <v>2014</v>
      </c>
      <c r="C731" t="s">
        <v>307</v>
      </c>
      <c r="D731" t="s">
        <v>308</v>
      </c>
      <c r="E731" t="s">
        <v>65</v>
      </c>
      <c r="F731">
        <v>2150</v>
      </c>
      <c r="G731" t="s">
        <v>66</v>
      </c>
      <c r="H731">
        <v>12</v>
      </c>
    </row>
    <row r="732" spans="1:8" x14ac:dyDescent="0.3">
      <c r="A732" t="s">
        <v>133</v>
      </c>
      <c r="B732">
        <v>2015</v>
      </c>
      <c r="C732" t="s">
        <v>307</v>
      </c>
      <c r="D732" t="s">
        <v>308</v>
      </c>
      <c r="E732" t="s">
        <v>65</v>
      </c>
      <c r="F732">
        <v>2150</v>
      </c>
      <c r="G732" t="s">
        <v>66</v>
      </c>
      <c r="H732">
        <v>21</v>
      </c>
    </row>
    <row r="733" spans="1:8" x14ac:dyDescent="0.3">
      <c r="A733" t="s">
        <v>133</v>
      </c>
      <c r="B733">
        <v>2016</v>
      </c>
      <c r="C733" t="s">
        <v>307</v>
      </c>
      <c r="D733" t="s">
        <v>308</v>
      </c>
      <c r="E733" t="s">
        <v>65</v>
      </c>
      <c r="F733">
        <v>2150</v>
      </c>
      <c r="G733" t="s">
        <v>66</v>
      </c>
      <c r="H733">
        <v>12</v>
      </c>
    </row>
    <row r="734" spans="1:8" x14ac:dyDescent="0.3">
      <c r="A734" t="s">
        <v>133</v>
      </c>
      <c r="B734">
        <v>2017</v>
      </c>
      <c r="C734" t="s">
        <v>307</v>
      </c>
      <c r="D734" t="s">
        <v>308</v>
      </c>
      <c r="E734" t="s">
        <v>65</v>
      </c>
      <c r="F734">
        <v>2150</v>
      </c>
      <c r="G734" t="s">
        <v>66</v>
      </c>
      <c r="H734">
        <v>20</v>
      </c>
    </row>
    <row r="735" spans="1:8" x14ac:dyDescent="0.3">
      <c r="A735" t="s">
        <v>133</v>
      </c>
      <c r="B735">
        <v>2018</v>
      </c>
      <c r="C735" t="s">
        <v>307</v>
      </c>
      <c r="D735" t="s">
        <v>308</v>
      </c>
      <c r="E735" t="s">
        <v>65</v>
      </c>
      <c r="F735">
        <v>2150</v>
      </c>
      <c r="G735" t="s">
        <v>66</v>
      </c>
      <c r="H735">
        <v>15</v>
      </c>
    </row>
    <row r="736" spans="1:8" x14ac:dyDescent="0.3">
      <c r="A736" t="s">
        <v>133</v>
      </c>
      <c r="B736">
        <v>2019</v>
      </c>
      <c r="C736" t="s">
        <v>307</v>
      </c>
      <c r="D736" t="s">
        <v>308</v>
      </c>
      <c r="E736" t="s">
        <v>65</v>
      </c>
      <c r="F736">
        <v>2150</v>
      </c>
      <c r="G736" t="s">
        <v>66</v>
      </c>
      <c r="H736">
        <v>7</v>
      </c>
    </row>
    <row r="737" spans="1:8" x14ac:dyDescent="0.3">
      <c r="A737" t="s">
        <v>133</v>
      </c>
      <c r="B737">
        <v>2020</v>
      </c>
      <c r="C737" t="s">
        <v>307</v>
      </c>
      <c r="D737" t="s">
        <v>308</v>
      </c>
      <c r="E737" t="s">
        <v>65</v>
      </c>
      <c r="F737">
        <v>2150</v>
      </c>
      <c r="G737" t="s">
        <v>66</v>
      </c>
      <c r="H737">
        <v>7</v>
      </c>
    </row>
    <row r="738" spans="1:8" x14ac:dyDescent="0.3">
      <c r="A738" t="s">
        <v>133</v>
      </c>
      <c r="B738">
        <v>2021</v>
      </c>
      <c r="C738" t="s">
        <v>307</v>
      </c>
      <c r="D738" t="s">
        <v>308</v>
      </c>
      <c r="E738" t="s">
        <v>65</v>
      </c>
      <c r="F738">
        <v>2150</v>
      </c>
      <c r="G738" t="s">
        <v>66</v>
      </c>
      <c r="H738">
        <v>8</v>
      </c>
    </row>
    <row r="739" spans="1:8" x14ac:dyDescent="0.3">
      <c r="A739" t="s">
        <v>134</v>
      </c>
      <c r="B739">
        <v>2014</v>
      </c>
      <c r="C739" t="s">
        <v>307</v>
      </c>
      <c r="D739" t="s">
        <v>308</v>
      </c>
      <c r="E739" t="s">
        <v>65</v>
      </c>
      <c r="F739">
        <v>3725</v>
      </c>
      <c r="G739" t="s">
        <v>66</v>
      </c>
      <c r="H739">
        <v>3</v>
      </c>
    </row>
    <row r="740" spans="1:8" x14ac:dyDescent="0.3">
      <c r="A740" t="s">
        <v>134</v>
      </c>
      <c r="B740">
        <v>2015</v>
      </c>
      <c r="C740" t="s">
        <v>307</v>
      </c>
      <c r="D740" t="s">
        <v>308</v>
      </c>
      <c r="E740" t="s">
        <v>65</v>
      </c>
      <c r="F740">
        <v>3725</v>
      </c>
      <c r="G740" t="s">
        <v>66</v>
      </c>
      <c r="H740">
        <v>1</v>
      </c>
    </row>
    <row r="741" spans="1:8" x14ac:dyDescent="0.3">
      <c r="A741" t="s">
        <v>134</v>
      </c>
      <c r="B741">
        <v>2016</v>
      </c>
      <c r="C741" t="s">
        <v>307</v>
      </c>
      <c r="D741" t="s">
        <v>308</v>
      </c>
      <c r="E741" t="s">
        <v>65</v>
      </c>
      <c r="F741">
        <v>3725</v>
      </c>
      <c r="G741" t="s">
        <v>66</v>
      </c>
      <c r="H741">
        <v>1</v>
      </c>
    </row>
    <row r="742" spans="1:8" x14ac:dyDescent="0.3">
      <c r="A742" t="s">
        <v>134</v>
      </c>
      <c r="B742">
        <v>2017</v>
      </c>
      <c r="C742" t="s">
        <v>307</v>
      </c>
      <c r="D742" t="s">
        <v>308</v>
      </c>
      <c r="E742" t="s">
        <v>65</v>
      </c>
      <c r="F742">
        <v>3725</v>
      </c>
      <c r="G742" t="s">
        <v>66</v>
      </c>
      <c r="H742">
        <v>1</v>
      </c>
    </row>
    <row r="743" spans="1:8" x14ac:dyDescent="0.3">
      <c r="A743" t="s">
        <v>134</v>
      </c>
      <c r="B743">
        <v>2018</v>
      </c>
      <c r="C743" t="s">
        <v>307</v>
      </c>
      <c r="D743" t="s">
        <v>308</v>
      </c>
      <c r="E743" t="s">
        <v>65</v>
      </c>
      <c r="F743">
        <v>3725</v>
      </c>
      <c r="G743" t="s">
        <v>66</v>
      </c>
      <c r="H743">
        <v>9</v>
      </c>
    </row>
    <row r="744" spans="1:8" x14ac:dyDescent="0.3">
      <c r="A744" t="s">
        <v>134</v>
      </c>
      <c r="B744">
        <v>2019</v>
      </c>
      <c r="C744" t="s">
        <v>307</v>
      </c>
      <c r="D744" t="s">
        <v>308</v>
      </c>
      <c r="E744" t="s">
        <v>65</v>
      </c>
      <c r="F744">
        <v>3725</v>
      </c>
      <c r="G744" t="s">
        <v>66</v>
      </c>
      <c r="H744">
        <v>36</v>
      </c>
    </row>
    <row r="745" spans="1:8" x14ac:dyDescent="0.3">
      <c r="A745" t="s">
        <v>134</v>
      </c>
      <c r="B745">
        <v>2020</v>
      </c>
      <c r="C745" t="s">
        <v>307</v>
      </c>
      <c r="D745" t="s">
        <v>308</v>
      </c>
      <c r="E745" t="s">
        <v>65</v>
      </c>
      <c r="F745">
        <v>3725</v>
      </c>
      <c r="G745" t="s">
        <v>66</v>
      </c>
      <c r="H745">
        <v>7</v>
      </c>
    </row>
    <row r="746" spans="1:8" x14ac:dyDescent="0.3">
      <c r="A746" t="s">
        <v>134</v>
      </c>
      <c r="B746">
        <v>2021</v>
      </c>
      <c r="C746" t="s">
        <v>307</v>
      </c>
      <c r="D746" t="s">
        <v>308</v>
      </c>
      <c r="E746" t="s">
        <v>65</v>
      </c>
      <c r="F746">
        <v>3725</v>
      </c>
      <c r="G746" t="s">
        <v>66</v>
      </c>
      <c r="H746">
        <v>2</v>
      </c>
    </row>
    <row r="747" spans="1:8" x14ac:dyDescent="0.3">
      <c r="A747" t="s">
        <v>252</v>
      </c>
      <c r="B747">
        <v>2014</v>
      </c>
      <c r="C747" t="s">
        <v>307</v>
      </c>
      <c r="D747" t="s">
        <v>308</v>
      </c>
      <c r="E747" t="s">
        <v>65</v>
      </c>
      <c r="F747">
        <v>6500</v>
      </c>
      <c r="G747" t="s">
        <v>66</v>
      </c>
      <c r="H747">
        <v>19</v>
      </c>
    </row>
    <row r="748" spans="1:8" x14ac:dyDescent="0.3">
      <c r="A748" t="s">
        <v>252</v>
      </c>
      <c r="B748">
        <v>2015</v>
      </c>
      <c r="C748" t="s">
        <v>307</v>
      </c>
      <c r="D748" t="s">
        <v>308</v>
      </c>
      <c r="E748" t="s">
        <v>65</v>
      </c>
      <c r="F748">
        <v>6500</v>
      </c>
      <c r="G748" t="s">
        <v>66</v>
      </c>
      <c r="H748">
        <v>11</v>
      </c>
    </row>
    <row r="749" spans="1:8" x14ac:dyDescent="0.3">
      <c r="A749" t="s">
        <v>252</v>
      </c>
      <c r="B749">
        <v>2016</v>
      </c>
      <c r="C749" t="s">
        <v>307</v>
      </c>
      <c r="D749" t="s">
        <v>308</v>
      </c>
      <c r="E749" t="s">
        <v>65</v>
      </c>
      <c r="F749">
        <v>6500</v>
      </c>
      <c r="G749" t="s">
        <v>66</v>
      </c>
      <c r="H749">
        <v>4</v>
      </c>
    </row>
    <row r="750" spans="1:8" x14ac:dyDescent="0.3">
      <c r="A750" t="s">
        <v>252</v>
      </c>
      <c r="B750">
        <v>2017</v>
      </c>
      <c r="C750" t="s">
        <v>307</v>
      </c>
      <c r="D750" t="s">
        <v>308</v>
      </c>
      <c r="E750" t="s">
        <v>65</v>
      </c>
      <c r="F750">
        <v>6500</v>
      </c>
      <c r="G750" t="s">
        <v>66</v>
      </c>
      <c r="H750">
        <v>7</v>
      </c>
    </row>
    <row r="751" spans="1:8" x14ac:dyDescent="0.3">
      <c r="A751" t="s">
        <v>252</v>
      </c>
      <c r="B751">
        <v>2018</v>
      </c>
      <c r="C751" t="s">
        <v>307</v>
      </c>
      <c r="D751" t="s">
        <v>308</v>
      </c>
      <c r="E751" t="s">
        <v>65</v>
      </c>
      <c r="F751">
        <v>6500</v>
      </c>
      <c r="G751" t="s">
        <v>66</v>
      </c>
      <c r="H751">
        <v>8</v>
      </c>
    </row>
    <row r="752" spans="1:8" x14ac:dyDescent="0.3">
      <c r="A752" t="s">
        <v>252</v>
      </c>
      <c r="B752">
        <v>2019</v>
      </c>
      <c r="C752" t="s">
        <v>307</v>
      </c>
      <c r="D752" t="s">
        <v>308</v>
      </c>
      <c r="E752" t="s">
        <v>65</v>
      </c>
      <c r="F752">
        <v>6500</v>
      </c>
      <c r="G752" t="s">
        <v>66</v>
      </c>
      <c r="H752">
        <v>6</v>
      </c>
    </row>
    <row r="753" spans="1:8" x14ac:dyDescent="0.3">
      <c r="A753" t="s">
        <v>252</v>
      </c>
      <c r="B753">
        <v>2020</v>
      </c>
      <c r="C753" t="s">
        <v>307</v>
      </c>
      <c r="D753" t="s">
        <v>308</v>
      </c>
      <c r="E753" t="s">
        <v>65</v>
      </c>
      <c r="F753">
        <v>6500</v>
      </c>
      <c r="G753" t="s">
        <v>66</v>
      </c>
      <c r="H753">
        <v>2</v>
      </c>
    </row>
    <row r="754" spans="1:8" x14ac:dyDescent="0.3">
      <c r="A754" t="s">
        <v>252</v>
      </c>
      <c r="B754">
        <v>2021</v>
      </c>
      <c r="C754" t="s">
        <v>307</v>
      </c>
      <c r="D754" t="s">
        <v>308</v>
      </c>
      <c r="E754" t="s">
        <v>65</v>
      </c>
      <c r="F754">
        <v>6500</v>
      </c>
      <c r="G754" t="s">
        <v>66</v>
      </c>
      <c r="H754">
        <v>6</v>
      </c>
    </row>
    <row r="755" spans="1:8" x14ac:dyDescent="0.3">
      <c r="A755" t="s">
        <v>135</v>
      </c>
      <c r="B755">
        <v>2014</v>
      </c>
      <c r="C755" t="s">
        <v>307</v>
      </c>
      <c r="D755" t="s">
        <v>308</v>
      </c>
      <c r="E755" t="s">
        <v>65</v>
      </c>
      <c r="F755">
        <v>3400</v>
      </c>
      <c r="G755" t="s">
        <v>66</v>
      </c>
      <c r="H755">
        <v>28</v>
      </c>
    </row>
    <row r="756" spans="1:8" x14ac:dyDescent="0.3">
      <c r="A756" t="s">
        <v>135</v>
      </c>
      <c r="B756">
        <v>2015</v>
      </c>
      <c r="C756" t="s">
        <v>307</v>
      </c>
      <c r="D756" t="s">
        <v>308</v>
      </c>
      <c r="E756" t="s">
        <v>65</v>
      </c>
      <c r="F756">
        <v>3400</v>
      </c>
      <c r="G756" t="s">
        <v>66</v>
      </c>
      <c r="H756">
        <v>33</v>
      </c>
    </row>
    <row r="757" spans="1:8" x14ac:dyDescent="0.3">
      <c r="A757" t="s">
        <v>135</v>
      </c>
      <c r="B757">
        <v>2016</v>
      </c>
      <c r="C757" t="s">
        <v>307</v>
      </c>
      <c r="D757" t="s">
        <v>308</v>
      </c>
      <c r="E757" t="s">
        <v>65</v>
      </c>
      <c r="F757">
        <v>3400</v>
      </c>
      <c r="G757" t="s">
        <v>66</v>
      </c>
      <c r="H757">
        <v>23</v>
      </c>
    </row>
    <row r="758" spans="1:8" x14ac:dyDescent="0.3">
      <c r="A758" t="s">
        <v>135</v>
      </c>
      <c r="B758">
        <v>2017</v>
      </c>
      <c r="C758" t="s">
        <v>307</v>
      </c>
      <c r="D758" t="s">
        <v>308</v>
      </c>
      <c r="E758" t="s">
        <v>65</v>
      </c>
      <c r="F758">
        <v>3400</v>
      </c>
      <c r="G758" t="s">
        <v>66</v>
      </c>
      <c r="H758">
        <v>46</v>
      </c>
    </row>
    <row r="759" spans="1:8" x14ac:dyDescent="0.3">
      <c r="A759" t="s">
        <v>135</v>
      </c>
      <c r="B759">
        <v>2018</v>
      </c>
      <c r="C759" t="s">
        <v>307</v>
      </c>
      <c r="D759" t="s">
        <v>308</v>
      </c>
      <c r="E759" t="s">
        <v>65</v>
      </c>
      <c r="F759">
        <v>3400</v>
      </c>
      <c r="G759" t="s">
        <v>66</v>
      </c>
      <c r="H759">
        <v>34</v>
      </c>
    </row>
    <row r="760" spans="1:8" x14ac:dyDescent="0.3">
      <c r="A760" t="s">
        <v>135</v>
      </c>
      <c r="B760">
        <v>2019</v>
      </c>
      <c r="C760" t="s">
        <v>307</v>
      </c>
      <c r="D760" t="s">
        <v>308</v>
      </c>
      <c r="E760" t="s">
        <v>65</v>
      </c>
      <c r="F760">
        <v>3400</v>
      </c>
      <c r="G760" t="s">
        <v>66</v>
      </c>
      <c r="H760">
        <v>30</v>
      </c>
    </row>
    <row r="761" spans="1:8" x14ac:dyDescent="0.3">
      <c r="A761" t="s">
        <v>135</v>
      </c>
      <c r="B761">
        <v>2020</v>
      </c>
      <c r="C761" t="s">
        <v>307</v>
      </c>
      <c r="D761" t="s">
        <v>308</v>
      </c>
      <c r="E761" t="s">
        <v>65</v>
      </c>
      <c r="F761">
        <v>3400</v>
      </c>
      <c r="G761" t="s">
        <v>66</v>
      </c>
      <c r="H761">
        <v>34</v>
      </c>
    </row>
    <row r="762" spans="1:8" x14ac:dyDescent="0.3">
      <c r="A762" t="s">
        <v>135</v>
      </c>
      <c r="B762">
        <v>2021</v>
      </c>
      <c r="C762" t="s">
        <v>307</v>
      </c>
      <c r="D762" t="s">
        <v>308</v>
      </c>
      <c r="E762" t="s">
        <v>65</v>
      </c>
      <c r="F762">
        <v>3400</v>
      </c>
      <c r="G762" t="s">
        <v>66</v>
      </c>
      <c r="H762">
        <v>28</v>
      </c>
    </row>
    <row r="763" spans="1:8" x14ac:dyDescent="0.3">
      <c r="A763" t="s">
        <v>136</v>
      </c>
      <c r="B763">
        <v>2014</v>
      </c>
      <c r="C763" t="s">
        <v>307</v>
      </c>
      <c r="D763" t="s">
        <v>308</v>
      </c>
      <c r="E763" t="s">
        <v>65</v>
      </c>
      <c r="F763">
        <v>4629</v>
      </c>
      <c r="G763" t="s">
        <v>66</v>
      </c>
      <c r="H763">
        <v>4</v>
      </c>
    </row>
    <row r="764" spans="1:8" x14ac:dyDescent="0.3">
      <c r="A764" t="s">
        <v>136</v>
      </c>
      <c r="B764">
        <v>2015</v>
      </c>
      <c r="C764" t="s">
        <v>307</v>
      </c>
      <c r="D764" t="s">
        <v>308</v>
      </c>
      <c r="E764" t="s">
        <v>65</v>
      </c>
      <c r="F764">
        <v>4629</v>
      </c>
      <c r="G764" t="s">
        <v>66</v>
      </c>
      <c r="H764">
        <v>16</v>
      </c>
    </row>
    <row r="765" spans="1:8" x14ac:dyDescent="0.3">
      <c r="A765" t="s">
        <v>136</v>
      </c>
      <c r="B765">
        <v>2016</v>
      </c>
      <c r="C765" t="s">
        <v>307</v>
      </c>
      <c r="D765" t="s">
        <v>308</v>
      </c>
      <c r="E765" t="s">
        <v>65</v>
      </c>
      <c r="F765">
        <v>4629</v>
      </c>
      <c r="G765" t="s">
        <v>66</v>
      </c>
      <c r="H765">
        <v>11</v>
      </c>
    </row>
    <row r="766" spans="1:8" x14ac:dyDescent="0.3">
      <c r="A766" t="s">
        <v>136</v>
      </c>
      <c r="B766">
        <v>2017</v>
      </c>
      <c r="C766" t="s">
        <v>307</v>
      </c>
      <c r="D766" t="s">
        <v>308</v>
      </c>
      <c r="E766" t="s">
        <v>65</v>
      </c>
      <c r="F766">
        <v>4629</v>
      </c>
      <c r="G766" t="s">
        <v>66</v>
      </c>
      <c r="H766">
        <v>5</v>
      </c>
    </row>
    <row r="767" spans="1:8" x14ac:dyDescent="0.3">
      <c r="A767" t="s">
        <v>136</v>
      </c>
      <c r="B767">
        <v>2018</v>
      </c>
      <c r="C767" t="s">
        <v>307</v>
      </c>
      <c r="D767" t="s">
        <v>308</v>
      </c>
      <c r="E767" t="s">
        <v>65</v>
      </c>
      <c r="F767">
        <v>4629</v>
      </c>
      <c r="G767" t="s">
        <v>66</v>
      </c>
      <c r="H767">
        <v>6</v>
      </c>
    </row>
    <row r="768" spans="1:8" x14ac:dyDescent="0.3">
      <c r="A768" t="s">
        <v>136</v>
      </c>
      <c r="B768">
        <v>2019</v>
      </c>
      <c r="C768" t="s">
        <v>307</v>
      </c>
      <c r="D768" t="s">
        <v>308</v>
      </c>
      <c r="E768" t="s">
        <v>65</v>
      </c>
      <c r="F768">
        <v>4629</v>
      </c>
      <c r="G768" t="s">
        <v>66</v>
      </c>
      <c r="H768">
        <v>2</v>
      </c>
    </row>
    <row r="769" spans="1:8" x14ac:dyDescent="0.3">
      <c r="A769" t="s">
        <v>136</v>
      </c>
      <c r="B769">
        <v>2020</v>
      </c>
      <c r="C769" t="s">
        <v>307</v>
      </c>
      <c r="D769" t="s">
        <v>308</v>
      </c>
      <c r="E769" t="s">
        <v>65</v>
      </c>
      <c r="F769">
        <v>4629</v>
      </c>
      <c r="G769" t="s">
        <v>66</v>
      </c>
      <c r="H769">
        <v>55</v>
      </c>
    </row>
    <row r="770" spans="1:8" x14ac:dyDescent="0.3">
      <c r="A770" t="s">
        <v>136</v>
      </c>
      <c r="B770">
        <v>2021</v>
      </c>
      <c r="C770" t="s">
        <v>307</v>
      </c>
      <c r="D770" t="s">
        <v>308</v>
      </c>
      <c r="E770" t="s">
        <v>65</v>
      </c>
      <c r="F770">
        <v>4629</v>
      </c>
      <c r="G770" t="s">
        <v>66</v>
      </c>
      <c r="H770">
        <v>63</v>
      </c>
    </row>
    <row r="771" spans="1:8" x14ac:dyDescent="0.3">
      <c r="A771" t="s">
        <v>253</v>
      </c>
      <c r="B771">
        <v>2014</v>
      </c>
      <c r="C771" t="s">
        <v>307</v>
      </c>
      <c r="D771" t="s">
        <v>308</v>
      </c>
      <c r="E771" t="s">
        <v>65</v>
      </c>
      <c r="F771">
        <v>3798</v>
      </c>
      <c r="G771" t="s">
        <v>66</v>
      </c>
      <c r="H771">
        <v>1</v>
      </c>
    </row>
    <row r="772" spans="1:8" x14ac:dyDescent="0.3">
      <c r="A772" t="s">
        <v>253</v>
      </c>
      <c r="B772">
        <v>2019</v>
      </c>
      <c r="C772" t="s">
        <v>307</v>
      </c>
      <c r="D772" t="s">
        <v>308</v>
      </c>
      <c r="E772" t="s">
        <v>65</v>
      </c>
      <c r="F772">
        <v>3798</v>
      </c>
      <c r="G772" t="s">
        <v>66</v>
      </c>
      <c r="H772">
        <v>1</v>
      </c>
    </row>
    <row r="773" spans="1:8" x14ac:dyDescent="0.3">
      <c r="A773" t="s">
        <v>137</v>
      </c>
      <c r="B773">
        <v>2014</v>
      </c>
      <c r="C773" t="s">
        <v>307</v>
      </c>
      <c r="D773" t="s">
        <v>308</v>
      </c>
      <c r="E773" t="s">
        <v>65</v>
      </c>
      <c r="F773">
        <v>4299</v>
      </c>
      <c r="G773" t="s">
        <v>66</v>
      </c>
      <c r="H773">
        <v>14</v>
      </c>
    </row>
    <row r="774" spans="1:8" x14ac:dyDescent="0.3">
      <c r="A774" t="s">
        <v>137</v>
      </c>
      <c r="B774">
        <v>2015</v>
      </c>
      <c r="C774" t="s">
        <v>307</v>
      </c>
      <c r="D774" t="s">
        <v>308</v>
      </c>
      <c r="E774" t="s">
        <v>65</v>
      </c>
      <c r="F774">
        <v>4299</v>
      </c>
      <c r="G774" t="s">
        <v>66</v>
      </c>
      <c r="H774">
        <v>8</v>
      </c>
    </row>
    <row r="775" spans="1:8" x14ac:dyDescent="0.3">
      <c r="A775" t="s">
        <v>137</v>
      </c>
      <c r="B775">
        <v>2016</v>
      </c>
      <c r="C775" t="s">
        <v>307</v>
      </c>
      <c r="D775" t="s">
        <v>308</v>
      </c>
      <c r="E775" t="s">
        <v>65</v>
      </c>
      <c r="F775">
        <v>4299</v>
      </c>
      <c r="G775" t="s">
        <v>66</v>
      </c>
      <c r="H775">
        <v>2</v>
      </c>
    </row>
    <row r="776" spans="1:8" x14ac:dyDescent="0.3">
      <c r="A776" t="s">
        <v>137</v>
      </c>
      <c r="B776">
        <v>2017</v>
      </c>
      <c r="C776" t="s">
        <v>307</v>
      </c>
      <c r="D776" t="s">
        <v>308</v>
      </c>
      <c r="E776" t="s">
        <v>65</v>
      </c>
      <c r="F776">
        <v>4299</v>
      </c>
      <c r="G776" t="s">
        <v>66</v>
      </c>
      <c r="H776">
        <v>8</v>
      </c>
    </row>
    <row r="777" spans="1:8" x14ac:dyDescent="0.3">
      <c r="A777" t="s">
        <v>137</v>
      </c>
      <c r="B777">
        <v>2018</v>
      </c>
      <c r="C777" t="s">
        <v>307</v>
      </c>
      <c r="D777" t="s">
        <v>308</v>
      </c>
      <c r="E777" t="s">
        <v>65</v>
      </c>
      <c r="F777">
        <v>4299</v>
      </c>
      <c r="G777" t="s">
        <v>66</v>
      </c>
      <c r="H777">
        <v>9</v>
      </c>
    </row>
    <row r="778" spans="1:8" x14ac:dyDescent="0.3">
      <c r="A778" t="s">
        <v>137</v>
      </c>
      <c r="B778">
        <v>2019</v>
      </c>
      <c r="C778" t="s">
        <v>307</v>
      </c>
      <c r="D778" t="s">
        <v>308</v>
      </c>
      <c r="E778" t="s">
        <v>65</v>
      </c>
      <c r="F778">
        <v>4299</v>
      </c>
      <c r="G778" t="s">
        <v>66</v>
      </c>
      <c r="H778">
        <v>11</v>
      </c>
    </row>
    <row r="779" spans="1:8" x14ac:dyDescent="0.3">
      <c r="A779" t="s">
        <v>137</v>
      </c>
      <c r="B779">
        <v>2020</v>
      </c>
      <c r="C779" t="s">
        <v>307</v>
      </c>
      <c r="D779" t="s">
        <v>308</v>
      </c>
      <c r="E779" t="s">
        <v>65</v>
      </c>
      <c r="F779">
        <v>4299</v>
      </c>
      <c r="G779" t="s">
        <v>66</v>
      </c>
      <c r="H779">
        <v>4</v>
      </c>
    </row>
    <row r="780" spans="1:8" x14ac:dyDescent="0.3">
      <c r="A780" t="s">
        <v>137</v>
      </c>
      <c r="B780">
        <v>2021</v>
      </c>
      <c r="C780" t="s">
        <v>307</v>
      </c>
      <c r="D780" t="s">
        <v>308</v>
      </c>
      <c r="E780" t="s">
        <v>65</v>
      </c>
      <c r="F780">
        <v>4299</v>
      </c>
      <c r="G780" t="s">
        <v>66</v>
      </c>
      <c r="H780">
        <v>10</v>
      </c>
    </row>
    <row r="781" spans="1:8" x14ac:dyDescent="0.3">
      <c r="A781" t="s">
        <v>254</v>
      </c>
      <c r="B781">
        <v>2017</v>
      </c>
      <c r="C781" t="s">
        <v>307</v>
      </c>
      <c r="D781" t="s">
        <v>308</v>
      </c>
      <c r="E781" t="s">
        <v>65</v>
      </c>
      <c r="F781">
        <v>8699</v>
      </c>
      <c r="G781" t="s">
        <v>66</v>
      </c>
      <c r="H781">
        <v>4</v>
      </c>
    </row>
    <row r="782" spans="1:8" x14ac:dyDescent="0.3">
      <c r="A782" t="s">
        <v>254</v>
      </c>
      <c r="B782">
        <v>2018</v>
      </c>
      <c r="C782" t="s">
        <v>307</v>
      </c>
      <c r="D782" t="s">
        <v>308</v>
      </c>
      <c r="E782" t="s">
        <v>65</v>
      </c>
      <c r="F782">
        <v>8699</v>
      </c>
      <c r="G782" t="s">
        <v>66</v>
      </c>
      <c r="H782">
        <v>6</v>
      </c>
    </row>
    <row r="783" spans="1:8" x14ac:dyDescent="0.3">
      <c r="A783" t="s">
        <v>254</v>
      </c>
      <c r="B783">
        <v>2019</v>
      </c>
      <c r="C783" t="s">
        <v>307</v>
      </c>
      <c r="D783" t="s">
        <v>308</v>
      </c>
      <c r="E783" t="s">
        <v>65</v>
      </c>
      <c r="F783">
        <v>8699</v>
      </c>
      <c r="G783" t="s">
        <v>66</v>
      </c>
      <c r="H783">
        <v>2</v>
      </c>
    </row>
    <row r="784" spans="1:8" x14ac:dyDescent="0.3">
      <c r="A784" t="s">
        <v>254</v>
      </c>
      <c r="B784">
        <v>2020</v>
      </c>
      <c r="C784" t="s">
        <v>307</v>
      </c>
      <c r="D784" t="s">
        <v>308</v>
      </c>
      <c r="E784" t="s">
        <v>65</v>
      </c>
      <c r="F784">
        <v>8699</v>
      </c>
      <c r="G784" t="s">
        <v>66</v>
      </c>
      <c r="H784">
        <v>1</v>
      </c>
    </row>
    <row r="785" spans="1:8" x14ac:dyDescent="0.3">
      <c r="A785" t="s">
        <v>138</v>
      </c>
      <c r="B785">
        <v>2014</v>
      </c>
      <c r="C785" t="s">
        <v>307</v>
      </c>
      <c r="D785" t="s">
        <v>308</v>
      </c>
      <c r="E785" t="s">
        <v>65</v>
      </c>
      <c r="F785">
        <v>9479</v>
      </c>
      <c r="G785" t="s">
        <v>66</v>
      </c>
      <c r="H785">
        <v>1</v>
      </c>
    </row>
    <row r="786" spans="1:8" x14ac:dyDescent="0.3">
      <c r="A786" t="s">
        <v>138</v>
      </c>
      <c r="B786">
        <v>2015</v>
      </c>
      <c r="C786" t="s">
        <v>307</v>
      </c>
      <c r="D786" t="s">
        <v>308</v>
      </c>
      <c r="E786" t="s">
        <v>65</v>
      </c>
      <c r="F786">
        <v>9479</v>
      </c>
      <c r="G786" t="s">
        <v>66</v>
      </c>
      <c r="H786">
        <v>5</v>
      </c>
    </row>
    <row r="787" spans="1:8" x14ac:dyDescent="0.3">
      <c r="A787" t="s">
        <v>138</v>
      </c>
      <c r="B787">
        <v>2016</v>
      </c>
      <c r="C787" t="s">
        <v>307</v>
      </c>
      <c r="D787" t="s">
        <v>308</v>
      </c>
      <c r="E787" t="s">
        <v>65</v>
      </c>
      <c r="F787">
        <v>9479</v>
      </c>
      <c r="G787" t="s">
        <v>66</v>
      </c>
      <c r="H787">
        <v>2</v>
      </c>
    </row>
    <row r="788" spans="1:8" x14ac:dyDescent="0.3">
      <c r="A788" t="s">
        <v>138</v>
      </c>
      <c r="B788">
        <v>2018</v>
      </c>
      <c r="C788" t="s">
        <v>307</v>
      </c>
      <c r="D788" t="s">
        <v>308</v>
      </c>
      <c r="E788" t="s">
        <v>65</v>
      </c>
      <c r="F788">
        <v>9479</v>
      </c>
      <c r="G788" t="s">
        <v>66</v>
      </c>
      <c r="H788">
        <v>2</v>
      </c>
    </row>
    <row r="789" spans="1:8" x14ac:dyDescent="0.3">
      <c r="A789" t="s">
        <v>138</v>
      </c>
      <c r="B789">
        <v>2019</v>
      </c>
      <c r="C789" t="s">
        <v>307</v>
      </c>
      <c r="D789" t="s">
        <v>308</v>
      </c>
      <c r="E789" t="s">
        <v>65</v>
      </c>
      <c r="F789">
        <v>9479</v>
      </c>
      <c r="G789" t="s">
        <v>66</v>
      </c>
      <c r="H789">
        <v>1</v>
      </c>
    </row>
    <row r="790" spans="1:8" x14ac:dyDescent="0.3">
      <c r="A790" t="s">
        <v>138</v>
      </c>
      <c r="B790">
        <v>2021</v>
      </c>
      <c r="C790" t="s">
        <v>307</v>
      </c>
      <c r="D790" t="s">
        <v>308</v>
      </c>
      <c r="E790" t="s">
        <v>65</v>
      </c>
      <c r="F790">
        <v>9479</v>
      </c>
      <c r="G790" t="s">
        <v>66</v>
      </c>
      <c r="H790">
        <v>3</v>
      </c>
    </row>
    <row r="791" spans="1:8" x14ac:dyDescent="0.3">
      <c r="A791" t="s">
        <v>139</v>
      </c>
      <c r="B791">
        <v>2014</v>
      </c>
      <c r="C791" t="s">
        <v>307</v>
      </c>
      <c r="D791" t="s">
        <v>308</v>
      </c>
      <c r="E791" t="s">
        <v>65</v>
      </c>
      <c r="F791">
        <v>9039</v>
      </c>
      <c r="G791" t="s">
        <v>66</v>
      </c>
      <c r="H791">
        <v>38</v>
      </c>
    </row>
    <row r="792" spans="1:8" x14ac:dyDescent="0.3">
      <c r="A792" t="s">
        <v>139</v>
      </c>
      <c r="B792">
        <v>2015</v>
      </c>
      <c r="C792" t="s">
        <v>307</v>
      </c>
      <c r="D792" t="s">
        <v>308</v>
      </c>
      <c r="E792" t="s">
        <v>65</v>
      </c>
      <c r="F792">
        <v>9039</v>
      </c>
      <c r="G792" t="s">
        <v>66</v>
      </c>
      <c r="H792">
        <v>71</v>
      </c>
    </row>
    <row r="793" spans="1:8" x14ac:dyDescent="0.3">
      <c r="A793" t="s">
        <v>139</v>
      </c>
      <c r="B793">
        <v>2016</v>
      </c>
      <c r="C793" t="s">
        <v>307</v>
      </c>
      <c r="D793" t="s">
        <v>308</v>
      </c>
      <c r="E793" t="s">
        <v>65</v>
      </c>
      <c r="F793">
        <v>9039</v>
      </c>
      <c r="G793" t="s">
        <v>66</v>
      </c>
      <c r="H793">
        <v>64</v>
      </c>
    </row>
    <row r="794" spans="1:8" x14ac:dyDescent="0.3">
      <c r="A794" t="s">
        <v>139</v>
      </c>
      <c r="B794">
        <v>2017</v>
      </c>
      <c r="C794" t="s">
        <v>307</v>
      </c>
      <c r="D794" t="s">
        <v>308</v>
      </c>
      <c r="E794" t="s">
        <v>65</v>
      </c>
      <c r="F794">
        <v>9039</v>
      </c>
      <c r="G794" t="s">
        <v>66</v>
      </c>
      <c r="H794">
        <v>52</v>
      </c>
    </row>
    <row r="795" spans="1:8" x14ac:dyDescent="0.3">
      <c r="A795" t="s">
        <v>139</v>
      </c>
      <c r="B795">
        <v>2018</v>
      </c>
      <c r="C795" t="s">
        <v>307</v>
      </c>
      <c r="D795" t="s">
        <v>308</v>
      </c>
      <c r="E795" t="s">
        <v>65</v>
      </c>
      <c r="F795">
        <v>9039</v>
      </c>
      <c r="G795" t="s">
        <v>66</v>
      </c>
      <c r="H795">
        <v>93</v>
      </c>
    </row>
    <row r="796" spans="1:8" x14ac:dyDescent="0.3">
      <c r="A796" t="s">
        <v>139</v>
      </c>
      <c r="B796">
        <v>2019</v>
      </c>
      <c r="C796" t="s">
        <v>307</v>
      </c>
      <c r="D796" t="s">
        <v>308</v>
      </c>
      <c r="E796" t="s">
        <v>65</v>
      </c>
      <c r="F796">
        <v>9039</v>
      </c>
      <c r="G796" t="s">
        <v>66</v>
      </c>
      <c r="H796">
        <v>75</v>
      </c>
    </row>
    <row r="797" spans="1:8" x14ac:dyDescent="0.3">
      <c r="A797" t="s">
        <v>139</v>
      </c>
      <c r="B797">
        <v>2020</v>
      </c>
      <c r="C797" t="s">
        <v>307</v>
      </c>
      <c r="D797" t="s">
        <v>308</v>
      </c>
      <c r="E797" t="s">
        <v>65</v>
      </c>
      <c r="F797">
        <v>9039</v>
      </c>
      <c r="G797" t="s">
        <v>66</v>
      </c>
      <c r="H797">
        <v>46</v>
      </c>
    </row>
    <row r="798" spans="1:8" x14ac:dyDescent="0.3">
      <c r="A798" t="s">
        <v>139</v>
      </c>
      <c r="B798">
        <v>2021</v>
      </c>
      <c r="C798" t="s">
        <v>307</v>
      </c>
      <c r="D798" t="s">
        <v>308</v>
      </c>
      <c r="E798" t="s">
        <v>65</v>
      </c>
      <c r="F798">
        <v>9039</v>
      </c>
      <c r="G798" t="s">
        <v>66</v>
      </c>
      <c r="H798">
        <v>70</v>
      </c>
    </row>
    <row r="799" spans="1:8" x14ac:dyDescent="0.3">
      <c r="A799" t="s">
        <v>255</v>
      </c>
      <c r="B799">
        <v>2018</v>
      </c>
      <c r="C799" t="s">
        <v>307</v>
      </c>
      <c r="D799" t="s">
        <v>308</v>
      </c>
      <c r="E799" t="s">
        <v>65</v>
      </c>
      <c r="F799">
        <v>18300</v>
      </c>
      <c r="G799" t="s">
        <v>72</v>
      </c>
      <c r="H799">
        <v>3</v>
      </c>
    </row>
    <row r="800" spans="1:8" x14ac:dyDescent="0.3">
      <c r="A800" t="s">
        <v>255</v>
      </c>
      <c r="B800">
        <v>2019</v>
      </c>
      <c r="C800" t="s">
        <v>307</v>
      </c>
      <c r="D800" t="s">
        <v>308</v>
      </c>
      <c r="E800" t="s">
        <v>65</v>
      </c>
      <c r="F800">
        <v>18300</v>
      </c>
      <c r="G800" t="s">
        <v>72</v>
      </c>
      <c r="H800">
        <v>23</v>
      </c>
    </row>
    <row r="801" spans="1:8" x14ac:dyDescent="0.3">
      <c r="A801" t="s">
        <v>255</v>
      </c>
      <c r="B801">
        <v>2020</v>
      </c>
      <c r="C801" t="s">
        <v>307</v>
      </c>
      <c r="D801" t="s">
        <v>308</v>
      </c>
      <c r="E801" t="s">
        <v>65</v>
      </c>
      <c r="F801">
        <v>18300</v>
      </c>
      <c r="G801" t="s">
        <v>72</v>
      </c>
      <c r="H801">
        <v>42</v>
      </c>
    </row>
    <row r="802" spans="1:8" x14ac:dyDescent="0.3">
      <c r="A802" t="s">
        <v>255</v>
      </c>
      <c r="B802">
        <v>2021</v>
      </c>
      <c r="C802" t="s">
        <v>307</v>
      </c>
      <c r="D802" t="s">
        <v>308</v>
      </c>
      <c r="E802" t="s">
        <v>65</v>
      </c>
      <c r="F802">
        <v>18300</v>
      </c>
      <c r="G802" t="s">
        <v>72</v>
      </c>
      <c r="H802">
        <v>50</v>
      </c>
    </row>
    <row r="803" spans="1:8" x14ac:dyDescent="0.3">
      <c r="A803" t="s">
        <v>256</v>
      </c>
      <c r="B803">
        <v>2014</v>
      </c>
      <c r="C803" t="s">
        <v>307</v>
      </c>
      <c r="D803" t="s">
        <v>308</v>
      </c>
      <c r="E803" t="s">
        <v>65</v>
      </c>
      <c r="F803">
        <v>8800</v>
      </c>
      <c r="G803" t="s">
        <v>66</v>
      </c>
      <c r="H803">
        <v>6</v>
      </c>
    </row>
    <row r="804" spans="1:8" x14ac:dyDescent="0.3">
      <c r="A804" t="s">
        <v>256</v>
      </c>
      <c r="B804">
        <v>2015</v>
      </c>
      <c r="C804" t="s">
        <v>307</v>
      </c>
      <c r="D804" t="s">
        <v>308</v>
      </c>
      <c r="E804" t="s">
        <v>65</v>
      </c>
      <c r="F804">
        <v>8800</v>
      </c>
      <c r="G804" t="s">
        <v>66</v>
      </c>
      <c r="H804">
        <v>22</v>
      </c>
    </row>
    <row r="805" spans="1:8" x14ac:dyDescent="0.3">
      <c r="A805" t="s">
        <v>256</v>
      </c>
      <c r="B805">
        <v>2016</v>
      </c>
      <c r="C805" t="s">
        <v>307</v>
      </c>
      <c r="D805" t="s">
        <v>308</v>
      </c>
      <c r="E805" t="s">
        <v>65</v>
      </c>
      <c r="F805">
        <v>8800</v>
      </c>
      <c r="G805" t="s">
        <v>66</v>
      </c>
      <c r="H805">
        <v>10</v>
      </c>
    </row>
    <row r="806" spans="1:8" x14ac:dyDescent="0.3">
      <c r="A806" t="s">
        <v>256</v>
      </c>
      <c r="B806">
        <v>2017</v>
      </c>
      <c r="C806" t="s">
        <v>307</v>
      </c>
      <c r="D806" t="s">
        <v>308</v>
      </c>
      <c r="E806" t="s">
        <v>65</v>
      </c>
      <c r="F806">
        <v>8800</v>
      </c>
      <c r="G806" t="s">
        <v>66</v>
      </c>
      <c r="H806">
        <v>3</v>
      </c>
    </row>
    <row r="807" spans="1:8" x14ac:dyDescent="0.3">
      <c r="A807" t="s">
        <v>256</v>
      </c>
      <c r="B807">
        <v>2019</v>
      </c>
      <c r="C807" t="s">
        <v>307</v>
      </c>
      <c r="D807" t="s">
        <v>308</v>
      </c>
      <c r="E807" t="s">
        <v>65</v>
      </c>
      <c r="F807">
        <v>8800</v>
      </c>
      <c r="G807" t="s">
        <v>66</v>
      </c>
      <c r="H807">
        <v>3</v>
      </c>
    </row>
    <row r="808" spans="1:8" x14ac:dyDescent="0.3">
      <c r="A808" t="s">
        <v>256</v>
      </c>
      <c r="B808">
        <v>2020</v>
      </c>
      <c r="C808" t="s">
        <v>307</v>
      </c>
      <c r="D808" t="s">
        <v>308</v>
      </c>
      <c r="E808" t="s">
        <v>65</v>
      </c>
      <c r="F808">
        <v>8800</v>
      </c>
      <c r="G808" t="s">
        <v>66</v>
      </c>
      <c r="H808">
        <v>9</v>
      </c>
    </row>
    <row r="809" spans="1:8" x14ac:dyDescent="0.3">
      <c r="A809" t="s">
        <v>256</v>
      </c>
      <c r="B809">
        <v>2021</v>
      </c>
      <c r="C809" t="s">
        <v>307</v>
      </c>
      <c r="D809" t="s">
        <v>308</v>
      </c>
      <c r="E809" t="s">
        <v>65</v>
      </c>
      <c r="F809">
        <v>8800</v>
      </c>
      <c r="G809" t="s">
        <v>66</v>
      </c>
      <c r="H809">
        <v>9</v>
      </c>
    </row>
    <row r="810" spans="1:8" x14ac:dyDescent="0.3">
      <c r="A810" t="s">
        <v>259</v>
      </c>
      <c r="B810">
        <v>2014</v>
      </c>
      <c r="C810" t="s">
        <v>307</v>
      </c>
      <c r="D810" t="s">
        <v>308</v>
      </c>
      <c r="E810" t="s">
        <v>65</v>
      </c>
      <c r="F810">
        <v>2700</v>
      </c>
      <c r="G810" t="s">
        <v>66</v>
      </c>
      <c r="H810">
        <v>1</v>
      </c>
    </row>
    <row r="811" spans="1:8" x14ac:dyDescent="0.3">
      <c r="A811" t="s">
        <v>259</v>
      </c>
      <c r="B811">
        <v>2015</v>
      </c>
      <c r="C811" t="s">
        <v>307</v>
      </c>
      <c r="D811" t="s">
        <v>308</v>
      </c>
      <c r="E811" t="s">
        <v>65</v>
      </c>
      <c r="F811">
        <v>2700</v>
      </c>
      <c r="G811" t="s">
        <v>66</v>
      </c>
      <c r="H811">
        <v>2</v>
      </c>
    </row>
    <row r="812" spans="1:8" x14ac:dyDescent="0.3">
      <c r="A812" t="s">
        <v>259</v>
      </c>
      <c r="B812">
        <v>2016</v>
      </c>
      <c r="C812" t="s">
        <v>307</v>
      </c>
      <c r="D812" t="s">
        <v>308</v>
      </c>
      <c r="E812" t="s">
        <v>65</v>
      </c>
      <c r="F812">
        <v>2700</v>
      </c>
      <c r="G812" t="s">
        <v>66</v>
      </c>
      <c r="H812">
        <v>2</v>
      </c>
    </row>
    <row r="813" spans="1:8" x14ac:dyDescent="0.3">
      <c r="A813" t="s">
        <v>259</v>
      </c>
      <c r="B813">
        <v>2017</v>
      </c>
      <c r="C813" t="s">
        <v>307</v>
      </c>
      <c r="D813" t="s">
        <v>308</v>
      </c>
      <c r="E813" t="s">
        <v>65</v>
      </c>
      <c r="F813">
        <v>2700</v>
      </c>
      <c r="G813" t="s">
        <v>66</v>
      </c>
      <c r="H813">
        <v>3</v>
      </c>
    </row>
    <row r="814" spans="1:8" x14ac:dyDescent="0.3">
      <c r="A814" t="s">
        <v>259</v>
      </c>
      <c r="B814">
        <v>2018</v>
      </c>
      <c r="C814" t="s">
        <v>307</v>
      </c>
      <c r="D814" t="s">
        <v>308</v>
      </c>
      <c r="E814" t="s">
        <v>65</v>
      </c>
      <c r="F814">
        <v>2700</v>
      </c>
      <c r="G814" t="s">
        <v>66</v>
      </c>
      <c r="H814">
        <v>9</v>
      </c>
    </row>
    <row r="815" spans="1:8" x14ac:dyDescent="0.3">
      <c r="A815" t="s">
        <v>259</v>
      </c>
      <c r="B815">
        <v>2019</v>
      </c>
      <c r="C815" t="s">
        <v>307</v>
      </c>
      <c r="D815" t="s">
        <v>308</v>
      </c>
      <c r="E815" t="s">
        <v>65</v>
      </c>
      <c r="F815">
        <v>2700</v>
      </c>
      <c r="G815" t="s">
        <v>66</v>
      </c>
      <c r="H815">
        <v>14</v>
      </c>
    </row>
    <row r="816" spans="1:8" x14ac:dyDescent="0.3">
      <c r="A816" t="s">
        <v>259</v>
      </c>
      <c r="B816">
        <v>2020</v>
      </c>
      <c r="C816" t="s">
        <v>307</v>
      </c>
      <c r="D816" t="s">
        <v>308</v>
      </c>
      <c r="E816" t="s">
        <v>65</v>
      </c>
      <c r="F816">
        <v>2700</v>
      </c>
      <c r="G816" t="s">
        <v>66</v>
      </c>
      <c r="H816">
        <v>13</v>
      </c>
    </row>
    <row r="817" spans="1:8" x14ac:dyDescent="0.3">
      <c r="A817" t="s">
        <v>259</v>
      </c>
      <c r="B817">
        <v>2021</v>
      </c>
      <c r="C817" t="s">
        <v>307</v>
      </c>
      <c r="D817" t="s">
        <v>308</v>
      </c>
      <c r="E817" t="s">
        <v>65</v>
      </c>
      <c r="F817">
        <v>2700</v>
      </c>
      <c r="G817" t="s">
        <v>66</v>
      </c>
      <c r="H817">
        <v>14</v>
      </c>
    </row>
    <row r="818" spans="1:8" x14ac:dyDescent="0.3">
      <c r="A818" t="s">
        <v>140</v>
      </c>
      <c r="B818">
        <v>2014</v>
      </c>
      <c r="C818" t="s">
        <v>307</v>
      </c>
      <c r="D818" t="s">
        <v>308</v>
      </c>
      <c r="E818" t="s">
        <v>65</v>
      </c>
      <c r="F818">
        <v>1650</v>
      </c>
      <c r="G818" t="s">
        <v>66</v>
      </c>
      <c r="H818">
        <v>1</v>
      </c>
    </row>
    <row r="819" spans="1:8" x14ac:dyDescent="0.3">
      <c r="A819" t="s">
        <v>140</v>
      </c>
      <c r="B819">
        <v>2015</v>
      </c>
      <c r="C819" t="s">
        <v>307</v>
      </c>
      <c r="D819" t="s">
        <v>308</v>
      </c>
      <c r="E819" t="s">
        <v>65</v>
      </c>
      <c r="F819">
        <v>1650</v>
      </c>
      <c r="G819" t="s">
        <v>66</v>
      </c>
      <c r="H819">
        <v>2</v>
      </c>
    </row>
    <row r="820" spans="1:8" x14ac:dyDescent="0.3">
      <c r="A820" t="s">
        <v>140</v>
      </c>
      <c r="B820">
        <v>2016</v>
      </c>
      <c r="C820" t="s">
        <v>307</v>
      </c>
      <c r="D820" t="s">
        <v>308</v>
      </c>
      <c r="E820" t="s">
        <v>65</v>
      </c>
      <c r="F820">
        <v>1650</v>
      </c>
      <c r="G820" t="s">
        <v>66</v>
      </c>
      <c r="H820">
        <v>2</v>
      </c>
    </row>
    <row r="821" spans="1:8" x14ac:dyDescent="0.3">
      <c r="A821" t="s">
        <v>140</v>
      </c>
      <c r="B821">
        <v>2019</v>
      </c>
      <c r="C821" t="s">
        <v>307</v>
      </c>
      <c r="D821" t="s">
        <v>308</v>
      </c>
      <c r="E821" t="s">
        <v>65</v>
      </c>
      <c r="F821">
        <v>1650</v>
      </c>
      <c r="G821" t="s">
        <v>66</v>
      </c>
      <c r="H821">
        <v>3</v>
      </c>
    </row>
    <row r="822" spans="1:8" x14ac:dyDescent="0.3">
      <c r="A822" t="s">
        <v>140</v>
      </c>
      <c r="B822">
        <v>2020</v>
      </c>
      <c r="C822" t="s">
        <v>307</v>
      </c>
      <c r="D822" t="s">
        <v>308</v>
      </c>
      <c r="E822" t="s">
        <v>65</v>
      </c>
      <c r="F822">
        <v>1650</v>
      </c>
      <c r="G822" t="s">
        <v>66</v>
      </c>
      <c r="H822">
        <v>3</v>
      </c>
    </row>
    <row r="823" spans="1:8" x14ac:dyDescent="0.3">
      <c r="A823" t="s">
        <v>140</v>
      </c>
      <c r="B823">
        <v>2021</v>
      </c>
      <c r="C823" t="s">
        <v>307</v>
      </c>
      <c r="D823" t="s">
        <v>308</v>
      </c>
      <c r="E823" t="s">
        <v>65</v>
      </c>
      <c r="F823">
        <v>1650</v>
      </c>
      <c r="G823" t="s">
        <v>66</v>
      </c>
      <c r="H823">
        <v>2</v>
      </c>
    </row>
    <row r="824" spans="1:8" x14ac:dyDescent="0.3">
      <c r="A824" t="s">
        <v>141</v>
      </c>
      <c r="B824">
        <v>2017</v>
      </c>
      <c r="C824" t="s">
        <v>307</v>
      </c>
      <c r="D824" t="s">
        <v>308</v>
      </c>
      <c r="E824" t="s">
        <v>65</v>
      </c>
      <c r="F824">
        <v>1600</v>
      </c>
      <c r="G824" t="s">
        <v>66</v>
      </c>
      <c r="H824">
        <v>2</v>
      </c>
    </row>
    <row r="825" spans="1:8" x14ac:dyDescent="0.3">
      <c r="A825" t="s">
        <v>141</v>
      </c>
      <c r="B825">
        <v>2018</v>
      </c>
      <c r="C825" t="s">
        <v>307</v>
      </c>
      <c r="D825" t="s">
        <v>308</v>
      </c>
      <c r="E825" t="s">
        <v>65</v>
      </c>
      <c r="F825">
        <v>1600</v>
      </c>
      <c r="G825" t="s">
        <v>66</v>
      </c>
      <c r="H825">
        <v>2</v>
      </c>
    </row>
    <row r="826" spans="1:8" x14ac:dyDescent="0.3">
      <c r="A826" t="s">
        <v>141</v>
      </c>
      <c r="B826">
        <v>2020</v>
      </c>
      <c r="C826" t="s">
        <v>307</v>
      </c>
      <c r="D826" t="s">
        <v>308</v>
      </c>
      <c r="E826" t="s">
        <v>65</v>
      </c>
      <c r="F826">
        <v>1600</v>
      </c>
      <c r="G826" t="s">
        <v>66</v>
      </c>
      <c r="H826">
        <v>4</v>
      </c>
    </row>
    <row r="827" spans="1:8" x14ac:dyDescent="0.3">
      <c r="A827" t="s">
        <v>141</v>
      </c>
      <c r="B827">
        <v>2021</v>
      </c>
      <c r="C827" t="s">
        <v>307</v>
      </c>
      <c r="D827" t="s">
        <v>308</v>
      </c>
      <c r="E827" t="s">
        <v>65</v>
      </c>
      <c r="F827">
        <v>1600</v>
      </c>
      <c r="G827" t="s">
        <v>66</v>
      </c>
      <c r="H827">
        <v>3</v>
      </c>
    </row>
    <row r="828" spans="1:8" x14ac:dyDescent="0.3">
      <c r="A828" t="s">
        <v>261</v>
      </c>
      <c r="B828">
        <v>2017</v>
      </c>
      <c r="C828" t="s">
        <v>307</v>
      </c>
      <c r="D828" t="s">
        <v>308</v>
      </c>
      <c r="E828" t="s">
        <v>65</v>
      </c>
      <c r="F828">
        <v>15100</v>
      </c>
      <c r="G828" t="s">
        <v>66</v>
      </c>
      <c r="H828">
        <v>2</v>
      </c>
    </row>
    <row r="829" spans="1:8" x14ac:dyDescent="0.3">
      <c r="A829" t="s">
        <v>261</v>
      </c>
      <c r="B829">
        <v>2018</v>
      </c>
      <c r="C829" t="s">
        <v>307</v>
      </c>
      <c r="D829" t="s">
        <v>308</v>
      </c>
      <c r="E829" t="s">
        <v>65</v>
      </c>
      <c r="F829">
        <v>15100</v>
      </c>
      <c r="G829" t="s">
        <v>66</v>
      </c>
      <c r="H829">
        <v>2</v>
      </c>
    </row>
    <row r="830" spans="1:8" x14ac:dyDescent="0.3">
      <c r="A830" t="s">
        <v>261</v>
      </c>
      <c r="B830">
        <v>2019</v>
      </c>
      <c r="C830" t="s">
        <v>307</v>
      </c>
      <c r="D830" t="s">
        <v>308</v>
      </c>
      <c r="E830" t="s">
        <v>65</v>
      </c>
      <c r="F830">
        <v>15100</v>
      </c>
      <c r="G830" t="s">
        <v>66</v>
      </c>
      <c r="H830">
        <v>12</v>
      </c>
    </row>
    <row r="831" spans="1:8" x14ac:dyDescent="0.3">
      <c r="A831" t="s">
        <v>261</v>
      </c>
      <c r="B831">
        <v>2020</v>
      </c>
      <c r="C831" t="s">
        <v>307</v>
      </c>
      <c r="D831" t="s">
        <v>308</v>
      </c>
      <c r="E831" t="s">
        <v>65</v>
      </c>
      <c r="F831">
        <v>15100</v>
      </c>
      <c r="G831" t="s">
        <v>66</v>
      </c>
      <c r="H831">
        <v>4</v>
      </c>
    </row>
    <row r="832" spans="1:8" x14ac:dyDescent="0.3">
      <c r="A832" t="s">
        <v>261</v>
      </c>
      <c r="B832">
        <v>2021</v>
      </c>
      <c r="C832" t="s">
        <v>307</v>
      </c>
      <c r="D832" t="s">
        <v>308</v>
      </c>
      <c r="E832" t="s">
        <v>65</v>
      </c>
      <c r="F832">
        <v>15100</v>
      </c>
      <c r="G832" t="s">
        <v>66</v>
      </c>
      <c r="H832">
        <v>3</v>
      </c>
    </row>
    <row r="833" spans="1:8" x14ac:dyDescent="0.3">
      <c r="A833" t="s">
        <v>263</v>
      </c>
      <c r="B833">
        <v>2018</v>
      </c>
      <c r="C833" t="s">
        <v>307</v>
      </c>
      <c r="D833" t="s">
        <v>308</v>
      </c>
      <c r="E833" t="s">
        <v>65</v>
      </c>
      <c r="F833">
        <v>6000</v>
      </c>
      <c r="G833" t="s">
        <v>66</v>
      </c>
      <c r="H833">
        <v>3</v>
      </c>
    </row>
    <row r="834" spans="1:8" x14ac:dyDescent="0.3">
      <c r="A834" t="s">
        <v>263</v>
      </c>
      <c r="B834">
        <v>2019</v>
      </c>
      <c r="C834" t="s">
        <v>307</v>
      </c>
      <c r="D834" t="s">
        <v>308</v>
      </c>
      <c r="E834" t="s">
        <v>65</v>
      </c>
      <c r="F834">
        <v>6000</v>
      </c>
      <c r="G834" t="s">
        <v>66</v>
      </c>
      <c r="H834">
        <v>4</v>
      </c>
    </row>
    <row r="835" spans="1:8" x14ac:dyDescent="0.3">
      <c r="A835" t="s">
        <v>263</v>
      </c>
      <c r="B835">
        <v>2020</v>
      </c>
      <c r="C835" t="s">
        <v>307</v>
      </c>
      <c r="D835" t="s">
        <v>308</v>
      </c>
      <c r="E835" t="s">
        <v>65</v>
      </c>
      <c r="F835">
        <v>6000</v>
      </c>
      <c r="G835" t="s">
        <v>66</v>
      </c>
      <c r="H835">
        <v>3</v>
      </c>
    </row>
    <row r="836" spans="1:8" x14ac:dyDescent="0.3">
      <c r="A836" t="s">
        <v>263</v>
      </c>
      <c r="B836">
        <v>2021</v>
      </c>
      <c r="C836" t="s">
        <v>307</v>
      </c>
      <c r="D836" t="s">
        <v>308</v>
      </c>
      <c r="E836" t="s">
        <v>65</v>
      </c>
      <c r="F836">
        <v>6000</v>
      </c>
      <c r="G836" t="s">
        <v>66</v>
      </c>
      <c r="H836">
        <v>11</v>
      </c>
    </row>
    <row r="837" spans="1:8" x14ac:dyDescent="0.3">
      <c r="A837" t="s">
        <v>264</v>
      </c>
      <c r="B837">
        <v>2014</v>
      </c>
      <c r="C837" t="s">
        <v>307</v>
      </c>
      <c r="D837" t="s">
        <v>308</v>
      </c>
      <c r="E837" t="s">
        <v>65</v>
      </c>
      <c r="F837">
        <v>27099</v>
      </c>
      <c r="G837" t="s">
        <v>66</v>
      </c>
      <c r="H837">
        <v>1</v>
      </c>
    </row>
    <row r="838" spans="1:8" x14ac:dyDescent="0.3">
      <c r="A838" t="s">
        <v>264</v>
      </c>
      <c r="B838">
        <v>2015</v>
      </c>
      <c r="C838" t="s">
        <v>307</v>
      </c>
      <c r="D838" t="s">
        <v>308</v>
      </c>
      <c r="E838" t="s">
        <v>65</v>
      </c>
      <c r="F838">
        <v>27099</v>
      </c>
      <c r="G838" t="s">
        <v>66</v>
      </c>
      <c r="H838">
        <v>1</v>
      </c>
    </row>
    <row r="839" spans="1:8" x14ac:dyDescent="0.3">
      <c r="A839" t="s">
        <v>264</v>
      </c>
      <c r="B839">
        <v>2018</v>
      </c>
      <c r="C839" t="s">
        <v>307</v>
      </c>
      <c r="D839" t="s">
        <v>308</v>
      </c>
      <c r="E839" t="s">
        <v>65</v>
      </c>
      <c r="F839">
        <v>27099</v>
      </c>
      <c r="G839" t="s">
        <v>66</v>
      </c>
      <c r="H839">
        <v>2</v>
      </c>
    </row>
    <row r="840" spans="1:8" x14ac:dyDescent="0.3">
      <c r="A840" t="s">
        <v>142</v>
      </c>
      <c r="B840">
        <v>2014</v>
      </c>
      <c r="C840" t="s">
        <v>307</v>
      </c>
      <c r="D840" t="s">
        <v>308</v>
      </c>
      <c r="E840" t="s">
        <v>65</v>
      </c>
      <c r="F840">
        <v>3000</v>
      </c>
      <c r="G840" t="s">
        <v>66</v>
      </c>
      <c r="H840">
        <v>2</v>
      </c>
    </row>
    <row r="841" spans="1:8" x14ac:dyDescent="0.3">
      <c r="A841" t="s">
        <v>142</v>
      </c>
      <c r="B841">
        <v>2015</v>
      </c>
      <c r="C841" t="s">
        <v>307</v>
      </c>
      <c r="D841" t="s">
        <v>308</v>
      </c>
      <c r="E841" t="s">
        <v>65</v>
      </c>
      <c r="F841">
        <v>3000</v>
      </c>
      <c r="G841" t="s">
        <v>66</v>
      </c>
      <c r="H841">
        <v>11</v>
      </c>
    </row>
    <row r="842" spans="1:8" x14ac:dyDescent="0.3">
      <c r="A842" t="s">
        <v>142</v>
      </c>
      <c r="B842">
        <v>2016</v>
      </c>
      <c r="C842" t="s">
        <v>307</v>
      </c>
      <c r="D842" t="s">
        <v>308</v>
      </c>
      <c r="E842" t="s">
        <v>65</v>
      </c>
      <c r="F842">
        <v>3000</v>
      </c>
      <c r="G842" t="s">
        <v>66</v>
      </c>
      <c r="H842">
        <v>25</v>
      </c>
    </row>
    <row r="843" spans="1:8" x14ac:dyDescent="0.3">
      <c r="A843" t="s">
        <v>142</v>
      </c>
      <c r="B843">
        <v>2017</v>
      </c>
      <c r="C843" t="s">
        <v>307</v>
      </c>
      <c r="D843" t="s">
        <v>308</v>
      </c>
      <c r="E843" t="s">
        <v>65</v>
      </c>
      <c r="F843">
        <v>3000</v>
      </c>
      <c r="G843" t="s">
        <v>66</v>
      </c>
      <c r="H843">
        <v>18</v>
      </c>
    </row>
    <row r="844" spans="1:8" x14ac:dyDescent="0.3">
      <c r="A844" t="s">
        <v>142</v>
      </c>
      <c r="B844">
        <v>2018</v>
      </c>
      <c r="C844" t="s">
        <v>307</v>
      </c>
      <c r="D844" t="s">
        <v>308</v>
      </c>
      <c r="E844" t="s">
        <v>65</v>
      </c>
      <c r="F844">
        <v>3000</v>
      </c>
      <c r="G844" t="s">
        <v>66</v>
      </c>
      <c r="H844">
        <v>12</v>
      </c>
    </row>
    <row r="845" spans="1:8" x14ac:dyDescent="0.3">
      <c r="A845" t="s">
        <v>142</v>
      </c>
      <c r="B845">
        <v>2019</v>
      </c>
      <c r="C845" t="s">
        <v>307</v>
      </c>
      <c r="D845" t="s">
        <v>308</v>
      </c>
      <c r="E845" t="s">
        <v>65</v>
      </c>
      <c r="F845">
        <v>3000</v>
      </c>
      <c r="G845" t="s">
        <v>66</v>
      </c>
      <c r="H845">
        <v>25</v>
      </c>
    </row>
    <row r="846" spans="1:8" x14ac:dyDescent="0.3">
      <c r="A846" t="s">
        <v>142</v>
      </c>
      <c r="B846">
        <v>2020</v>
      </c>
      <c r="C846" t="s">
        <v>307</v>
      </c>
      <c r="D846" t="s">
        <v>308</v>
      </c>
      <c r="E846" t="s">
        <v>65</v>
      </c>
      <c r="F846">
        <v>3000</v>
      </c>
      <c r="G846" t="s">
        <v>66</v>
      </c>
      <c r="H846">
        <v>19</v>
      </c>
    </row>
    <row r="847" spans="1:8" x14ac:dyDescent="0.3">
      <c r="A847" t="s">
        <v>142</v>
      </c>
      <c r="B847">
        <v>2021</v>
      </c>
      <c r="C847" t="s">
        <v>307</v>
      </c>
      <c r="D847" t="s">
        <v>308</v>
      </c>
      <c r="E847" t="s">
        <v>65</v>
      </c>
      <c r="F847">
        <v>3000</v>
      </c>
      <c r="G847" t="s">
        <v>66</v>
      </c>
      <c r="H847">
        <v>17</v>
      </c>
    </row>
    <row r="848" spans="1:8" x14ac:dyDescent="0.3">
      <c r="A848" t="s">
        <v>265</v>
      </c>
      <c r="B848">
        <v>2014</v>
      </c>
      <c r="C848" t="s">
        <v>307</v>
      </c>
      <c r="D848" t="s">
        <v>308</v>
      </c>
      <c r="E848" t="s">
        <v>65</v>
      </c>
      <c r="F848">
        <v>3368</v>
      </c>
      <c r="G848" t="s">
        <v>66</v>
      </c>
      <c r="H848">
        <v>1</v>
      </c>
    </row>
    <row r="849" spans="1:8" x14ac:dyDescent="0.3">
      <c r="A849" t="s">
        <v>265</v>
      </c>
      <c r="B849">
        <v>2015</v>
      </c>
      <c r="C849" t="s">
        <v>307</v>
      </c>
      <c r="D849" t="s">
        <v>308</v>
      </c>
      <c r="E849" t="s">
        <v>65</v>
      </c>
      <c r="F849">
        <v>3368</v>
      </c>
      <c r="G849" t="s">
        <v>66</v>
      </c>
      <c r="H849">
        <v>17</v>
      </c>
    </row>
    <row r="850" spans="1:8" x14ac:dyDescent="0.3">
      <c r="A850" t="s">
        <v>265</v>
      </c>
      <c r="B850">
        <v>2016</v>
      </c>
      <c r="C850" t="s">
        <v>307</v>
      </c>
      <c r="D850" t="s">
        <v>308</v>
      </c>
      <c r="E850" t="s">
        <v>65</v>
      </c>
      <c r="F850">
        <v>3368</v>
      </c>
      <c r="G850" t="s">
        <v>66</v>
      </c>
      <c r="H850">
        <v>17</v>
      </c>
    </row>
    <row r="851" spans="1:8" x14ac:dyDescent="0.3">
      <c r="A851" t="s">
        <v>265</v>
      </c>
      <c r="B851">
        <v>2017</v>
      </c>
      <c r="C851" t="s">
        <v>307</v>
      </c>
      <c r="D851" t="s">
        <v>308</v>
      </c>
      <c r="E851" t="s">
        <v>65</v>
      </c>
      <c r="F851">
        <v>3368</v>
      </c>
      <c r="G851" t="s">
        <v>66</v>
      </c>
      <c r="H851">
        <v>9</v>
      </c>
    </row>
    <row r="852" spans="1:8" x14ac:dyDescent="0.3">
      <c r="A852" t="s">
        <v>265</v>
      </c>
      <c r="B852">
        <v>2018</v>
      </c>
      <c r="C852" t="s">
        <v>307</v>
      </c>
      <c r="D852" t="s">
        <v>308</v>
      </c>
      <c r="E852" t="s">
        <v>65</v>
      </c>
      <c r="F852">
        <v>3368</v>
      </c>
      <c r="G852" t="s">
        <v>66</v>
      </c>
      <c r="H852">
        <v>1</v>
      </c>
    </row>
    <row r="853" spans="1:8" x14ac:dyDescent="0.3">
      <c r="A853" t="s">
        <v>265</v>
      </c>
      <c r="B853">
        <v>2019</v>
      </c>
      <c r="C853" t="s">
        <v>307</v>
      </c>
      <c r="D853" t="s">
        <v>308</v>
      </c>
      <c r="E853" t="s">
        <v>65</v>
      </c>
      <c r="F853">
        <v>3368</v>
      </c>
      <c r="G853" t="s">
        <v>66</v>
      </c>
      <c r="H853">
        <v>1</v>
      </c>
    </row>
    <row r="854" spans="1:8" x14ac:dyDescent="0.3">
      <c r="A854" t="s">
        <v>143</v>
      </c>
      <c r="B854">
        <v>2016</v>
      </c>
      <c r="C854" t="s">
        <v>307</v>
      </c>
      <c r="D854" t="s">
        <v>308</v>
      </c>
      <c r="E854" t="s">
        <v>65</v>
      </c>
      <c r="F854">
        <v>14500</v>
      </c>
      <c r="G854" t="s">
        <v>72</v>
      </c>
      <c r="H854">
        <v>2</v>
      </c>
    </row>
    <row r="855" spans="1:8" x14ac:dyDescent="0.3">
      <c r="A855" t="s">
        <v>143</v>
      </c>
      <c r="B855">
        <v>2017</v>
      </c>
      <c r="C855" t="s">
        <v>307</v>
      </c>
      <c r="D855" t="s">
        <v>308</v>
      </c>
      <c r="E855" t="s">
        <v>65</v>
      </c>
      <c r="F855">
        <v>14500</v>
      </c>
      <c r="G855" t="s">
        <v>72</v>
      </c>
      <c r="H855">
        <v>2</v>
      </c>
    </row>
    <row r="856" spans="1:8" x14ac:dyDescent="0.3">
      <c r="A856" t="s">
        <v>143</v>
      </c>
      <c r="B856">
        <v>2018</v>
      </c>
      <c r="C856" t="s">
        <v>307</v>
      </c>
      <c r="D856" t="s">
        <v>308</v>
      </c>
      <c r="E856" t="s">
        <v>65</v>
      </c>
      <c r="F856">
        <v>14500</v>
      </c>
      <c r="G856" t="s">
        <v>72</v>
      </c>
      <c r="H856">
        <v>2</v>
      </c>
    </row>
    <row r="857" spans="1:8" x14ac:dyDescent="0.3">
      <c r="A857" t="s">
        <v>143</v>
      </c>
      <c r="B857">
        <v>2019</v>
      </c>
      <c r="C857" t="s">
        <v>307</v>
      </c>
      <c r="D857" t="s">
        <v>308</v>
      </c>
      <c r="E857" t="s">
        <v>65</v>
      </c>
      <c r="F857">
        <v>14500</v>
      </c>
      <c r="G857" t="s">
        <v>72</v>
      </c>
      <c r="H857">
        <v>3</v>
      </c>
    </row>
    <row r="858" spans="1:8" x14ac:dyDescent="0.3">
      <c r="A858" t="s">
        <v>143</v>
      </c>
      <c r="B858">
        <v>2020</v>
      </c>
      <c r="C858" t="s">
        <v>307</v>
      </c>
      <c r="D858" t="s">
        <v>308</v>
      </c>
      <c r="E858" t="s">
        <v>65</v>
      </c>
      <c r="F858">
        <v>14500</v>
      </c>
      <c r="G858" t="s">
        <v>72</v>
      </c>
      <c r="H858">
        <v>3</v>
      </c>
    </row>
    <row r="859" spans="1:8" x14ac:dyDescent="0.3">
      <c r="A859" t="s">
        <v>144</v>
      </c>
      <c r="B859">
        <v>2016</v>
      </c>
      <c r="C859" t="s">
        <v>307</v>
      </c>
      <c r="D859" t="s">
        <v>308</v>
      </c>
      <c r="E859" t="s">
        <v>65</v>
      </c>
      <c r="F859">
        <v>5617</v>
      </c>
      <c r="G859" t="s">
        <v>66</v>
      </c>
      <c r="H859">
        <v>1</v>
      </c>
    </row>
    <row r="860" spans="1:8" x14ac:dyDescent="0.3">
      <c r="A860" t="s">
        <v>145</v>
      </c>
      <c r="B860">
        <v>2015</v>
      </c>
      <c r="C860" t="s">
        <v>307</v>
      </c>
      <c r="D860" t="s">
        <v>308</v>
      </c>
      <c r="E860" t="s">
        <v>65</v>
      </c>
      <c r="F860">
        <v>6613</v>
      </c>
      <c r="G860" t="s">
        <v>66</v>
      </c>
      <c r="H860">
        <v>1</v>
      </c>
    </row>
    <row r="861" spans="1:8" x14ac:dyDescent="0.3">
      <c r="A861" t="s">
        <v>145</v>
      </c>
      <c r="B861">
        <v>2016</v>
      </c>
      <c r="C861" t="s">
        <v>307</v>
      </c>
      <c r="D861" t="s">
        <v>308</v>
      </c>
      <c r="E861" t="s">
        <v>65</v>
      </c>
      <c r="F861">
        <v>6613</v>
      </c>
      <c r="G861" t="s">
        <v>66</v>
      </c>
      <c r="H861">
        <v>3</v>
      </c>
    </row>
    <row r="862" spans="1:8" x14ac:dyDescent="0.3">
      <c r="A862" t="s">
        <v>145</v>
      </c>
      <c r="B862">
        <v>2017</v>
      </c>
      <c r="C862" t="s">
        <v>307</v>
      </c>
      <c r="D862" t="s">
        <v>308</v>
      </c>
      <c r="E862" t="s">
        <v>65</v>
      </c>
      <c r="F862">
        <v>6613</v>
      </c>
      <c r="G862" t="s">
        <v>66</v>
      </c>
      <c r="H862">
        <v>5</v>
      </c>
    </row>
    <row r="863" spans="1:8" x14ac:dyDescent="0.3">
      <c r="A863" t="s">
        <v>145</v>
      </c>
      <c r="B863">
        <v>2018</v>
      </c>
      <c r="C863" t="s">
        <v>307</v>
      </c>
      <c r="D863" t="s">
        <v>308</v>
      </c>
      <c r="E863" t="s">
        <v>65</v>
      </c>
      <c r="F863">
        <v>6613</v>
      </c>
      <c r="G863" t="s">
        <v>66</v>
      </c>
      <c r="H863">
        <v>6</v>
      </c>
    </row>
    <row r="864" spans="1:8" x14ac:dyDescent="0.3">
      <c r="A864" t="s">
        <v>145</v>
      </c>
      <c r="B864">
        <v>2019</v>
      </c>
      <c r="C864" t="s">
        <v>307</v>
      </c>
      <c r="D864" t="s">
        <v>308</v>
      </c>
      <c r="E864" t="s">
        <v>65</v>
      </c>
      <c r="F864">
        <v>6613</v>
      </c>
      <c r="G864" t="s">
        <v>66</v>
      </c>
      <c r="H864">
        <v>39</v>
      </c>
    </row>
    <row r="865" spans="1:8" x14ac:dyDescent="0.3">
      <c r="A865" t="s">
        <v>145</v>
      </c>
      <c r="B865">
        <v>2020</v>
      </c>
      <c r="C865" t="s">
        <v>307</v>
      </c>
      <c r="D865" t="s">
        <v>308</v>
      </c>
      <c r="E865" t="s">
        <v>65</v>
      </c>
      <c r="F865">
        <v>6613</v>
      </c>
      <c r="G865" t="s">
        <v>66</v>
      </c>
      <c r="H865">
        <v>21</v>
      </c>
    </row>
    <row r="866" spans="1:8" x14ac:dyDescent="0.3">
      <c r="A866" t="s">
        <v>145</v>
      </c>
      <c r="B866">
        <v>2021</v>
      </c>
      <c r="C866" t="s">
        <v>307</v>
      </c>
      <c r="D866" t="s">
        <v>308</v>
      </c>
      <c r="E866" t="s">
        <v>65</v>
      </c>
      <c r="F866">
        <v>6613</v>
      </c>
      <c r="G866" t="s">
        <v>66</v>
      </c>
      <c r="H866">
        <v>32</v>
      </c>
    </row>
    <row r="867" spans="1:8" x14ac:dyDescent="0.3">
      <c r="A867" t="s">
        <v>146</v>
      </c>
      <c r="B867">
        <v>2014</v>
      </c>
      <c r="C867" t="s">
        <v>307</v>
      </c>
      <c r="D867" t="s">
        <v>308</v>
      </c>
      <c r="E867" t="s">
        <v>65</v>
      </c>
      <c r="F867">
        <v>7495</v>
      </c>
      <c r="G867" t="s">
        <v>66</v>
      </c>
      <c r="H867">
        <v>4</v>
      </c>
    </row>
    <row r="868" spans="1:8" x14ac:dyDescent="0.3">
      <c r="A868" t="s">
        <v>146</v>
      </c>
      <c r="B868">
        <v>2015</v>
      </c>
      <c r="C868" t="s">
        <v>307</v>
      </c>
      <c r="D868" t="s">
        <v>308</v>
      </c>
      <c r="E868" t="s">
        <v>65</v>
      </c>
      <c r="F868">
        <v>7495</v>
      </c>
      <c r="G868" t="s">
        <v>66</v>
      </c>
      <c r="H868">
        <v>6</v>
      </c>
    </row>
    <row r="869" spans="1:8" x14ac:dyDescent="0.3">
      <c r="A869" t="s">
        <v>146</v>
      </c>
      <c r="B869">
        <v>2016</v>
      </c>
      <c r="C869" t="s">
        <v>307</v>
      </c>
      <c r="D869" t="s">
        <v>308</v>
      </c>
      <c r="E869" t="s">
        <v>65</v>
      </c>
      <c r="F869">
        <v>7495</v>
      </c>
      <c r="G869" t="s">
        <v>66</v>
      </c>
      <c r="H869">
        <v>5</v>
      </c>
    </row>
    <row r="870" spans="1:8" x14ac:dyDescent="0.3">
      <c r="A870" t="s">
        <v>146</v>
      </c>
      <c r="B870">
        <v>2017</v>
      </c>
      <c r="C870" t="s">
        <v>307</v>
      </c>
      <c r="D870" t="s">
        <v>308</v>
      </c>
      <c r="E870" t="s">
        <v>65</v>
      </c>
      <c r="F870">
        <v>7495</v>
      </c>
      <c r="G870" t="s">
        <v>66</v>
      </c>
      <c r="H870">
        <v>6</v>
      </c>
    </row>
    <row r="871" spans="1:8" x14ac:dyDescent="0.3">
      <c r="A871" t="s">
        <v>146</v>
      </c>
      <c r="B871">
        <v>2018</v>
      </c>
      <c r="C871" t="s">
        <v>307</v>
      </c>
      <c r="D871" t="s">
        <v>308</v>
      </c>
      <c r="E871" t="s">
        <v>65</v>
      </c>
      <c r="F871">
        <v>7495</v>
      </c>
      <c r="G871" t="s">
        <v>66</v>
      </c>
      <c r="H871">
        <v>4</v>
      </c>
    </row>
    <row r="872" spans="1:8" x14ac:dyDescent="0.3">
      <c r="A872" t="s">
        <v>146</v>
      </c>
      <c r="B872">
        <v>2019</v>
      </c>
      <c r="C872" t="s">
        <v>307</v>
      </c>
      <c r="D872" t="s">
        <v>308</v>
      </c>
      <c r="E872" t="s">
        <v>65</v>
      </c>
      <c r="F872">
        <v>7495</v>
      </c>
      <c r="G872" t="s">
        <v>66</v>
      </c>
      <c r="H872">
        <v>7</v>
      </c>
    </row>
    <row r="873" spans="1:8" x14ac:dyDescent="0.3">
      <c r="A873" t="s">
        <v>146</v>
      </c>
      <c r="B873">
        <v>2020</v>
      </c>
      <c r="C873" t="s">
        <v>307</v>
      </c>
      <c r="D873" t="s">
        <v>308</v>
      </c>
      <c r="E873" t="s">
        <v>65</v>
      </c>
      <c r="F873">
        <v>7495</v>
      </c>
      <c r="G873" t="s">
        <v>66</v>
      </c>
      <c r="H873">
        <v>7</v>
      </c>
    </row>
    <row r="874" spans="1:8" x14ac:dyDescent="0.3">
      <c r="A874" t="s">
        <v>146</v>
      </c>
      <c r="B874">
        <v>2021</v>
      </c>
      <c r="C874" t="s">
        <v>307</v>
      </c>
      <c r="D874" t="s">
        <v>308</v>
      </c>
      <c r="E874" t="s">
        <v>65</v>
      </c>
      <c r="F874">
        <v>7495</v>
      </c>
      <c r="G874" t="s">
        <v>66</v>
      </c>
      <c r="H874">
        <v>1</v>
      </c>
    </row>
    <row r="875" spans="1:8" x14ac:dyDescent="0.3">
      <c r="A875" t="s">
        <v>268</v>
      </c>
      <c r="B875">
        <v>2018</v>
      </c>
      <c r="C875" t="s">
        <v>307</v>
      </c>
      <c r="D875" t="s">
        <v>308</v>
      </c>
      <c r="E875" t="s">
        <v>65</v>
      </c>
      <c r="F875">
        <v>7394</v>
      </c>
      <c r="G875" t="s">
        <v>66</v>
      </c>
      <c r="H875">
        <v>8</v>
      </c>
    </row>
    <row r="876" spans="1:8" x14ac:dyDescent="0.3">
      <c r="A876" t="s">
        <v>268</v>
      </c>
      <c r="B876">
        <v>2019</v>
      </c>
      <c r="C876" t="s">
        <v>307</v>
      </c>
      <c r="D876" t="s">
        <v>308</v>
      </c>
      <c r="E876" t="s">
        <v>65</v>
      </c>
      <c r="F876">
        <v>7394</v>
      </c>
      <c r="G876" t="s">
        <v>66</v>
      </c>
      <c r="H876">
        <v>5</v>
      </c>
    </row>
    <row r="877" spans="1:8" x14ac:dyDescent="0.3">
      <c r="A877" t="s">
        <v>268</v>
      </c>
      <c r="B877">
        <v>2020</v>
      </c>
      <c r="C877" t="s">
        <v>307</v>
      </c>
      <c r="D877" t="s">
        <v>308</v>
      </c>
      <c r="E877" t="s">
        <v>65</v>
      </c>
      <c r="F877">
        <v>7394</v>
      </c>
      <c r="G877" t="s">
        <v>66</v>
      </c>
      <c r="H877">
        <v>4</v>
      </c>
    </row>
    <row r="878" spans="1:8" x14ac:dyDescent="0.3">
      <c r="A878" t="s">
        <v>268</v>
      </c>
      <c r="B878">
        <v>2021</v>
      </c>
      <c r="C878" t="s">
        <v>307</v>
      </c>
      <c r="D878" t="s">
        <v>308</v>
      </c>
      <c r="E878" t="s">
        <v>65</v>
      </c>
      <c r="F878">
        <v>7394</v>
      </c>
      <c r="G878" t="s">
        <v>66</v>
      </c>
      <c r="H878">
        <v>5</v>
      </c>
    </row>
    <row r="879" spans="1:8" x14ac:dyDescent="0.3">
      <c r="A879" t="s">
        <v>270</v>
      </c>
      <c r="B879">
        <v>2014</v>
      </c>
      <c r="C879" t="s">
        <v>307</v>
      </c>
      <c r="D879" t="s">
        <v>308</v>
      </c>
      <c r="E879" t="s">
        <v>65</v>
      </c>
      <c r="F879">
        <v>-1</v>
      </c>
      <c r="G879" t="s">
        <v>270</v>
      </c>
      <c r="H879">
        <v>64</v>
      </c>
    </row>
    <row r="880" spans="1:8" x14ac:dyDescent="0.3">
      <c r="A880" t="s">
        <v>270</v>
      </c>
      <c r="B880">
        <v>2015</v>
      </c>
      <c r="C880" t="s">
        <v>307</v>
      </c>
      <c r="D880" t="s">
        <v>308</v>
      </c>
      <c r="E880" t="s">
        <v>65</v>
      </c>
      <c r="F880">
        <v>-1</v>
      </c>
      <c r="G880" t="s">
        <v>270</v>
      </c>
      <c r="H880">
        <v>112</v>
      </c>
    </row>
    <row r="881" spans="1:8" x14ac:dyDescent="0.3">
      <c r="A881" t="s">
        <v>270</v>
      </c>
      <c r="B881">
        <v>2016</v>
      </c>
      <c r="C881" t="s">
        <v>307</v>
      </c>
      <c r="D881" t="s">
        <v>308</v>
      </c>
      <c r="E881" t="s">
        <v>65</v>
      </c>
      <c r="F881">
        <v>-1</v>
      </c>
      <c r="G881" t="s">
        <v>270</v>
      </c>
      <c r="H881">
        <v>146</v>
      </c>
    </row>
    <row r="882" spans="1:8" x14ac:dyDescent="0.3">
      <c r="A882" t="s">
        <v>270</v>
      </c>
      <c r="B882">
        <v>2017</v>
      </c>
      <c r="C882" t="s">
        <v>307</v>
      </c>
      <c r="D882" t="s">
        <v>308</v>
      </c>
      <c r="E882" t="s">
        <v>65</v>
      </c>
      <c r="F882">
        <v>-1</v>
      </c>
      <c r="G882" t="s">
        <v>270</v>
      </c>
      <c r="H882">
        <v>886</v>
      </c>
    </row>
    <row r="883" spans="1:8" x14ac:dyDescent="0.3">
      <c r="A883" t="s">
        <v>270</v>
      </c>
      <c r="B883">
        <v>2018</v>
      </c>
      <c r="C883" t="s">
        <v>307</v>
      </c>
      <c r="D883" t="s">
        <v>308</v>
      </c>
      <c r="E883" t="s">
        <v>65</v>
      </c>
      <c r="F883">
        <v>-1</v>
      </c>
      <c r="G883" t="s">
        <v>270</v>
      </c>
      <c r="H883">
        <v>1254</v>
      </c>
    </row>
    <row r="884" spans="1:8" x14ac:dyDescent="0.3">
      <c r="A884" t="s">
        <v>270</v>
      </c>
      <c r="B884">
        <v>2019</v>
      </c>
      <c r="C884" t="s">
        <v>307</v>
      </c>
      <c r="D884" t="s">
        <v>308</v>
      </c>
      <c r="E884" t="s">
        <v>65</v>
      </c>
      <c r="F884">
        <v>-1</v>
      </c>
      <c r="G884" t="s">
        <v>270</v>
      </c>
      <c r="H884">
        <v>1826</v>
      </c>
    </row>
    <row r="885" spans="1:8" x14ac:dyDescent="0.3">
      <c r="A885" t="s">
        <v>270</v>
      </c>
      <c r="B885">
        <v>2020</v>
      </c>
      <c r="C885" t="s">
        <v>307</v>
      </c>
      <c r="D885" t="s">
        <v>308</v>
      </c>
      <c r="E885" t="s">
        <v>65</v>
      </c>
      <c r="F885">
        <v>-1</v>
      </c>
      <c r="G885" t="s">
        <v>270</v>
      </c>
      <c r="H885">
        <v>2495</v>
      </c>
    </row>
    <row r="886" spans="1:8" x14ac:dyDescent="0.3">
      <c r="A886" t="s">
        <v>270</v>
      </c>
      <c r="B886">
        <v>2021</v>
      </c>
      <c r="C886" t="s">
        <v>307</v>
      </c>
      <c r="D886" t="s">
        <v>308</v>
      </c>
      <c r="E886" t="s">
        <v>65</v>
      </c>
      <c r="F886">
        <v>-1</v>
      </c>
      <c r="G886" t="s">
        <v>270</v>
      </c>
      <c r="H886">
        <v>2526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32DF-17E4-4A28-93CA-A268870FA516}">
  <dimension ref="A1:H469"/>
  <sheetViews>
    <sheetView workbookViewId="0">
      <selection activeCell="K15" sqref="K15"/>
    </sheetView>
  </sheetViews>
  <sheetFormatPr defaultRowHeight="14.4" x14ac:dyDescent="0.3"/>
  <sheetData>
    <row r="1" spans="1:8" x14ac:dyDescent="0.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x14ac:dyDescent="0.3">
      <c r="A2" t="s">
        <v>150</v>
      </c>
      <c r="B2">
        <v>2014</v>
      </c>
      <c r="C2" t="s">
        <v>310</v>
      </c>
      <c r="D2" t="s">
        <v>311</v>
      </c>
      <c r="E2" t="s">
        <v>65</v>
      </c>
      <c r="F2">
        <v>174165</v>
      </c>
      <c r="G2" t="s">
        <v>72</v>
      </c>
      <c r="H2">
        <v>1</v>
      </c>
    </row>
    <row r="3" spans="1:8" x14ac:dyDescent="0.3">
      <c r="A3" t="s">
        <v>150</v>
      </c>
      <c r="B3">
        <v>2015</v>
      </c>
      <c r="C3" t="s">
        <v>310</v>
      </c>
      <c r="D3" t="s">
        <v>311</v>
      </c>
      <c r="E3" t="s">
        <v>65</v>
      </c>
      <c r="F3">
        <v>174165</v>
      </c>
      <c r="G3" t="s">
        <v>72</v>
      </c>
      <c r="H3">
        <v>1</v>
      </c>
    </row>
    <row r="4" spans="1:8" x14ac:dyDescent="0.3">
      <c r="A4" t="s">
        <v>150</v>
      </c>
      <c r="B4">
        <v>2016</v>
      </c>
      <c r="C4" t="s">
        <v>310</v>
      </c>
      <c r="D4" t="s">
        <v>311</v>
      </c>
      <c r="E4" t="s">
        <v>65</v>
      </c>
      <c r="F4">
        <v>174165</v>
      </c>
      <c r="G4" t="s">
        <v>72</v>
      </c>
      <c r="H4">
        <v>1</v>
      </c>
    </row>
    <row r="5" spans="1:8" x14ac:dyDescent="0.3">
      <c r="A5" t="s">
        <v>151</v>
      </c>
      <c r="B5">
        <v>2014</v>
      </c>
      <c r="C5" t="s">
        <v>310</v>
      </c>
      <c r="D5" t="s">
        <v>311</v>
      </c>
      <c r="E5" t="s">
        <v>65</v>
      </c>
      <c r="F5">
        <v>206132</v>
      </c>
      <c r="G5" t="s">
        <v>72</v>
      </c>
      <c r="H5">
        <v>1</v>
      </c>
    </row>
    <row r="6" spans="1:8" x14ac:dyDescent="0.3">
      <c r="A6" t="s">
        <v>151</v>
      </c>
      <c r="B6">
        <v>2015</v>
      </c>
      <c r="C6" t="s">
        <v>310</v>
      </c>
      <c r="D6" t="s">
        <v>311</v>
      </c>
      <c r="E6" t="s">
        <v>65</v>
      </c>
      <c r="F6">
        <v>206132</v>
      </c>
      <c r="G6" t="s">
        <v>72</v>
      </c>
      <c r="H6">
        <v>1</v>
      </c>
    </row>
    <row r="7" spans="1:8" x14ac:dyDescent="0.3">
      <c r="A7" t="s">
        <v>151</v>
      </c>
      <c r="B7">
        <v>2016</v>
      </c>
      <c r="C7" t="s">
        <v>310</v>
      </c>
      <c r="D7" t="s">
        <v>311</v>
      </c>
      <c r="E7" t="s">
        <v>65</v>
      </c>
      <c r="F7">
        <v>206132</v>
      </c>
      <c r="G7" t="s">
        <v>72</v>
      </c>
      <c r="H7">
        <v>1</v>
      </c>
    </row>
    <row r="8" spans="1:8" x14ac:dyDescent="0.3">
      <c r="A8" t="s">
        <v>312</v>
      </c>
      <c r="B8">
        <v>2015</v>
      </c>
      <c r="C8" t="s">
        <v>310</v>
      </c>
      <c r="D8" t="s">
        <v>311</v>
      </c>
      <c r="E8" t="s">
        <v>65</v>
      </c>
      <c r="F8">
        <v>533519</v>
      </c>
      <c r="G8" t="s">
        <v>83</v>
      </c>
      <c r="H8">
        <v>1</v>
      </c>
    </row>
    <row r="9" spans="1:8" x14ac:dyDescent="0.3">
      <c r="A9" t="s">
        <v>67</v>
      </c>
      <c r="B9">
        <v>2017</v>
      </c>
      <c r="C9" t="s">
        <v>310</v>
      </c>
      <c r="D9" t="s">
        <v>311</v>
      </c>
      <c r="E9" t="s">
        <v>65</v>
      </c>
      <c r="F9">
        <v>2400</v>
      </c>
      <c r="G9" t="s">
        <v>66</v>
      </c>
      <c r="H9">
        <v>1</v>
      </c>
    </row>
    <row r="10" spans="1:8" x14ac:dyDescent="0.3">
      <c r="A10" t="s">
        <v>67</v>
      </c>
      <c r="B10">
        <v>2021</v>
      </c>
      <c r="C10" t="s">
        <v>310</v>
      </c>
      <c r="D10" t="s">
        <v>311</v>
      </c>
      <c r="E10" t="s">
        <v>65</v>
      </c>
      <c r="F10">
        <v>2400</v>
      </c>
      <c r="G10" t="s">
        <v>66</v>
      </c>
      <c r="H10">
        <v>1</v>
      </c>
    </row>
    <row r="11" spans="1:8" x14ac:dyDescent="0.3">
      <c r="A11" t="s">
        <v>152</v>
      </c>
      <c r="B11">
        <v>2018</v>
      </c>
      <c r="C11" t="s">
        <v>310</v>
      </c>
      <c r="D11" t="s">
        <v>311</v>
      </c>
      <c r="E11" t="s">
        <v>65</v>
      </c>
      <c r="F11">
        <v>6750</v>
      </c>
      <c r="G11" t="s">
        <v>66</v>
      </c>
      <c r="H11">
        <v>20</v>
      </c>
    </row>
    <row r="12" spans="1:8" x14ac:dyDescent="0.3">
      <c r="A12" t="s">
        <v>152</v>
      </c>
      <c r="B12">
        <v>2019</v>
      </c>
      <c r="C12" t="s">
        <v>310</v>
      </c>
      <c r="D12" t="s">
        <v>311</v>
      </c>
      <c r="E12" t="s">
        <v>65</v>
      </c>
      <c r="F12">
        <v>6750</v>
      </c>
      <c r="G12" t="s">
        <v>66</v>
      </c>
      <c r="H12">
        <v>23</v>
      </c>
    </row>
    <row r="13" spans="1:8" x14ac:dyDescent="0.3">
      <c r="A13" t="s">
        <v>152</v>
      </c>
      <c r="B13">
        <v>2020</v>
      </c>
      <c r="C13" t="s">
        <v>310</v>
      </c>
      <c r="D13" t="s">
        <v>311</v>
      </c>
      <c r="E13" t="s">
        <v>65</v>
      </c>
      <c r="F13">
        <v>6750</v>
      </c>
      <c r="G13" t="s">
        <v>66</v>
      </c>
      <c r="H13">
        <v>24</v>
      </c>
    </row>
    <row r="14" spans="1:8" x14ac:dyDescent="0.3">
      <c r="A14" t="s">
        <v>152</v>
      </c>
      <c r="B14">
        <v>2021</v>
      </c>
      <c r="C14" t="s">
        <v>310</v>
      </c>
      <c r="D14" t="s">
        <v>311</v>
      </c>
      <c r="E14" t="s">
        <v>65</v>
      </c>
      <c r="F14">
        <v>6750</v>
      </c>
      <c r="G14" t="s">
        <v>66</v>
      </c>
      <c r="H14">
        <v>20</v>
      </c>
    </row>
    <row r="15" spans="1:8" x14ac:dyDescent="0.3">
      <c r="A15" t="s">
        <v>70</v>
      </c>
      <c r="B15">
        <v>2014</v>
      </c>
      <c r="C15" t="s">
        <v>310</v>
      </c>
      <c r="D15" t="s">
        <v>311</v>
      </c>
      <c r="E15" t="s">
        <v>65</v>
      </c>
      <c r="F15">
        <v>6850</v>
      </c>
      <c r="G15" t="s">
        <v>66</v>
      </c>
      <c r="H15">
        <v>1</v>
      </c>
    </row>
    <row r="16" spans="1:8" x14ac:dyDescent="0.3">
      <c r="A16" t="s">
        <v>70</v>
      </c>
      <c r="B16">
        <v>2017</v>
      </c>
      <c r="C16" t="s">
        <v>310</v>
      </c>
      <c r="D16" t="s">
        <v>311</v>
      </c>
      <c r="E16" t="s">
        <v>65</v>
      </c>
      <c r="F16">
        <v>6850</v>
      </c>
      <c r="G16" t="s">
        <v>66</v>
      </c>
      <c r="H16">
        <v>1</v>
      </c>
    </row>
    <row r="17" spans="1:8" x14ac:dyDescent="0.3">
      <c r="A17" t="s">
        <v>159</v>
      </c>
      <c r="B17">
        <v>2014</v>
      </c>
      <c r="C17" t="s">
        <v>310</v>
      </c>
      <c r="D17" t="s">
        <v>311</v>
      </c>
      <c r="E17" t="s">
        <v>65</v>
      </c>
      <c r="F17">
        <v>17120</v>
      </c>
      <c r="G17" t="s">
        <v>72</v>
      </c>
      <c r="H17">
        <v>2</v>
      </c>
    </row>
    <row r="18" spans="1:8" x14ac:dyDescent="0.3">
      <c r="A18" t="s">
        <v>159</v>
      </c>
      <c r="B18">
        <v>2015</v>
      </c>
      <c r="C18" t="s">
        <v>310</v>
      </c>
      <c r="D18" t="s">
        <v>311</v>
      </c>
      <c r="E18" t="s">
        <v>65</v>
      </c>
      <c r="F18">
        <v>17120</v>
      </c>
      <c r="G18" t="s">
        <v>72</v>
      </c>
      <c r="H18">
        <v>1</v>
      </c>
    </row>
    <row r="19" spans="1:8" x14ac:dyDescent="0.3">
      <c r="A19" t="s">
        <v>159</v>
      </c>
      <c r="B19">
        <v>2016</v>
      </c>
      <c r="C19" t="s">
        <v>310</v>
      </c>
      <c r="D19" t="s">
        <v>311</v>
      </c>
      <c r="E19" t="s">
        <v>65</v>
      </c>
      <c r="F19">
        <v>17120</v>
      </c>
      <c r="G19" t="s">
        <v>72</v>
      </c>
      <c r="H19">
        <v>2</v>
      </c>
    </row>
    <row r="20" spans="1:8" x14ac:dyDescent="0.3">
      <c r="A20" t="s">
        <v>159</v>
      </c>
      <c r="B20">
        <v>2017</v>
      </c>
      <c r="C20" t="s">
        <v>310</v>
      </c>
      <c r="D20" t="s">
        <v>311</v>
      </c>
      <c r="E20" t="s">
        <v>65</v>
      </c>
      <c r="F20">
        <v>17120</v>
      </c>
      <c r="G20" t="s">
        <v>72</v>
      </c>
      <c r="H20">
        <v>2</v>
      </c>
    </row>
    <row r="21" spans="1:8" x14ac:dyDescent="0.3">
      <c r="A21" t="s">
        <v>159</v>
      </c>
      <c r="B21">
        <v>2018</v>
      </c>
      <c r="C21" t="s">
        <v>310</v>
      </c>
      <c r="D21" t="s">
        <v>311</v>
      </c>
      <c r="E21" t="s">
        <v>65</v>
      </c>
      <c r="F21">
        <v>17120</v>
      </c>
      <c r="G21" t="s">
        <v>72</v>
      </c>
      <c r="H21">
        <v>9</v>
      </c>
    </row>
    <row r="22" spans="1:8" x14ac:dyDescent="0.3">
      <c r="A22" t="s">
        <v>159</v>
      </c>
      <c r="B22">
        <v>2019</v>
      </c>
      <c r="C22" t="s">
        <v>310</v>
      </c>
      <c r="D22" t="s">
        <v>311</v>
      </c>
      <c r="E22" t="s">
        <v>65</v>
      </c>
      <c r="F22">
        <v>17120</v>
      </c>
      <c r="G22" t="s">
        <v>72</v>
      </c>
      <c r="H22">
        <v>11</v>
      </c>
    </row>
    <row r="23" spans="1:8" x14ac:dyDescent="0.3">
      <c r="A23" t="s">
        <v>159</v>
      </c>
      <c r="B23">
        <v>2020</v>
      </c>
      <c r="C23" t="s">
        <v>310</v>
      </c>
      <c r="D23" t="s">
        <v>311</v>
      </c>
      <c r="E23" t="s">
        <v>65</v>
      </c>
      <c r="F23">
        <v>17120</v>
      </c>
      <c r="G23" t="s">
        <v>72</v>
      </c>
      <c r="H23">
        <v>3</v>
      </c>
    </row>
    <row r="24" spans="1:8" x14ac:dyDescent="0.3">
      <c r="A24" t="s">
        <v>159</v>
      </c>
      <c r="B24">
        <v>2021</v>
      </c>
      <c r="C24" t="s">
        <v>310</v>
      </c>
      <c r="D24" t="s">
        <v>311</v>
      </c>
      <c r="E24" t="s">
        <v>65</v>
      </c>
      <c r="F24">
        <v>17120</v>
      </c>
      <c r="G24" t="s">
        <v>72</v>
      </c>
      <c r="H24">
        <v>4</v>
      </c>
    </row>
    <row r="25" spans="1:8" x14ac:dyDescent="0.3">
      <c r="A25" t="s">
        <v>160</v>
      </c>
      <c r="B25">
        <v>2014</v>
      </c>
      <c r="C25" t="s">
        <v>310</v>
      </c>
      <c r="D25" t="s">
        <v>311</v>
      </c>
      <c r="E25" t="s">
        <v>65</v>
      </c>
      <c r="F25">
        <v>16500</v>
      </c>
      <c r="G25" t="s">
        <v>72</v>
      </c>
      <c r="H25">
        <v>3</v>
      </c>
    </row>
    <row r="26" spans="1:8" x14ac:dyDescent="0.3">
      <c r="A26" t="s">
        <v>160</v>
      </c>
      <c r="B26">
        <v>2015</v>
      </c>
      <c r="C26" t="s">
        <v>310</v>
      </c>
      <c r="D26" t="s">
        <v>311</v>
      </c>
      <c r="E26" t="s">
        <v>65</v>
      </c>
      <c r="F26">
        <v>16500</v>
      </c>
      <c r="G26" t="s">
        <v>72</v>
      </c>
      <c r="H26">
        <v>6</v>
      </c>
    </row>
    <row r="27" spans="1:8" x14ac:dyDescent="0.3">
      <c r="A27" t="s">
        <v>160</v>
      </c>
      <c r="B27">
        <v>2016</v>
      </c>
      <c r="C27" t="s">
        <v>310</v>
      </c>
      <c r="D27" t="s">
        <v>311</v>
      </c>
      <c r="E27" t="s">
        <v>65</v>
      </c>
      <c r="F27">
        <v>16500</v>
      </c>
      <c r="G27" t="s">
        <v>72</v>
      </c>
      <c r="H27">
        <v>12</v>
      </c>
    </row>
    <row r="28" spans="1:8" x14ac:dyDescent="0.3">
      <c r="A28" t="s">
        <v>160</v>
      </c>
      <c r="B28">
        <v>2017</v>
      </c>
      <c r="C28" t="s">
        <v>310</v>
      </c>
      <c r="D28" t="s">
        <v>311</v>
      </c>
      <c r="E28" t="s">
        <v>65</v>
      </c>
      <c r="F28">
        <v>16500</v>
      </c>
      <c r="G28" t="s">
        <v>72</v>
      </c>
      <c r="H28">
        <v>11</v>
      </c>
    </row>
    <row r="29" spans="1:8" x14ac:dyDescent="0.3">
      <c r="A29" t="s">
        <v>160</v>
      </c>
      <c r="B29">
        <v>2018</v>
      </c>
      <c r="C29" t="s">
        <v>310</v>
      </c>
      <c r="D29" t="s">
        <v>311</v>
      </c>
      <c r="E29" t="s">
        <v>65</v>
      </c>
      <c r="F29">
        <v>16500</v>
      </c>
      <c r="G29" t="s">
        <v>72</v>
      </c>
      <c r="H29">
        <v>11</v>
      </c>
    </row>
    <row r="30" spans="1:8" x14ac:dyDescent="0.3">
      <c r="A30" t="s">
        <v>160</v>
      </c>
      <c r="B30">
        <v>2019</v>
      </c>
      <c r="C30" t="s">
        <v>310</v>
      </c>
      <c r="D30" t="s">
        <v>311</v>
      </c>
      <c r="E30" t="s">
        <v>65</v>
      </c>
      <c r="F30">
        <v>16500</v>
      </c>
      <c r="G30" t="s">
        <v>72</v>
      </c>
      <c r="H30">
        <v>11</v>
      </c>
    </row>
    <row r="31" spans="1:8" x14ac:dyDescent="0.3">
      <c r="A31" t="s">
        <v>160</v>
      </c>
      <c r="B31">
        <v>2020</v>
      </c>
      <c r="C31" t="s">
        <v>310</v>
      </c>
      <c r="D31" t="s">
        <v>311</v>
      </c>
      <c r="E31" t="s">
        <v>65</v>
      </c>
      <c r="F31">
        <v>16500</v>
      </c>
      <c r="G31" t="s">
        <v>72</v>
      </c>
      <c r="H31">
        <v>7</v>
      </c>
    </row>
    <row r="32" spans="1:8" x14ac:dyDescent="0.3">
      <c r="A32" t="s">
        <v>160</v>
      </c>
      <c r="B32">
        <v>2021</v>
      </c>
      <c r="C32" t="s">
        <v>310</v>
      </c>
      <c r="D32" t="s">
        <v>311</v>
      </c>
      <c r="E32" t="s">
        <v>65</v>
      </c>
      <c r="F32">
        <v>16500</v>
      </c>
      <c r="G32" t="s">
        <v>72</v>
      </c>
      <c r="H32">
        <v>8</v>
      </c>
    </row>
    <row r="33" spans="1:8" x14ac:dyDescent="0.3">
      <c r="A33" t="s">
        <v>161</v>
      </c>
      <c r="B33">
        <v>2021</v>
      </c>
      <c r="C33" t="s">
        <v>310</v>
      </c>
      <c r="D33" t="s">
        <v>311</v>
      </c>
      <c r="E33" t="s">
        <v>65</v>
      </c>
      <c r="F33">
        <v>181200</v>
      </c>
      <c r="G33" t="s">
        <v>72</v>
      </c>
      <c r="H33">
        <v>1</v>
      </c>
    </row>
    <row r="34" spans="1:8" x14ac:dyDescent="0.3">
      <c r="A34" t="s">
        <v>162</v>
      </c>
      <c r="B34">
        <v>2016</v>
      </c>
      <c r="C34" t="s">
        <v>310</v>
      </c>
      <c r="D34" t="s">
        <v>311</v>
      </c>
      <c r="E34" t="s">
        <v>65</v>
      </c>
      <c r="F34">
        <v>93000</v>
      </c>
      <c r="G34" t="s">
        <v>72</v>
      </c>
      <c r="H34">
        <v>1</v>
      </c>
    </row>
    <row r="35" spans="1:8" x14ac:dyDescent="0.3">
      <c r="A35" t="s">
        <v>280</v>
      </c>
      <c r="B35">
        <v>2014</v>
      </c>
      <c r="C35" t="s">
        <v>310</v>
      </c>
      <c r="D35" t="s">
        <v>311</v>
      </c>
      <c r="E35" t="s">
        <v>65</v>
      </c>
      <c r="F35">
        <v>128100</v>
      </c>
      <c r="G35" t="s">
        <v>72</v>
      </c>
      <c r="H35">
        <v>1</v>
      </c>
    </row>
    <row r="36" spans="1:8" x14ac:dyDescent="0.3">
      <c r="A36" t="s">
        <v>165</v>
      </c>
      <c r="B36">
        <v>2021</v>
      </c>
      <c r="C36" t="s">
        <v>310</v>
      </c>
      <c r="D36" t="s">
        <v>311</v>
      </c>
      <c r="E36" t="s">
        <v>65</v>
      </c>
      <c r="F36">
        <v>150000</v>
      </c>
      <c r="G36" t="s">
        <v>72</v>
      </c>
      <c r="H36">
        <v>2</v>
      </c>
    </row>
    <row r="37" spans="1:8" x14ac:dyDescent="0.3">
      <c r="A37" t="s">
        <v>167</v>
      </c>
      <c r="B37">
        <v>2015</v>
      </c>
      <c r="C37" t="s">
        <v>310</v>
      </c>
      <c r="D37" t="s">
        <v>311</v>
      </c>
      <c r="E37" t="s">
        <v>65</v>
      </c>
      <c r="F37">
        <v>154500</v>
      </c>
      <c r="G37" t="s">
        <v>72</v>
      </c>
      <c r="H37">
        <v>1</v>
      </c>
    </row>
    <row r="38" spans="1:8" x14ac:dyDescent="0.3">
      <c r="A38" t="s">
        <v>167</v>
      </c>
      <c r="B38">
        <v>2019</v>
      </c>
      <c r="C38" t="s">
        <v>310</v>
      </c>
      <c r="D38" t="s">
        <v>311</v>
      </c>
      <c r="E38" t="s">
        <v>65</v>
      </c>
      <c r="F38">
        <v>154500</v>
      </c>
      <c r="G38" t="s">
        <v>72</v>
      </c>
      <c r="H38">
        <v>1</v>
      </c>
    </row>
    <row r="39" spans="1:8" x14ac:dyDescent="0.3">
      <c r="A39" t="s">
        <v>168</v>
      </c>
      <c r="B39">
        <v>2014</v>
      </c>
      <c r="C39" t="s">
        <v>310</v>
      </c>
      <c r="D39" t="s">
        <v>311</v>
      </c>
      <c r="E39" t="s">
        <v>65</v>
      </c>
      <c r="F39">
        <v>174200</v>
      </c>
      <c r="G39" t="s">
        <v>72</v>
      </c>
      <c r="H39">
        <v>3</v>
      </c>
    </row>
    <row r="40" spans="1:8" x14ac:dyDescent="0.3">
      <c r="A40" t="s">
        <v>168</v>
      </c>
      <c r="B40">
        <v>2015</v>
      </c>
      <c r="C40" t="s">
        <v>310</v>
      </c>
      <c r="D40" t="s">
        <v>311</v>
      </c>
      <c r="E40" t="s">
        <v>65</v>
      </c>
      <c r="F40">
        <v>174200</v>
      </c>
      <c r="G40" t="s">
        <v>72</v>
      </c>
      <c r="H40">
        <v>2</v>
      </c>
    </row>
    <row r="41" spans="1:8" x14ac:dyDescent="0.3">
      <c r="A41" t="s">
        <v>168</v>
      </c>
      <c r="B41">
        <v>2016</v>
      </c>
      <c r="C41" t="s">
        <v>310</v>
      </c>
      <c r="D41" t="s">
        <v>311</v>
      </c>
      <c r="E41" t="s">
        <v>65</v>
      </c>
      <c r="F41">
        <v>174200</v>
      </c>
      <c r="G41" t="s">
        <v>72</v>
      </c>
      <c r="H41">
        <v>2</v>
      </c>
    </row>
    <row r="42" spans="1:8" x14ac:dyDescent="0.3">
      <c r="A42" t="s">
        <v>170</v>
      </c>
      <c r="B42">
        <v>2020</v>
      </c>
      <c r="C42" t="s">
        <v>310</v>
      </c>
      <c r="D42" t="s">
        <v>311</v>
      </c>
      <c r="E42" t="s">
        <v>65</v>
      </c>
      <c r="F42">
        <v>255500</v>
      </c>
      <c r="G42" t="s">
        <v>83</v>
      </c>
      <c r="H42">
        <v>1</v>
      </c>
    </row>
    <row r="43" spans="1:8" x14ac:dyDescent="0.3">
      <c r="A43" t="s">
        <v>285</v>
      </c>
      <c r="B43">
        <v>2015</v>
      </c>
      <c r="C43" t="s">
        <v>310</v>
      </c>
      <c r="D43" t="s">
        <v>311</v>
      </c>
      <c r="E43" t="s">
        <v>65</v>
      </c>
      <c r="F43">
        <v>412000</v>
      </c>
      <c r="G43" t="s">
        <v>83</v>
      </c>
      <c r="H43">
        <v>1</v>
      </c>
    </row>
    <row r="44" spans="1:8" x14ac:dyDescent="0.3">
      <c r="A44" t="s">
        <v>285</v>
      </c>
      <c r="B44">
        <v>2019</v>
      </c>
      <c r="C44" t="s">
        <v>310</v>
      </c>
      <c r="D44" t="s">
        <v>311</v>
      </c>
      <c r="E44" t="s">
        <v>65</v>
      </c>
      <c r="F44">
        <v>412000</v>
      </c>
      <c r="G44" t="s">
        <v>83</v>
      </c>
      <c r="H44">
        <v>1</v>
      </c>
    </row>
    <row r="45" spans="1:8" x14ac:dyDescent="0.3">
      <c r="A45" t="s">
        <v>286</v>
      </c>
      <c r="B45">
        <v>2014</v>
      </c>
      <c r="C45" t="s">
        <v>310</v>
      </c>
      <c r="D45" t="s">
        <v>311</v>
      </c>
      <c r="E45" t="s">
        <v>65</v>
      </c>
      <c r="F45">
        <v>766000</v>
      </c>
      <c r="G45" t="s">
        <v>276</v>
      </c>
      <c r="H45">
        <v>1</v>
      </c>
    </row>
    <row r="46" spans="1:8" x14ac:dyDescent="0.3">
      <c r="A46" t="s">
        <v>289</v>
      </c>
      <c r="B46">
        <v>2015</v>
      </c>
      <c r="C46" t="s">
        <v>310</v>
      </c>
      <c r="D46" t="s">
        <v>311</v>
      </c>
      <c r="E46" t="s">
        <v>65</v>
      </c>
      <c r="F46">
        <v>775000</v>
      </c>
      <c r="G46" t="s">
        <v>276</v>
      </c>
      <c r="H46">
        <v>1</v>
      </c>
    </row>
    <row r="47" spans="1:8" x14ac:dyDescent="0.3">
      <c r="A47" t="s">
        <v>290</v>
      </c>
      <c r="B47">
        <v>2014</v>
      </c>
      <c r="C47" t="s">
        <v>310</v>
      </c>
      <c r="D47" t="s">
        <v>311</v>
      </c>
      <c r="E47" t="s">
        <v>65</v>
      </c>
      <c r="F47">
        <v>775000</v>
      </c>
      <c r="G47" t="s">
        <v>276</v>
      </c>
      <c r="H47">
        <v>1</v>
      </c>
    </row>
    <row r="48" spans="1:8" x14ac:dyDescent="0.3">
      <c r="A48" t="s">
        <v>174</v>
      </c>
      <c r="B48">
        <v>2014</v>
      </c>
      <c r="C48" t="s">
        <v>310</v>
      </c>
      <c r="D48" t="s">
        <v>311</v>
      </c>
      <c r="E48" t="s">
        <v>65</v>
      </c>
      <c r="F48">
        <v>11800</v>
      </c>
      <c r="G48" t="s">
        <v>72</v>
      </c>
      <c r="H48">
        <v>1</v>
      </c>
    </row>
    <row r="49" spans="1:8" x14ac:dyDescent="0.3">
      <c r="A49" t="s">
        <v>174</v>
      </c>
      <c r="B49">
        <v>2016</v>
      </c>
      <c r="C49" t="s">
        <v>310</v>
      </c>
      <c r="D49" t="s">
        <v>311</v>
      </c>
      <c r="E49" t="s">
        <v>65</v>
      </c>
      <c r="F49">
        <v>11800</v>
      </c>
      <c r="G49" t="s">
        <v>72</v>
      </c>
      <c r="H49">
        <v>1</v>
      </c>
    </row>
    <row r="50" spans="1:8" x14ac:dyDescent="0.3">
      <c r="A50" t="s">
        <v>174</v>
      </c>
      <c r="B50">
        <v>2017</v>
      </c>
      <c r="C50" t="s">
        <v>310</v>
      </c>
      <c r="D50" t="s">
        <v>311</v>
      </c>
      <c r="E50" t="s">
        <v>65</v>
      </c>
      <c r="F50">
        <v>11800</v>
      </c>
      <c r="G50" t="s">
        <v>72</v>
      </c>
      <c r="H50">
        <v>3</v>
      </c>
    </row>
    <row r="51" spans="1:8" x14ac:dyDescent="0.3">
      <c r="A51" t="s">
        <v>174</v>
      </c>
      <c r="B51">
        <v>2018</v>
      </c>
      <c r="C51" t="s">
        <v>310</v>
      </c>
      <c r="D51" t="s">
        <v>311</v>
      </c>
      <c r="E51" t="s">
        <v>65</v>
      </c>
      <c r="F51">
        <v>11800</v>
      </c>
      <c r="G51" t="s">
        <v>72</v>
      </c>
      <c r="H51">
        <v>1</v>
      </c>
    </row>
    <row r="52" spans="1:8" x14ac:dyDescent="0.3">
      <c r="A52" t="s">
        <v>174</v>
      </c>
      <c r="B52">
        <v>2019</v>
      </c>
      <c r="C52" t="s">
        <v>310</v>
      </c>
      <c r="D52" t="s">
        <v>311</v>
      </c>
      <c r="E52" t="s">
        <v>65</v>
      </c>
      <c r="F52">
        <v>11800</v>
      </c>
      <c r="G52" t="s">
        <v>72</v>
      </c>
      <c r="H52">
        <v>1</v>
      </c>
    </row>
    <row r="53" spans="1:8" x14ac:dyDescent="0.3">
      <c r="A53" t="s">
        <v>174</v>
      </c>
      <c r="B53">
        <v>2020</v>
      </c>
      <c r="C53" t="s">
        <v>310</v>
      </c>
      <c r="D53" t="s">
        <v>311</v>
      </c>
      <c r="E53" t="s">
        <v>65</v>
      </c>
      <c r="F53">
        <v>11800</v>
      </c>
      <c r="G53" t="s">
        <v>72</v>
      </c>
      <c r="H53">
        <v>1</v>
      </c>
    </row>
    <row r="54" spans="1:8" x14ac:dyDescent="0.3">
      <c r="A54" t="s">
        <v>174</v>
      </c>
      <c r="B54">
        <v>2021</v>
      </c>
      <c r="C54" t="s">
        <v>310</v>
      </c>
      <c r="D54" t="s">
        <v>311</v>
      </c>
      <c r="E54" t="s">
        <v>65</v>
      </c>
      <c r="F54">
        <v>11800</v>
      </c>
      <c r="G54" t="s">
        <v>72</v>
      </c>
      <c r="H54">
        <v>1</v>
      </c>
    </row>
    <row r="55" spans="1:8" x14ac:dyDescent="0.3">
      <c r="A55" t="s">
        <v>71</v>
      </c>
      <c r="B55">
        <v>2014</v>
      </c>
      <c r="C55" t="s">
        <v>310</v>
      </c>
      <c r="D55" t="s">
        <v>311</v>
      </c>
      <c r="E55" t="s">
        <v>65</v>
      </c>
      <c r="F55">
        <v>12500</v>
      </c>
      <c r="G55" t="s">
        <v>72</v>
      </c>
      <c r="H55">
        <v>7</v>
      </c>
    </row>
    <row r="56" spans="1:8" x14ac:dyDescent="0.3">
      <c r="A56" t="s">
        <v>71</v>
      </c>
      <c r="B56">
        <v>2015</v>
      </c>
      <c r="C56" t="s">
        <v>310</v>
      </c>
      <c r="D56" t="s">
        <v>311</v>
      </c>
      <c r="E56" t="s">
        <v>65</v>
      </c>
      <c r="F56">
        <v>12500</v>
      </c>
      <c r="G56" t="s">
        <v>72</v>
      </c>
      <c r="H56">
        <v>13</v>
      </c>
    </row>
    <row r="57" spans="1:8" x14ac:dyDescent="0.3">
      <c r="A57" t="s">
        <v>71</v>
      </c>
      <c r="B57">
        <v>2016</v>
      </c>
      <c r="C57" t="s">
        <v>310</v>
      </c>
      <c r="D57" t="s">
        <v>311</v>
      </c>
      <c r="E57" t="s">
        <v>65</v>
      </c>
      <c r="F57">
        <v>12500</v>
      </c>
      <c r="G57" t="s">
        <v>72</v>
      </c>
      <c r="H57">
        <v>18</v>
      </c>
    </row>
    <row r="58" spans="1:8" x14ac:dyDescent="0.3">
      <c r="A58" t="s">
        <v>71</v>
      </c>
      <c r="B58">
        <v>2017</v>
      </c>
      <c r="C58" t="s">
        <v>310</v>
      </c>
      <c r="D58" t="s">
        <v>311</v>
      </c>
      <c r="E58" t="s">
        <v>65</v>
      </c>
      <c r="F58">
        <v>12500</v>
      </c>
      <c r="G58" t="s">
        <v>72</v>
      </c>
      <c r="H58">
        <v>23</v>
      </c>
    </row>
    <row r="59" spans="1:8" x14ac:dyDescent="0.3">
      <c r="A59" t="s">
        <v>71</v>
      </c>
      <c r="B59">
        <v>2018</v>
      </c>
      <c r="C59" t="s">
        <v>310</v>
      </c>
      <c r="D59" t="s">
        <v>311</v>
      </c>
      <c r="E59" t="s">
        <v>65</v>
      </c>
      <c r="F59">
        <v>12500</v>
      </c>
      <c r="G59" t="s">
        <v>72</v>
      </c>
      <c r="H59">
        <v>18</v>
      </c>
    </row>
    <row r="60" spans="1:8" x14ac:dyDescent="0.3">
      <c r="A60" t="s">
        <v>71</v>
      </c>
      <c r="B60">
        <v>2019</v>
      </c>
      <c r="C60" t="s">
        <v>310</v>
      </c>
      <c r="D60" t="s">
        <v>311</v>
      </c>
      <c r="E60" t="s">
        <v>65</v>
      </c>
      <c r="F60">
        <v>12500</v>
      </c>
      <c r="G60" t="s">
        <v>72</v>
      </c>
      <c r="H60">
        <v>28</v>
      </c>
    </row>
    <row r="61" spans="1:8" x14ac:dyDescent="0.3">
      <c r="A61" t="s">
        <v>71</v>
      </c>
      <c r="B61">
        <v>2020</v>
      </c>
      <c r="C61" t="s">
        <v>310</v>
      </c>
      <c r="D61" t="s">
        <v>311</v>
      </c>
      <c r="E61" t="s">
        <v>65</v>
      </c>
      <c r="F61">
        <v>12500</v>
      </c>
      <c r="G61" t="s">
        <v>72</v>
      </c>
      <c r="H61">
        <v>30</v>
      </c>
    </row>
    <row r="62" spans="1:8" x14ac:dyDescent="0.3">
      <c r="A62" t="s">
        <v>71</v>
      </c>
      <c r="B62">
        <v>2021</v>
      </c>
      <c r="C62" t="s">
        <v>310</v>
      </c>
      <c r="D62" t="s">
        <v>311</v>
      </c>
      <c r="E62" t="s">
        <v>65</v>
      </c>
      <c r="F62">
        <v>12500</v>
      </c>
      <c r="G62" t="s">
        <v>72</v>
      </c>
      <c r="H62">
        <v>14</v>
      </c>
    </row>
    <row r="63" spans="1:8" x14ac:dyDescent="0.3">
      <c r="A63" t="s">
        <v>178</v>
      </c>
      <c r="B63">
        <v>2014</v>
      </c>
      <c r="C63" t="s">
        <v>310</v>
      </c>
      <c r="D63" t="s">
        <v>311</v>
      </c>
      <c r="E63" t="s">
        <v>65</v>
      </c>
      <c r="F63">
        <v>14000</v>
      </c>
      <c r="G63" t="s">
        <v>72</v>
      </c>
      <c r="H63">
        <v>1</v>
      </c>
    </row>
    <row r="64" spans="1:8" x14ac:dyDescent="0.3">
      <c r="A64" t="s">
        <v>178</v>
      </c>
      <c r="B64">
        <v>2015</v>
      </c>
      <c r="C64" t="s">
        <v>310</v>
      </c>
      <c r="D64" t="s">
        <v>311</v>
      </c>
      <c r="E64" t="s">
        <v>65</v>
      </c>
      <c r="F64">
        <v>14000</v>
      </c>
      <c r="G64" t="s">
        <v>72</v>
      </c>
      <c r="H64">
        <v>1</v>
      </c>
    </row>
    <row r="65" spans="1:8" x14ac:dyDescent="0.3">
      <c r="A65" t="s">
        <v>178</v>
      </c>
      <c r="B65">
        <v>2016</v>
      </c>
      <c r="C65" t="s">
        <v>310</v>
      </c>
      <c r="D65" t="s">
        <v>311</v>
      </c>
      <c r="E65" t="s">
        <v>65</v>
      </c>
      <c r="F65">
        <v>14000</v>
      </c>
      <c r="G65" t="s">
        <v>72</v>
      </c>
      <c r="H65">
        <v>6</v>
      </c>
    </row>
    <row r="66" spans="1:8" x14ac:dyDescent="0.3">
      <c r="A66" t="s">
        <v>178</v>
      </c>
      <c r="B66">
        <v>2018</v>
      </c>
      <c r="C66" t="s">
        <v>310</v>
      </c>
      <c r="D66" t="s">
        <v>311</v>
      </c>
      <c r="E66" t="s">
        <v>65</v>
      </c>
      <c r="F66">
        <v>14000</v>
      </c>
      <c r="G66" t="s">
        <v>72</v>
      </c>
      <c r="H66">
        <v>2</v>
      </c>
    </row>
    <row r="67" spans="1:8" x14ac:dyDescent="0.3">
      <c r="A67" t="s">
        <v>73</v>
      </c>
      <c r="B67">
        <v>2014</v>
      </c>
      <c r="C67" t="s">
        <v>310</v>
      </c>
      <c r="D67" t="s">
        <v>311</v>
      </c>
      <c r="E67" t="s">
        <v>65</v>
      </c>
      <c r="F67">
        <v>3500</v>
      </c>
      <c r="G67" t="s">
        <v>66</v>
      </c>
      <c r="H67">
        <v>1</v>
      </c>
    </row>
    <row r="68" spans="1:8" x14ac:dyDescent="0.3">
      <c r="A68" t="s">
        <v>73</v>
      </c>
      <c r="B68">
        <v>2015</v>
      </c>
      <c r="C68" t="s">
        <v>310</v>
      </c>
      <c r="D68" t="s">
        <v>311</v>
      </c>
      <c r="E68" t="s">
        <v>65</v>
      </c>
      <c r="F68">
        <v>3500</v>
      </c>
      <c r="G68" t="s">
        <v>66</v>
      </c>
      <c r="H68">
        <v>1</v>
      </c>
    </row>
    <row r="69" spans="1:8" x14ac:dyDescent="0.3">
      <c r="A69" t="s">
        <v>74</v>
      </c>
      <c r="B69">
        <v>2014</v>
      </c>
      <c r="C69" t="s">
        <v>310</v>
      </c>
      <c r="D69" t="s">
        <v>311</v>
      </c>
      <c r="E69" t="s">
        <v>65</v>
      </c>
      <c r="F69">
        <v>3400</v>
      </c>
      <c r="G69" t="s">
        <v>66</v>
      </c>
      <c r="H69">
        <v>2</v>
      </c>
    </row>
    <row r="70" spans="1:8" x14ac:dyDescent="0.3">
      <c r="A70" t="s">
        <v>74</v>
      </c>
      <c r="B70">
        <v>2015</v>
      </c>
      <c r="C70" t="s">
        <v>310</v>
      </c>
      <c r="D70" t="s">
        <v>311</v>
      </c>
      <c r="E70" t="s">
        <v>65</v>
      </c>
      <c r="F70">
        <v>3400</v>
      </c>
      <c r="G70" t="s">
        <v>66</v>
      </c>
      <c r="H70">
        <v>1</v>
      </c>
    </row>
    <row r="71" spans="1:8" x14ac:dyDescent="0.3">
      <c r="A71" t="s">
        <v>74</v>
      </c>
      <c r="B71">
        <v>2016</v>
      </c>
      <c r="C71" t="s">
        <v>310</v>
      </c>
      <c r="D71" t="s">
        <v>311</v>
      </c>
      <c r="E71" t="s">
        <v>65</v>
      </c>
      <c r="F71">
        <v>3400</v>
      </c>
      <c r="G71" t="s">
        <v>66</v>
      </c>
      <c r="H71">
        <v>1</v>
      </c>
    </row>
    <row r="72" spans="1:8" x14ac:dyDescent="0.3">
      <c r="A72" t="s">
        <v>74</v>
      </c>
      <c r="B72">
        <v>2018</v>
      </c>
      <c r="C72" t="s">
        <v>310</v>
      </c>
      <c r="D72" t="s">
        <v>311</v>
      </c>
      <c r="E72" t="s">
        <v>65</v>
      </c>
      <c r="F72">
        <v>3400</v>
      </c>
      <c r="G72" t="s">
        <v>66</v>
      </c>
      <c r="H72">
        <v>2</v>
      </c>
    </row>
    <row r="73" spans="1:8" x14ac:dyDescent="0.3">
      <c r="A73" t="s">
        <v>74</v>
      </c>
      <c r="B73">
        <v>2019</v>
      </c>
      <c r="C73" t="s">
        <v>310</v>
      </c>
      <c r="D73" t="s">
        <v>311</v>
      </c>
      <c r="E73" t="s">
        <v>65</v>
      </c>
      <c r="F73">
        <v>3400</v>
      </c>
      <c r="G73" t="s">
        <v>66</v>
      </c>
      <c r="H73">
        <v>2</v>
      </c>
    </row>
    <row r="74" spans="1:8" x14ac:dyDescent="0.3">
      <c r="A74" t="s">
        <v>74</v>
      </c>
      <c r="B74">
        <v>2020</v>
      </c>
      <c r="C74" t="s">
        <v>310</v>
      </c>
      <c r="D74" t="s">
        <v>311</v>
      </c>
      <c r="E74" t="s">
        <v>65</v>
      </c>
      <c r="F74">
        <v>3400</v>
      </c>
      <c r="G74" t="s">
        <v>66</v>
      </c>
      <c r="H74">
        <v>1</v>
      </c>
    </row>
    <row r="75" spans="1:8" x14ac:dyDescent="0.3">
      <c r="A75" t="s">
        <v>74</v>
      </c>
      <c r="B75">
        <v>2021</v>
      </c>
      <c r="C75" t="s">
        <v>310</v>
      </c>
      <c r="D75" t="s">
        <v>311</v>
      </c>
      <c r="E75" t="s">
        <v>65</v>
      </c>
      <c r="F75">
        <v>3400</v>
      </c>
      <c r="G75" t="s">
        <v>66</v>
      </c>
      <c r="H75">
        <v>2</v>
      </c>
    </row>
    <row r="76" spans="1:8" x14ac:dyDescent="0.3">
      <c r="A76" t="s">
        <v>75</v>
      </c>
      <c r="B76">
        <v>2015</v>
      </c>
      <c r="C76" t="s">
        <v>310</v>
      </c>
      <c r="D76" t="s">
        <v>311</v>
      </c>
      <c r="E76" t="s">
        <v>65</v>
      </c>
      <c r="F76">
        <v>3650</v>
      </c>
      <c r="G76" t="s">
        <v>66</v>
      </c>
      <c r="H76">
        <v>1</v>
      </c>
    </row>
    <row r="77" spans="1:8" x14ac:dyDescent="0.3">
      <c r="A77" t="s">
        <v>75</v>
      </c>
      <c r="B77">
        <v>2016</v>
      </c>
      <c r="C77" t="s">
        <v>310</v>
      </c>
      <c r="D77" t="s">
        <v>311</v>
      </c>
      <c r="E77" t="s">
        <v>65</v>
      </c>
      <c r="F77">
        <v>3650</v>
      </c>
      <c r="G77" t="s">
        <v>66</v>
      </c>
      <c r="H77">
        <v>3</v>
      </c>
    </row>
    <row r="78" spans="1:8" x14ac:dyDescent="0.3">
      <c r="A78" t="s">
        <v>75</v>
      </c>
      <c r="B78">
        <v>2017</v>
      </c>
      <c r="C78" t="s">
        <v>310</v>
      </c>
      <c r="D78" t="s">
        <v>311</v>
      </c>
      <c r="E78" t="s">
        <v>65</v>
      </c>
      <c r="F78">
        <v>3650</v>
      </c>
      <c r="G78" t="s">
        <v>66</v>
      </c>
      <c r="H78">
        <v>4</v>
      </c>
    </row>
    <row r="79" spans="1:8" x14ac:dyDescent="0.3">
      <c r="A79" t="s">
        <v>75</v>
      </c>
      <c r="B79">
        <v>2018</v>
      </c>
      <c r="C79" t="s">
        <v>310</v>
      </c>
      <c r="D79" t="s">
        <v>311</v>
      </c>
      <c r="E79" t="s">
        <v>65</v>
      </c>
      <c r="F79">
        <v>3650</v>
      </c>
      <c r="G79" t="s">
        <v>66</v>
      </c>
      <c r="H79">
        <v>8</v>
      </c>
    </row>
    <row r="80" spans="1:8" x14ac:dyDescent="0.3">
      <c r="A80" t="s">
        <v>75</v>
      </c>
      <c r="B80">
        <v>2019</v>
      </c>
      <c r="C80" t="s">
        <v>310</v>
      </c>
      <c r="D80" t="s">
        <v>311</v>
      </c>
      <c r="E80" t="s">
        <v>65</v>
      </c>
      <c r="F80">
        <v>3650</v>
      </c>
      <c r="G80" t="s">
        <v>66</v>
      </c>
      <c r="H80">
        <v>3</v>
      </c>
    </row>
    <row r="81" spans="1:8" x14ac:dyDescent="0.3">
      <c r="A81" t="s">
        <v>75</v>
      </c>
      <c r="B81">
        <v>2020</v>
      </c>
      <c r="C81" t="s">
        <v>310</v>
      </c>
      <c r="D81" t="s">
        <v>311</v>
      </c>
      <c r="E81" t="s">
        <v>65</v>
      </c>
      <c r="F81">
        <v>3650</v>
      </c>
      <c r="G81" t="s">
        <v>66</v>
      </c>
      <c r="H81">
        <v>5</v>
      </c>
    </row>
    <row r="82" spans="1:8" x14ac:dyDescent="0.3">
      <c r="A82" t="s">
        <v>75</v>
      </c>
      <c r="B82">
        <v>2021</v>
      </c>
      <c r="C82" t="s">
        <v>310</v>
      </c>
      <c r="D82" t="s">
        <v>311</v>
      </c>
      <c r="E82" t="s">
        <v>65</v>
      </c>
      <c r="F82">
        <v>3650</v>
      </c>
      <c r="G82" t="s">
        <v>66</v>
      </c>
      <c r="H82">
        <v>4</v>
      </c>
    </row>
    <row r="83" spans="1:8" x14ac:dyDescent="0.3">
      <c r="A83" t="s">
        <v>179</v>
      </c>
      <c r="B83">
        <v>2014</v>
      </c>
      <c r="C83" t="s">
        <v>310</v>
      </c>
      <c r="D83" t="s">
        <v>311</v>
      </c>
      <c r="E83" t="s">
        <v>65</v>
      </c>
      <c r="F83">
        <v>16100</v>
      </c>
      <c r="G83" t="s">
        <v>66</v>
      </c>
      <c r="H83">
        <v>12</v>
      </c>
    </row>
    <row r="84" spans="1:8" x14ac:dyDescent="0.3">
      <c r="A84" t="s">
        <v>179</v>
      </c>
      <c r="B84">
        <v>2015</v>
      </c>
      <c r="C84" t="s">
        <v>310</v>
      </c>
      <c r="D84" t="s">
        <v>311</v>
      </c>
      <c r="E84" t="s">
        <v>65</v>
      </c>
      <c r="F84">
        <v>16100</v>
      </c>
      <c r="G84" t="s">
        <v>66</v>
      </c>
      <c r="H84">
        <v>11</v>
      </c>
    </row>
    <row r="85" spans="1:8" x14ac:dyDescent="0.3">
      <c r="A85" t="s">
        <v>179</v>
      </c>
      <c r="B85">
        <v>2016</v>
      </c>
      <c r="C85" t="s">
        <v>310</v>
      </c>
      <c r="D85" t="s">
        <v>311</v>
      </c>
      <c r="E85" t="s">
        <v>65</v>
      </c>
      <c r="F85">
        <v>16100</v>
      </c>
      <c r="G85" t="s">
        <v>66</v>
      </c>
      <c r="H85">
        <v>10</v>
      </c>
    </row>
    <row r="86" spans="1:8" x14ac:dyDescent="0.3">
      <c r="A86" t="s">
        <v>179</v>
      </c>
      <c r="B86">
        <v>2017</v>
      </c>
      <c r="C86" t="s">
        <v>310</v>
      </c>
      <c r="D86" t="s">
        <v>311</v>
      </c>
      <c r="E86" t="s">
        <v>65</v>
      </c>
      <c r="F86">
        <v>16100</v>
      </c>
      <c r="G86" t="s">
        <v>66</v>
      </c>
      <c r="H86">
        <v>16</v>
      </c>
    </row>
    <row r="87" spans="1:8" x14ac:dyDescent="0.3">
      <c r="A87" t="s">
        <v>179</v>
      </c>
      <c r="B87">
        <v>2018</v>
      </c>
      <c r="C87" t="s">
        <v>310</v>
      </c>
      <c r="D87" t="s">
        <v>311</v>
      </c>
      <c r="E87" t="s">
        <v>65</v>
      </c>
      <c r="F87">
        <v>16100</v>
      </c>
      <c r="G87" t="s">
        <v>66</v>
      </c>
      <c r="H87">
        <v>17</v>
      </c>
    </row>
    <row r="88" spans="1:8" x14ac:dyDescent="0.3">
      <c r="A88" t="s">
        <v>179</v>
      </c>
      <c r="B88">
        <v>2019</v>
      </c>
      <c r="C88" t="s">
        <v>310</v>
      </c>
      <c r="D88" t="s">
        <v>311</v>
      </c>
      <c r="E88" t="s">
        <v>65</v>
      </c>
      <c r="F88">
        <v>16100</v>
      </c>
      <c r="G88" t="s">
        <v>66</v>
      </c>
      <c r="H88">
        <v>5</v>
      </c>
    </row>
    <row r="89" spans="1:8" x14ac:dyDescent="0.3">
      <c r="A89" t="s">
        <v>179</v>
      </c>
      <c r="B89">
        <v>2020</v>
      </c>
      <c r="C89" t="s">
        <v>310</v>
      </c>
      <c r="D89" t="s">
        <v>311</v>
      </c>
      <c r="E89" t="s">
        <v>65</v>
      </c>
      <c r="F89">
        <v>16100</v>
      </c>
      <c r="G89" t="s">
        <v>66</v>
      </c>
      <c r="H89">
        <v>3</v>
      </c>
    </row>
    <row r="90" spans="1:8" x14ac:dyDescent="0.3">
      <c r="A90" t="s">
        <v>179</v>
      </c>
      <c r="B90">
        <v>2021</v>
      </c>
      <c r="C90" t="s">
        <v>310</v>
      </c>
      <c r="D90" t="s">
        <v>311</v>
      </c>
      <c r="E90" t="s">
        <v>65</v>
      </c>
      <c r="F90">
        <v>16100</v>
      </c>
      <c r="G90" t="s">
        <v>66</v>
      </c>
      <c r="H90">
        <v>9</v>
      </c>
    </row>
    <row r="91" spans="1:8" x14ac:dyDescent="0.3">
      <c r="A91" t="s">
        <v>76</v>
      </c>
      <c r="B91">
        <v>2014</v>
      </c>
      <c r="C91" t="s">
        <v>310</v>
      </c>
      <c r="D91" t="s">
        <v>311</v>
      </c>
      <c r="E91" t="s">
        <v>65</v>
      </c>
      <c r="F91">
        <v>5300</v>
      </c>
      <c r="G91" t="s">
        <v>66</v>
      </c>
      <c r="H91">
        <v>1</v>
      </c>
    </row>
    <row r="92" spans="1:8" x14ac:dyDescent="0.3">
      <c r="A92" t="s">
        <v>76</v>
      </c>
      <c r="B92">
        <v>2016</v>
      </c>
      <c r="C92" t="s">
        <v>310</v>
      </c>
      <c r="D92" t="s">
        <v>311</v>
      </c>
      <c r="E92" t="s">
        <v>65</v>
      </c>
      <c r="F92">
        <v>5300</v>
      </c>
      <c r="G92" t="s">
        <v>66</v>
      </c>
      <c r="H92">
        <v>1</v>
      </c>
    </row>
    <row r="93" spans="1:8" x14ac:dyDescent="0.3">
      <c r="A93" t="s">
        <v>76</v>
      </c>
      <c r="B93">
        <v>2017</v>
      </c>
      <c r="C93" t="s">
        <v>310</v>
      </c>
      <c r="D93" t="s">
        <v>311</v>
      </c>
      <c r="E93" t="s">
        <v>65</v>
      </c>
      <c r="F93">
        <v>5300</v>
      </c>
      <c r="G93" t="s">
        <v>66</v>
      </c>
      <c r="H93">
        <v>2</v>
      </c>
    </row>
    <row r="94" spans="1:8" x14ac:dyDescent="0.3">
      <c r="A94" t="s">
        <v>77</v>
      </c>
      <c r="B94">
        <v>2014</v>
      </c>
      <c r="C94" t="s">
        <v>310</v>
      </c>
      <c r="D94" t="s">
        <v>311</v>
      </c>
      <c r="E94" t="s">
        <v>65</v>
      </c>
      <c r="F94">
        <v>5500</v>
      </c>
      <c r="G94" t="s">
        <v>66</v>
      </c>
      <c r="H94">
        <v>10</v>
      </c>
    </row>
    <row r="95" spans="1:8" x14ac:dyDescent="0.3">
      <c r="A95" t="s">
        <v>77</v>
      </c>
      <c r="B95">
        <v>2015</v>
      </c>
      <c r="C95" t="s">
        <v>310</v>
      </c>
      <c r="D95" t="s">
        <v>311</v>
      </c>
      <c r="E95" t="s">
        <v>65</v>
      </c>
      <c r="F95">
        <v>5500</v>
      </c>
      <c r="G95" t="s">
        <v>66</v>
      </c>
      <c r="H95">
        <v>6</v>
      </c>
    </row>
    <row r="96" spans="1:8" x14ac:dyDescent="0.3">
      <c r="A96" t="s">
        <v>77</v>
      </c>
      <c r="B96">
        <v>2016</v>
      </c>
      <c r="C96" t="s">
        <v>310</v>
      </c>
      <c r="D96" t="s">
        <v>311</v>
      </c>
      <c r="E96" t="s">
        <v>65</v>
      </c>
      <c r="F96">
        <v>5500</v>
      </c>
      <c r="G96" t="s">
        <v>66</v>
      </c>
      <c r="H96">
        <v>3</v>
      </c>
    </row>
    <row r="97" spans="1:8" x14ac:dyDescent="0.3">
      <c r="A97" t="s">
        <v>77</v>
      </c>
      <c r="B97">
        <v>2017</v>
      </c>
      <c r="C97" t="s">
        <v>310</v>
      </c>
      <c r="D97" t="s">
        <v>311</v>
      </c>
      <c r="E97" t="s">
        <v>65</v>
      </c>
      <c r="F97">
        <v>5500</v>
      </c>
      <c r="G97" t="s">
        <v>66</v>
      </c>
      <c r="H97">
        <v>4</v>
      </c>
    </row>
    <row r="98" spans="1:8" x14ac:dyDescent="0.3">
      <c r="A98" t="s">
        <v>77</v>
      </c>
      <c r="B98">
        <v>2018</v>
      </c>
      <c r="C98" t="s">
        <v>310</v>
      </c>
      <c r="D98" t="s">
        <v>311</v>
      </c>
      <c r="E98" t="s">
        <v>65</v>
      </c>
      <c r="F98">
        <v>5500</v>
      </c>
      <c r="G98" t="s">
        <v>66</v>
      </c>
      <c r="H98">
        <v>1</v>
      </c>
    </row>
    <row r="99" spans="1:8" x14ac:dyDescent="0.3">
      <c r="A99" t="s">
        <v>77</v>
      </c>
      <c r="B99">
        <v>2019</v>
      </c>
      <c r="C99" t="s">
        <v>310</v>
      </c>
      <c r="D99" t="s">
        <v>311</v>
      </c>
      <c r="E99" t="s">
        <v>65</v>
      </c>
      <c r="F99">
        <v>5500</v>
      </c>
      <c r="G99" t="s">
        <v>66</v>
      </c>
      <c r="H99">
        <v>2</v>
      </c>
    </row>
    <row r="100" spans="1:8" x14ac:dyDescent="0.3">
      <c r="A100" t="s">
        <v>77</v>
      </c>
      <c r="B100">
        <v>2020</v>
      </c>
      <c r="C100" t="s">
        <v>310</v>
      </c>
      <c r="D100" t="s">
        <v>311</v>
      </c>
      <c r="E100" t="s">
        <v>65</v>
      </c>
      <c r="F100">
        <v>5500</v>
      </c>
      <c r="G100" t="s">
        <v>66</v>
      </c>
      <c r="H100">
        <v>1</v>
      </c>
    </row>
    <row r="101" spans="1:8" x14ac:dyDescent="0.3">
      <c r="A101" t="s">
        <v>77</v>
      </c>
      <c r="B101">
        <v>2021</v>
      </c>
      <c r="C101" t="s">
        <v>310</v>
      </c>
      <c r="D101" t="s">
        <v>311</v>
      </c>
      <c r="E101" t="s">
        <v>65</v>
      </c>
      <c r="F101">
        <v>5500</v>
      </c>
      <c r="G101" t="s">
        <v>66</v>
      </c>
      <c r="H101">
        <v>1</v>
      </c>
    </row>
    <row r="102" spans="1:8" x14ac:dyDescent="0.3">
      <c r="A102" t="s">
        <v>182</v>
      </c>
      <c r="B102">
        <v>2019</v>
      </c>
      <c r="C102" t="s">
        <v>310</v>
      </c>
      <c r="D102" t="s">
        <v>311</v>
      </c>
      <c r="E102" t="s">
        <v>65</v>
      </c>
      <c r="F102">
        <v>10400</v>
      </c>
      <c r="G102" t="s">
        <v>72</v>
      </c>
      <c r="H102">
        <v>2</v>
      </c>
    </row>
    <row r="103" spans="1:8" x14ac:dyDescent="0.3">
      <c r="A103" t="s">
        <v>182</v>
      </c>
      <c r="B103">
        <v>2020</v>
      </c>
      <c r="C103" t="s">
        <v>310</v>
      </c>
      <c r="D103" t="s">
        <v>311</v>
      </c>
      <c r="E103" t="s">
        <v>65</v>
      </c>
      <c r="F103">
        <v>10400</v>
      </c>
      <c r="G103" t="s">
        <v>72</v>
      </c>
      <c r="H103">
        <v>8</v>
      </c>
    </row>
    <row r="104" spans="1:8" x14ac:dyDescent="0.3">
      <c r="A104" t="s">
        <v>182</v>
      </c>
      <c r="B104">
        <v>2021</v>
      </c>
      <c r="C104" t="s">
        <v>310</v>
      </c>
      <c r="D104" t="s">
        <v>311</v>
      </c>
      <c r="E104" t="s">
        <v>65</v>
      </c>
      <c r="F104">
        <v>10400</v>
      </c>
      <c r="G104" t="s">
        <v>72</v>
      </c>
      <c r="H104">
        <v>14</v>
      </c>
    </row>
    <row r="105" spans="1:8" x14ac:dyDescent="0.3">
      <c r="A105" t="s">
        <v>80</v>
      </c>
      <c r="B105">
        <v>2014</v>
      </c>
      <c r="C105" t="s">
        <v>310</v>
      </c>
      <c r="D105" t="s">
        <v>311</v>
      </c>
      <c r="E105" t="s">
        <v>65</v>
      </c>
      <c r="F105">
        <v>10097</v>
      </c>
      <c r="G105" t="s">
        <v>72</v>
      </c>
      <c r="H105">
        <v>1</v>
      </c>
    </row>
    <row r="106" spans="1:8" x14ac:dyDescent="0.3">
      <c r="A106" t="s">
        <v>80</v>
      </c>
      <c r="B106">
        <v>2015</v>
      </c>
      <c r="C106" t="s">
        <v>310</v>
      </c>
      <c r="D106" t="s">
        <v>311</v>
      </c>
      <c r="E106" t="s">
        <v>65</v>
      </c>
      <c r="F106">
        <v>10097</v>
      </c>
      <c r="G106" t="s">
        <v>72</v>
      </c>
      <c r="H106">
        <v>4</v>
      </c>
    </row>
    <row r="107" spans="1:8" x14ac:dyDescent="0.3">
      <c r="A107" t="s">
        <v>80</v>
      </c>
      <c r="B107">
        <v>2016</v>
      </c>
      <c r="C107" t="s">
        <v>310</v>
      </c>
      <c r="D107" t="s">
        <v>311</v>
      </c>
      <c r="E107" t="s">
        <v>65</v>
      </c>
      <c r="F107">
        <v>10097</v>
      </c>
      <c r="G107" t="s">
        <v>72</v>
      </c>
      <c r="H107">
        <v>3</v>
      </c>
    </row>
    <row r="108" spans="1:8" x14ac:dyDescent="0.3">
      <c r="A108" t="s">
        <v>80</v>
      </c>
      <c r="B108">
        <v>2017</v>
      </c>
      <c r="C108" t="s">
        <v>310</v>
      </c>
      <c r="D108" t="s">
        <v>311</v>
      </c>
      <c r="E108" t="s">
        <v>65</v>
      </c>
      <c r="F108">
        <v>10097</v>
      </c>
      <c r="G108" t="s">
        <v>72</v>
      </c>
      <c r="H108">
        <v>2</v>
      </c>
    </row>
    <row r="109" spans="1:8" x14ac:dyDescent="0.3">
      <c r="A109" t="s">
        <v>80</v>
      </c>
      <c r="B109">
        <v>2018</v>
      </c>
      <c r="C109" t="s">
        <v>310</v>
      </c>
      <c r="D109" t="s">
        <v>311</v>
      </c>
      <c r="E109" t="s">
        <v>65</v>
      </c>
      <c r="F109">
        <v>10097</v>
      </c>
      <c r="G109" t="s">
        <v>72</v>
      </c>
      <c r="H109">
        <v>4</v>
      </c>
    </row>
    <row r="110" spans="1:8" x14ac:dyDescent="0.3">
      <c r="A110" t="s">
        <v>80</v>
      </c>
      <c r="B110">
        <v>2019</v>
      </c>
      <c r="C110" t="s">
        <v>310</v>
      </c>
      <c r="D110" t="s">
        <v>311</v>
      </c>
      <c r="E110" t="s">
        <v>65</v>
      </c>
      <c r="F110">
        <v>10097</v>
      </c>
      <c r="G110" t="s">
        <v>72</v>
      </c>
      <c r="H110">
        <v>21</v>
      </c>
    </row>
    <row r="111" spans="1:8" x14ac:dyDescent="0.3">
      <c r="A111" t="s">
        <v>80</v>
      </c>
      <c r="B111">
        <v>2020</v>
      </c>
      <c r="C111" t="s">
        <v>310</v>
      </c>
      <c r="D111" t="s">
        <v>311</v>
      </c>
      <c r="E111" t="s">
        <v>65</v>
      </c>
      <c r="F111">
        <v>10097</v>
      </c>
      <c r="G111" t="s">
        <v>72</v>
      </c>
      <c r="H111">
        <v>11</v>
      </c>
    </row>
    <row r="112" spans="1:8" x14ac:dyDescent="0.3">
      <c r="A112" t="s">
        <v>80</v>
      </c>
      <c r="B112">
        <v>2021</v>
      </c>
      <c r="C112" t="s">
        <v>310</v>
      </c>
      <c r="D112" t="s">
        <v>311</v>
      </c>
      <c r="E112" t="s">
        <v>65</v>
      </c>
      <c r="F112">
        <v>10097</v>
      </c>
      <c r="G112" t="s">
        <v>72</v>
      </c>
      <c r="H112">
        <v>11</v>
      </c>
    </row>
    <row r="113" spans="1:8" x14ac:dyDescent="0.3">
      <c r="A113" t="s">
        <v>81</v>
      </c>
      <c r="B113">
        <v>2018</v>
      </c>
      <c r="C113" t="s">
        <v>310</v>
      </c>
      <c r="D113" t="s">
        <v>311</v>
      </c>
      <c r="E113" t="s">
        <v>65</v>
      </c>
      <c r="F113">
        <v>3325</v>
      </c>
      <c r="G113" t="s">
        <v>66</v>
      </c>
      <c r="H113">
        <v>1</v>
      </c>
    </row>
    <row r="114" spans="1:8" x14ac:dyDescent="0.3">
      <c r="A114" t="s">
        <v>82</v>
      </c>
      <c r="B114">
        <v>2017</v>
      </c>
      <c r="C114" t="s">
        <v>310</v>
      </c>
      <c r="D114" t="s">
        <v>311</v>
      </c>
      <c r="E114" t="s">
        <v>65</v>
      </c>
      <c r="F114">
        <v>155000</v>
      </c>
      <c r="G114" t="s">
        <v>83</v>
      </c>
      <c r="H114">
        <v>1</v>
      </c>
    </row>
    <row r="115" spans="1:8" x14ac:dyDescent="0.3">
      <c r="A115" t="s">
        <v>82</v>
      </c>
      <c r="B115">
        <v>2018</v>
      </c>
      <c r="C115" t="s">
        <v>310</v>
      </c>
      <c r="D115" t="s">
        <v>311</v>
      </c>
      <c r="E115" t="s">
        <v>65</v>
      </c>
      <c r="F115">
        <v>155000</v>
      </c>
      <c r="G115" t="s">
        <v>83</v>
      </c>
      <c r="H115">
        <v>1</v>
      </c>
    </row>
    <row r="116" spans="1:8" x14ac:dyDescent="0.3">
      <c r="A116" t="s">
        <v>186</v>
      </c>
      <c r="B116">
        <v>2019</v>
      </c>
      <c r="C116" t="s">
        <v>310</v>
      </c>
      <c r="D116" t="s">
        <v>311</v>
      </c>
      <c r="E116" t="s">
        <v>65</v>
      </c>
      <c r="F116">
        <v>585000</v>
      </c>
      <c r="G116" t="s">
        <v>83</v>
      </c>
      <c r="H116">
        <v>1</v>
      </c>
    </row>
    <row r="117" spans="1:8" x14ac:dyDescent="0.3">
      <c r="A117" t="s">
        <v>86</v>
      </c>
      <c r="B117">
        <v>2015</v>
      </c>
      <c r="C117" t="s">
        <v>310</v>
      </c>
      <c r="D117" t="s">
        <v>311</v>
      </c>
      <c r="E117" t="s">
        <v>65</v>
      </c>
      <c r="F117">
        <v>2450</v>
      </c>
      <c r="G117" t="s">
        <v>66</v>
      </c>
      <c r="H117">
        <v>2</v>
      </c>
    </row>
    <row r="118" spans="1:8" x14ac:dyDescent="0.3">
      <c r="A118" t="s">
        <v>86</v>
      </c>
      <c r="B118">
        <v>2016</v>
      </c>
      <c r="C118" t="s">
        <v>310</v>
      </c>
      <c r="D118" t="s">
        <v>311</v>
      </c>
      <c r="E118" t="s">
        <v>65</v>
      </c>
      <c r="F118">
        <v>2450</v>
      </c>
      <c r="G118" t="s">
        <v>66</v>
      </c>
      <c r="H118">
        <v>4</v>
      </c>
    </row>
    <row r="119" spans="1:8" x14ac:dyDescent="0.3">
      <c r="A119" t="s">
        <v>86</v>
      </c>
      <c r="B119">
        <v>2017</v>
      </c>
      <c r="C119" t="s">
        <v>310</v>
      </c>
      <c r="D119" t="s">
        <v>311</v>
      </c>
      <c r="E119" t="s">
        <v>65</v>
      </c>
      <c r="F119">
        <v>2450</v>
      </c>
      <c r="G119" t="s">
        <v>66</v>
      </c>
      <c r="H119">
        <v>7</v>
      </c>
    </row>
    <row r="120" spans="1:8" x14ac:dyDescent="0.3">
      <c r="A120" t="s">
        <v>86</v>
      </c>
      <c r="B120">
        <v>2018</v>
      </c>
      <c r="C120" t="s">
        <v>310</v>
      </c>
      <c r="D120" t="s">
        <v>311</v>
      </c>
      <c r="E120" t="s">
        <v>65</v>
      </c>
      <c r="F120">
        <v>2450</v>
      </c>
      <c r="G120" t="s">
        <v>66</v>
      </c>
      <c r="H120">
        <v>3</v>
      </c>
    </row>
    <row r="121" spans="1:8" x14ac:dyDescent="0.3">
      <c r="A121" t="s">
        <v>86</v>
      </c>
      <c r="B121">
        <v>2019</v>
      </c>
      <c r="C121" t="s">
        <v>310</v>
      </c>
      <c r="D121" t="s">
        <v>311</v>
      </c>
      <c r="E121" t="s">
        <v>65</v>
      </c>
      <c r="F121">
        <v>2450</v>
      </c>
      <c r="G121" t="s">
        <v>66</v>
      </c>
      <c r="H121">
        <v>9</v>
      </c>
    </row>
    <row r="122" spans="1:8" x14ac:dyDescent="0.3">
      <c r="A122" t="s">
        <v>86</v>
      </c>
      <c r="B122">
        <v>2020</v>
      </c>
      <c r="C122" t="s">
        <v>310</v>
      </c>
      <c r="D122" t="s">
        <v>311</v>
      </c>
      <c r="E122" t="s">
        <v>65</v>
      </c>
      <c r="F122">
        <v>2450</v>
      </c>
      <c r="G122" t="s">
        <v>66</v>
      </c>
      <c r="H122">
        <v>3</v>
      </c>
    </row>
    <row r="123" spans="1:8" x14ac:dyDescent="0.3">
      <c r="A123" t="s">
        <v>86</v>
      </c>
      <c r="B123">
        <v>2021</v>
      </c>
      <c r="C123" t="s">
        <v>310</v>
      </c>
      <c r="D123" t="s">
        <v>311</v>
      </c>
      <c r="E123" t="s">
        <v>65</v>
      </c>
      <c r="F123">
        <v>2450</v>
      </c>
      <c r="G123" t="s">
        <v>66</v>
      </c>
      <c r="H123">
        <v>11</v>
      </c>
    </row>
    <row r="124" spans="1:8" x14ac:dyDescent="0.3">
      <c r="A124" t="s">
        <v>87</v>
      </c>
      <c r="B124">
        <v>2015</v>
      </c>
      <c r="C124" t="s">
        <v>310</v>
      </c>
      <c r="D124" t="s">
        <v>311</v>
      </c>
      <c r="E124" t="s">
        <v>65</v>
      </c>
      <c r="F124">
        <v>2500</v>
      </c>
      <c r="G124" t="s">
        <v>66</v>
      </c>
      <c r="H124">
        <v>1</v>
      </c>
    </row>
    <row r="125" spans="1:8" x14ac:dyDescent="0.3">
      <c r="A125" t="s">
        <v>87</v>
      </c>
      <c r="B125">
        <v>2017</v>
      </c>
      <c r="C125" t="s">
        <v>310</v>
      </c>
      <c r="D125" t="s">
        <v>311</v>
      </c>
      <c r="E125" t="s">
        <v>65</v>
      </c>
      <c r="F125">
        <v>2500</v>
      </c>
      <c r="G125" t="s">
        <v>66</v>
      </c>
      <c r="H125">
        <v>1</v>
      </c>
    </row>
    <row r="126" spans="1:8" x14ac:dyDescent="0.3">
      <c r="A126" t="s">
        <v>87</v>
      </c>
      <c r="B126">
        <v>2019</v>
      </c>
      <c r="C126" t="s">
        <v>310</v>
      </c>
      <c r="D126" t="s">
        <v>311</v>
      </c>
      <c r="E126" t="s">
        <v>65</v>
      </c>
      <c r="F126">
        <v>2500</v>
      </c>
      <c r="G126" t="s">
        <v>66</v>
      </c>
      <c r="H126">
        <v>2</v>
      </c>
    </row>
    <row r="127" spans="1:8" x14ac:dyDescent="0.3">
      <c r="A127" t="s">
        <v>88</v>
      </c>
      <c r="B127">
        <v>2014</v>
      </c>
      <c r="C127" t="s">
        <v>310</v>
      </c>
      <c r="D127" t="s">
        <v>311</v>
      </c>
      <c r="E127" t="s">
        <v>65</v>
      </c>
      <c r="F127">
        <v>2550</v>
      </c>
      <c r="G127" t="s">
        <v>66</v>
      </c>
      <c r="H127">
        <v>2</v>
      </c>
    </row>
    <row r="128" spans="1:8" x14ac:dyDescent="0.3">
      <c r="A128" t="s">
        <v>88</v>
      </c>
      <c r="B128">
        <v>2015</v>
      </c>
      <c r="C128" t="s">
        <v>310</v>
      </c>
      <c r="D128" t="s">
        <v>311</v>
      </c>
      <c r="E128" t="s">
        <v>65</v>
      </c>
      <c r="F128">
        <v>2550</v>
      </c>
      <c r="G128" t="s">
        <v>66</v>
      </c>
      <c r="H128">
        <v>5</v>
      </c>
    </row>
    <row r="129" spans="1:8" x14ac:dyDescent="0.3">
      <c r="A129" t="s">
        <v>88</v>
      </c>
      <c r="B129">
        <v>2016</v>
      </c>
      <c r="C129" t="s">
        <v>310</v>
      </c>
      <c r="D129" t="s">
        <v>311</v>
      </c>
      <c r="E129" t="s">
        <v>65</v>
      </c>
      <c r="F129">
        <v>2550</v>
      </c>
      <c r="G129" t="s">
        <v>66</v>
      </c>
      <c r="H129">
        <v>5</v>
      </c>
    </row>
    <row r="130" spans="1:8" x14ac:dyDescent="0.3">
      <c r="A130" t="s">
        <v>88</v>
      </c>
      <c r="B130">
        <v>2017</v>
      </c>
      <c r="C130" t="s">
        <v>310</v>
      </c>
      <c r="D130" t="s">
        <v>311</v>
      </c>
      <c r="E130" t="s">
        <v>65</v>
      </c>
      <c r="F130">
        <v>2550</v>
      </c>
      <c r="G130" t="s">
        <v>66</v>
      </c>
      <c r="H130">
        <v>2</v>
      </c>
    </row>
    <row r="131" spans="1:8" x14ac:dyDescent="0.3">
      <c r="A131" t="s">
        <v>88</v>
      </c>
      <c r="B131">
        <v>2019</v>
      </c>
      <c r="C131" t="s">
        <v>310</v>
      </c>
      <c r="D131" t="s">
        <v>311</v>
      </c>
      <c r="E131" t="s">
        <v>65</v>
      </c>
      <c r="F131">
        <v>2550</v>
      </c>
      <c r="G131" t="s">
        <v>66</v>
      </c>
      <c r="H131">
        <v>4</v>
      </c>
    </row>
    <row r="132" spans="1:8" x14ac:dyDescent="0.3">
      <c r="A132" t="s">
        <v>88</v>
      </c>
      <c r="B132">
        <v>2020</v>
      </c>
      <c r="C132" t="s">
        <v>310</v>
      </c>
      <c r="D132" t="s">
        <v>311</v>
      </c>
      <c r="E132" t="s">
        <v>65</v>
      </c>
      <c r="F132">
        <v>2550</v>
      </c>
      <c r="G132" t="s">
        <v>66</v>
      </c>
      <c r="H132">
        <v>4</v>
      </c>
    </row>
    <row r="133" spans="1:8" x14ac:dyDescent="0.3">
      <c r="A133" t="s">
        <v>88</v>
      </c>
      <c r="B133">
        <v>2021</v>
      </c>
      <c r="C133" t="s">
        <v>310</v>
      </c>
      <c r="D133" t="s">
        <v>311</v>
      </c>
      <c r="E133" t="s">
        <v>65</v>
      </c>
      <c r="F133">
        <v>2550</v>
      </c>
      <c r="G133" t="s">
        <v>66</v>
      </c>
      <c r="H133">
        <v>5</v>
      </c>
    </row>
    <row r="134" spans="1:8" x14ac:dyDescent="0.3">
      <c r="A134" t="s">
        <v>90</v>
      </c>
      <c r="B134">
        <v>2015</v>
      </c>
      <c r="C134" t="s">
        <v>310</v>
      </c>
      <c r="D134" t="s">
        <v>311</v>
      </c>
      <c r="E134" t="s">
        <v>65</v>
      </c>
      <c r="F134">
        <v>3600</v>
      </c>
      <c r="G134" t="s">
        <v>66</v>
      </c>
      <c r="H134">
        <v>1</v>
      </c>
    </row>
    <row r="135" spans="1:8" x14ac:dyDescent="0.3">
      <c r="A135" t="s">
        <v>90</v>
      </c>
      <c r="B135">
        <v>2016</v>
      </c>
      <c r="C135" t="s">
        <v>310</v>
      </c>
      <c r="D135" t="s">
        <v>311</v>
      </c>
      <c r="E135" t="s">
        <v>65</v>
      </c>
      <c r="F135">
        <v>3600</v>
      </c>
      <c r="G135" t="s">
        <v>66</v>
      </c>
      <c r="H135">
        <v>1</v>
      </c>
    </row>
    <row r="136" spans="1:8" x14ac:dyDescent="0.3">
      <c r="A136" t="s">
        <v>90</v>
      </c>
      <c r="B136">
        <v>2018</v>
      </c>
      <c r="C136" t="s">
        <v>310</v>
      </c>
      <c r="D136" t="s">
        <v>311</v>
      </c>
      <c r="E136" t="s">
        <v>65</v>
      </c>
      <c r="F136">
        <v>3600</v>
      </c>
      <c r="G136" t="s">
        <v>66</v>
      </c>
      <c r="H136">
        <v>1</v>
      </c>
    </row>
    <row r="137" spans="1:8" x14ac:dyDescent="0.3">
      <c r="A137" t="s">
        <v>91</v>
      </c>
      <c r="B137">
        <v>2014</v>
      </c>
      <c r="C137" t="s">
        <v>310</v>
      </c>
      <c r="D137" t="s">
        <v>311</v>
      </c>
      <c r="E137" t="s">
        <v>65</v>
      </c>
      <c r="F137">
        <v>7800</v>
      </c>
      <c r="G137" t="s">
        <v>66</v>
      </c>
      <c r="H137">
        <v>288</v>
      </c>
    </row>
    <row r="138" spans="1:8" x14ac:dyDescent="0.3">
      <c r="A138" t="s">
        <v>91</v>
      </c>
      <c r="B138">
        <v>2015</v>
      </c>
      <c r="C138" t="s">
        <v>310</v>
      </c>
      <c r="D138" t="s">
        <v>311</v>
      </c>
      <c r="E138" t="s">
        <v>65</v>
      </c>
      <c r="F138">
        <v>7800</v>
      </c>
      <c r="G138" t="s">
        <v>66</v>
      </c>
      <c r="H138">
        <v>488</v>
      </c>
    </row>
    <row r="139" spans="1:8" x14ac:dyDescent="0.3">
      <c r="A139" t="s">
        <v>91</v>
      </c>
      <c r="B139">
        <v>2016</v>
      </c>
      <c r="C139" t="s">
        <v>310</v>
      </c>
      <c r="D139" t="s">
        <v>311</v>
      </c>
      <c r="E139" t="s">
        <v>65</v>
      </c>
      <c r="F139">
        <v>7800</v>
      </c>
      <c r="G139" t="s">
        <v>66</v>
      </c>
      <c r="H139">
        <v>463</v>
      </c>
    </row>
    <row r="140" spans="1:8" x14ac:dyDescent="0.3">
      <c r="A140" t="s">
        <v>91</v>
      </c>
      <c r="B140">
        <v>2017</v>
      </c>
      <c r="C140" t="s">
        <v>310</v>
      </c>
      <c r="D140" t="s">
        <v>311</v>
      </c>
      <c r="E140" t="s">
        <v>65</v>
      </c>
      <c r="F140">
        <v>7800</v>
      </c>
      <c r="G140" t="s">
        <v>66</v>
      </c>
      <c r="H140">
        <v>426</v>
      </c>
    </row>
    <row r="141" spans="1:8" x14ac:dyDescent="0.3">
      <c r="A141" t="s">
        <v>91</v>
      </c>
      <c r="B141">
        <v>2018</v>
      </c>
      <c r="C141" t="s">
        <v>310</v>
      </c>
      <c r="D141" t="s">
        <v>311</v>
      </c>
      <c r="E141" t="s">
        <v>65</v>
      </c>
      <c r="F141">
        <v>7800</v>
      </c>
      <c r="G141" t="s">
        <v>66</v>
      </c>
      <c r="H141">
        <v>276</v>
      </c>
    </row>
    <row r="142" spans="1:8" x14ac:dyDescent="0.3">
      <c r="A142" t="s">
        <v>91</v>
      </c>
      <c r="B142">
        <v>2019</v>
      </c>
      <c r="C142" t="s">
        <v>310</v>
      </c>
      <c r="D142" t="s">
        <v>311</v>
      </c>
      <c r="E142" t="s">
        <v>65</v>
      </c>
      <c r="F142">
        <v>7800</v>
      </c>
      <c r="G142" t="s">
        <v>66</v>
      </c>
      <c r="H142">
        <v>264</v>
      </c>
    </row>
    <row r="143" spans="1:8" x14ac:dyDescent="0.3">
      <c r="A143" t="s">
        <v>91</v>
      </c>
      <c r="B143">
        <v>2020</v>
      </c>
      <c r="C143" t="s">
        <v>310</v>
      </c>
      <c r="D143" t="s">
        <v>311</v>
      </c>
      <c r="E143" t="s">
        <v>65</v>
      </c>
      <c r="F143">
        <v>7800</v>
      </c>
      <c r="G143" t="s">
        <v>66</v>
      </c>
      <c r="H143">
        <v>259</v>
      </c>
    </row>
    <row r="144" spans="1:8" x14ac:dyDescent="0.3">
      <c r="A144" t="s">
        <v>91</v>
      </c>
      <c r="B144">
        <v>2021</v>
      </c>
      <c r="C144" t="s">
        <v>310</v>
      </c>
      <c r="D144" t="s">
        <v>311</v>
      </c>
      <c r="E144" t="s">
        <v>65</v>
      </c>
      <c r="F144">
        <v>7800</v>
      </c>
      <c r="G144" t="s">
        <v>66</v>
      </c>
      <c r="H144">
        <v>207</v>
      </c>
    </row>
    <row r="145" spans="1:8" x14ac:dyDescent="0.3">
      <c r="A145" t="s">
        <v>92</v>
      </c>
      <c r="B145">
        <v>2014</v>
      </c>
      <c r="C145" t="s">
        <v>310</v>
      </c>
      <c r="D145" t="s">
        <v>311</v>
      </c>
      <c r="E145" t="s">
        <v>65</v>
      </c>
      <c r="F145">
        <v>3100</v>
      </c>
      <c r="G145" t="s">
        <v>66</v>
      </c>
      <c r="H145">
        <v>6</v>
      </c>
    </row>
    <row r="146" spans="1:8" x14ac:dyDescent="0.3">
      <c r="A146" t="s">
        <v>92</v>
      </c>
      <c r="B146">
        <v>2016</v>
      </c>
      <c r="C146" t="s">
        <v>310</v>
      </c>
      <c r="D146" t="s">
        <v>311</v>
      </c>
      <c r="E146" t="s">
        <v>65</v>
      </c>
      <c r="F146">
        <v>3100</v>
      </c>
      <c r="G146" t="s">
        <v>66</v>
      </c>
      <c r="H146">
        <v>3</v>
      </c>
    </row>
    <row r="147" spans="1:8" x14ac:dyDescent="0.3">
      <c r="A147" t="s">
        <v>92</v>
      </c>
      <c r="B147">
        <v>2017</v>
      </c>
      <c r="C147" t="s">
        <v>310</v>
      </c>
      <c r="D147" t="s">
        <v>311</v>
      </c>
      <c r="E147" t="s">
        <v>65</v>
      </c>
      <c r="F147">
        <v>3100</v>
      </c>
      <c r="G147" t="s">
        <v>66</v>
      </c>
      <c r="H147">
        <v>2</v>
      </c>
    </row>
    <row r="148" spans="1:8" x14ac:dyDescent="0.3">
      <c r="A148" t="s">
        <v>92</v>
      </c>
      <c r="B148">
        <v>2019</v>
      </c>
      <c r="C148" t="s">
        <v>310</v>
      </c>
      <c r="D148" t="s">
        <v>311</v>
      </c>
      <c r="E148" t="s">
        <v>65</v>
      </c>
      <c r="F148">
        <v>3100</v>
      </c>
      <c r="G148" t="s">
        <v>66</v>
      </c>
      <c r="H148">
        <v>2</v>
      </c>
    </row>
    <row r="149" spans="1:8" x14ac:dyDescent="0.3">
      <c r="A149" t="s">
        <v>92</v>
      </c>
      <c r="B149">
        <v>2020</v>
      </c>
      <c r="C149" t="s">
        <v>310</v>
      </c>
      <c r="D149" t="s">
        <v>311</v>
      </c>
      <c r="E149" t="s">
        <v>65</v>
      </c>
      <c r="F149">
        <v>3100</v>
      </c>
      <c r="G149" t="s">
        <v>66</v>
      </c>
      <c r="H149">
        <v>1</v>
      </c>
    </row>
    <row r="150" spans="1:8" x14ac:dyDescent="0.3">
      <c r="A150" t="s">
        <v>92</v>
      </c>
      <c r="B150">
        <v>2021</v>
      </c>
      <c r="C150" t="s">
        <v>310</v>
      </c>
      <c r="D150" t="s">
        <v>311</v>
      </c>
      <c r="E150" t="s">
        <v>65</v>
      </c>
      <c r="F150">
        <v>3100</v>
      </c>
      <c r="G150" t="s">
        <v>66</v>
      </c>
      <c r="H150">
        <v>2</v>
      </c>
    </row>
    <row r="151" spans="1:8" x14ac:dyDescent="0.3">
      <c r="A151" t="s">
        <v>188</v>
      </c>
      <c r="B151">
        <v>2015</v>
      </c>
      <c r="C151" t="s">
        <v>310</v>
      </c>
      <c r="D151" t="s">
        <v>311</v>
      </c>
      <c r="E151" t="s">
        <v>65</v>
      </c>
      <c r="F151">
        <v>3600</v>
      </c>
      <c r="G151" t="s">
        <v>66</v>
      </c>
      <c r="H151">
        <v>1</v>
      </c>
    </row>
    <row r="152" spans="1:8" x14ac:dyDescent="0.3">
      <c r="A152" t="s">
        <v>93</v>
      </c>
      <c r="B152">
        <v>2014</v>
      </c>
      <c r="C152" t="s">
        <v>310</v>
      </c>
      <c r="D152" t="s">
        <v>311</v>
      </c>
      <c r="E152" t="s">
        <v>65</v>
      </c>
      <c r="F152">
        <v>12125</v>
      </c>
      <c r="G152" t="s">
        <v>66</v>
      </c>
      <c r="H152">
        <v>1</v>
      </c>
    </row>
    <row r="153" spans="1:8" x14ac:dyDescent="0.3">
      <c r="A153" t="s">
        <v>93</v>
      </c>
      <c r="B153">
        <v>2015</v>
      </c>
      <c r="C153" t="s">
        <v>310</v>
      </c>
      <c r="D153" t="s">
        <v>311</v>
      </c>
      <c r="E153" t="s">
        <v>65</v>
      </c>
      <c r="F153">
        <v>12125</v>
      </c>
      <c r="G153" t="s">
        <v>66</v>
      </c>
      <c r="H153">
        <v>2</v>
      </c>
    </row>
    <row r="154" spans="1:8" x14ac:dyDescent="0.3">
      <c r="A154" t="s">
        <v>93</v>
      </c>
      <c r="B154">
        <v>2016</v>
      </c>
      <c r="C154" t="s">
        <v>310</v>
      </c>
      <c r="D154" t="s">
        <v>311</v>
      </c>
      <c r="E154" t="s">
        <v>65</v>
      </c>
      <c r="F154">
        <v>12125</v>
      </c>
      <c r="G154" t="s">
        <v>66</v>
      </c>
      <c r="H154">
        <v>3</v>
      </c>
    </row>
    <row r="155" spans="1:8" x14ac:dyDescent="0.3">
      <c r="A155" t="s">
        <v>93</v>
      </c>
      <c r="B155">
        <v>2017</v>
      </c>
      <c r="C155" t="s">
        <v>310</v>
      </c>
      <c r="D155" t="s">
        <v>311</v>
      </c>
      <c r="E155" t="s">
        <v>65</v>
      </c>
      <c r="F155">
        <v>12125</v>
      </c>
      <c r="G155" t="s">
        <v>66</v>
      </c>
      <c r="H155">
        <v>1</v>
      </c>
    </row>
    <row r="156" spans="1:8" x14ac:dyDescent="0.3">
      <c r="A156" t="s">
        <v>93</v>
      </c>
      <c r="B156">
        <v>2019</v>
      </c>
      <c r="C156" t="s">
        <v>310</v>
      </c>
      <c r="D156" t="s">
        <v>311</v>
      </c>
      <c r="E156" t="s">
        <v>65</v>
      </c>
      <c r="F156">
        <v>12125</v>
      </c>
      <c r="G156" t="s">
        <v>66</v>
      </c>
      <c r="H156">
        <v>1</v>
      </c>
    </row>
    <row r="157" spans="1:8" x14ac:dyDescent="0.3">
      <c r="A157" t="s">
        <v>94</v>
      </c>
      <c r="B157">
        <v>2017</v>
      </c>
      <c r="C157" t="s">
        <v>310</v>
      </c>
      <c r="D157" t="s">
        <v>311</v>
      </c>
      <c r="E157" t="s">
        <v>65</v>
      </c>
      <c r="F157">
        <v>13870</v>
      </c>
      <c r="G157" t="s">
        <v>66</v>
      </c>
      <c r="H157">
        <v>1</v>
      </c>
    </row>
    <row r="158" spans="1:8" x14ac:dyDescent="0.3">
      <c r="A158" t="s">
        <v>94</v>
      </c>
      <c r="B158">
        <v>2019</v>
      </c>
      <c r="C158" t="s">
        <v>310</v>
      </c>
      <c r="D158" t="s">
        <v>311</v>
      </c>
      <c r="E158" t="s">
        <v>65</v>
      </c>
      <c r="F158">
        <v>13870</v>
      </c>
      <c r="G158" t="s">
        <v>66</v>
      </c>
      <c r="H158">
        <v>1</v>
      </c>
    </row>
    <row r="159" spans="1:8" x14ac:dyDescent="0.3">
      <c r="A159" t="s">
        <v>94</v>
      </c>
      <c r="B159">
        <v>2020</v>
      </c>
      <c r="C159" t="s">
        <v>310</v>
      </c>
      <c r="D159" t="s">
        <v>311</v>
      </c>
      <c r="E159" t="s">
        <v>65</v>
      </c>
      <c r="F159">
        <v>13870</v>
      </c>
      <c r="G159" t="s">
        <v>66</v>
      </c>
      <c r="H159">
        <v>1</v>
      </c>
    </row>
    <row r="160" spans="1:8" x14ac:dyDescent="0.3">
      <c r="A160" t="s">
        <v>94</v>
      </c>
      <c r="B160">
        <v>2021</v>
      </c>
      <c r="C160" t="s">
        <v>310</v>
      </c>
      <c r="D160" t="s">
        <v>311</v>
      </c>
      <c r="E160" t="s">
        <v>65</v>
      </c>
      <c r="F160">
        <v>13870</v>
      </c>
      <c r="G160" t="s">
        <v>66</v>
      </c>
      <c r="H160">
        <v>1</v>
      </c>
    </row>
    <row r="161" spans="1:8" x14ac:dyDescent="0.3">
      <c r="A161" t="s">
        <v>189</v>
      </c>
      <c r="B161">
        <v>2017</v>
      </c>
      <c r="C161" t="s">
        <v>310</v>
      </c>
      <c r="D161" t="s">
        <v>311</v>
      </c>
      <c r="E161" t="s">
        <v>65</v>
      </c>
      <c r="F161">
        <v>10361</v>
      </c>
      <c r="G161" t="s">
        <v>66</v>
      </c>
      <c r="H161">
        <v>1</v>
      </c>
    </row>
    <row r="162" spans="1:8" x14ac:dyDescent="0.3">
      <c r="A162" t="s">
        <v>189</v>
      </c>
      <c r="B162">
        <v>2018</v>
      </c>
      <c r="C162" t="s">
        <v>310</v>
      </c>
      <c r="D162" t="s">
        <v>311</v>
      </c>
      <c r="E162" t="s">
        <v>65</v>
      </c>
      <c r="F162">
        <v>10361</v>
      </c>
      <c r="G162" t="s">
        <v>66</v>
      </c>
      <c r="H162">
        <v>1</v>
      </c>
    </row>
    <row r="163" spans="1:8" x14ac:dyDescent="0.3">
      <c r="A163" t="s">
        <v>189</v>
      </c>
      <c r="B163">
        <v>2021</v>
      </c>
      <c r="C163" t="s">
        <v>310</v>
      </c>
      <c r="D163" t="s">
        <v>311</v>
      </c>
      <c r="E163" t="s">
        <v>65</v>
      </c>
      <c r="F163">
        <v>10361</v>
      </c>
      <c r="G163" t="s">
        <v>66</v>
      </c>
      <c r="H163">
        <v>1</v>
      </c>
    </row>
    <row r="164" spans="1:8" x14ac:dyDescent="0.3">
      <c r="A164" t="s">
        <v>95</v>
      </c>
      <c r="B164">
        <v>2020</v>
      </c>
      <c r="C164" t="s">
        <v>310</v>
      </c>
      <c r="D164" t="s">
        <v>311</v>
      </c>
      <c r="E164" t="s">
        <v>65</v>
      </c>
      <c r="F164">
        <v>13870</v>
      </c>
      <c r="G164" t="s">
        <v>66</v>
      </c>
      <c r="H164">
        <v>1</v>
      </c>
    </row>
    <row r="165" spans="1:8" x14ac:dyDescent="0.3">
      <c r="A165" t="s">
        <v>190</v>
      </c>
      <c r="B165">
        <v>2020</v>
      </c>
      <c r="C165" t="s">
        <v>310</v>
      </c>
      <c r="D165" t="s">
        <v>311</v>
      </c>
      <c r="E165" t="s">
        <v>65</v>
      </c>
      <c r="F165">
        <v>155000</v>
      </c>
      <c r="G165" t="s">
        <v>83</v>
      </c>
      <c r="H165">
        <v>1</v>
      </c>
    </row>
    <row r="166" spans="1:8" x14ac:dyDescent="0.3">
      <c r="A166" t="s">
        <v>96</v>
      </c>
      <c r="B166">
        <v>2014</v>
      </c>
      <c r="C166" t="s">
        <v>310</v>
      </c>
      <c r="D166" t="s">
        <v>311</v>
      </c>
      <c r="E166" t="s">
        <v>65</v>
      </c>
      <c r="F166">
        <v>4600</v>
      </c>
      <c r="G166" t="s">
        <v>66</v>
      </c>
      <c r="H166">
        <v>5</v>
      </c>
    </row>
    <row r="167" spans="1:8" x14ac:dyDescent="0.3">
      <c r="A167" t="s">
        <v>96</v>
      </c>
      <c r="B167">
        <v>2015</v>
      </c>
      <c r="C167" t="s">
        <v>310</v>
      </c>
      <c r="D167" t="s">
        <v>311</v>
      </c>
      <c r="E167" t="s">
        <v>65</v>
      </c>
      <c r="F167">
        <v>4600</v>
      </c>
      <c r="G167" t="s">
        <v>66</v>
      </c>
      <c r="H167">
        <v>3</v>
      </c>
    </row>
    <row r="168" spans="1:8" x14ac:dyDescent="0.3">
      <c r="A168" t="s">
        <v>96</v>
      </c>
      <c r="B168">
        <v>2016</v>
      </c>
      <c r="C168" t="s">
        <v>310</v>
      </c>
      <c r="D168" t="s">
        <v>311</v>
      </c>
      <c r="E168" t="s">
        <v>65</v>
      </c>
      <c r="F168">
        <v>4600</v>
      </c>
      <c r="G168" t="s">
        <v>66</v>
      </c>
      <c r="H168">
        <v>4</v>
      </c>
    </row>
    <row r="169" spans="1:8" x14ac:dyDescent="0.3">
      <c r="A169" t="s">
        <v>96</v>
      </c>
      <c r="B169">
        <v>2017</v>
      </c>
      <c r="C169" t="s">
        <v>310</v>
      </c>
      <c r="D169" t="s">
        <v>311</v>
      </c>
      <c r="E169" t="s">
        <v>65</v>
      </c>
      <c r="F169">
        <v>4600</v>
      </c>
      <c r="G169" t="s">
        <v>66</v>
      </c>
      <c r="H169">
        <v>3</v>
      </c>
    </row>
    <row r="170" spans="1:8" x14ac:dyDescent="0.3">
      <c r="A170" t="s">
        <v>96</v>
      </c>
      <c r="B170">
        <v>2018</v>
      </c>
      <c r="C170" t="s">
        <v>310</v>
      </c>
      <c r="D170" t="s">
        <v>311</v>
      </c>
      <c r="E170" t="s">
        <v>65</v>
      </c>
      <c r="F170">
        <v>4600</v>
      </c>
      <c r="G170" t="s">
        <v>66</v>
      </c>
      <c r="H170">
        <v>2</v>
      </c>
    </row>
    <row r="171" spans="1:8" x14ac:dyDescent="0.3">
      <c r="A171" t="s">
        <v>96</v>
      </c>
      <c r="B171">
        <v>2019</v>
      </c>
      <c r="C171" t="s">
        <v>310</v>
      </c>
      <c r="D171" t="s">
        <v>311</v>
      </c>
      <c r="E171" t="s">
        <v>65</v>
      </c>
      <c r="F171">
        <v>4600</v>
      </c>
      <c r="G171" t="s">
        <v>66</v>
      </c>
      <c r="H171">
        <v>2</v>
      </c>
    </row>
    <row r="172" spans="1:8" x14ac:dyDescent="0.3">
      <c r="A172" t="s">
        <v>96</v>
      </c>
      <c r="B172">
        <v>2020</v>
      </c>
      <c r="C172" t="s">
        <v>310</v>
      </c>
      <c r="D172" t="s">
        <v>311</v>
      </c>
      <c r="E172" t="s">
        <v>65</v>
      </c>
      <c r="F172">
        <v>4600</v>
      </c>
      <c r="G172" t="s">
        <v>66</v>
      </c>
      <c r="H172">
        <v>2</v>
      </c>
    </row>
    <row r="173" spans="1:8" x14ac:dyDescent="0.3">
      <c r="A173" t="s">
        <v>97</v>
      </c>
      <c r="B173">
        <v>2015</v>
      </c>
      <c r="C173" t="s">
        <v>310</v>
      </c>
      <c r="D173" t="s">
        <v>311</v>
      </c>
      <c r="E173" t="s">
        <v>65</v>
      </c>
      <c r="F173">
        <v>5974</v>
      </c>
      <c r="G173" t="s">
        <v>66</v>
      </c>
      <c r="H173">
        <v>3</v>
      </c>
    </row>
    <row r="174" spans="1:8" x14ac:dyDescent="0.3">
      <c r="A174" t="s">
        <v>97</v>
      </c>
      <c r="B174">
        <v>2016</v>
      </c>
      <c r="C174" t="s">
        <v>310</v>
      </c>
      <c r="D174" t="s">
        <v>311</v>
      </c>
      <c r="E174" t="s">
        <v>65</v>
      </c>
      <c r="F174">
        <v>5974</v>
      </c>
      <c r="G174" t="s">
        <v>66</v>
      </c>
      <c r="H174">
        <v>1</v>
      </c>
    </row>
    <row r="175" spans="1:8" x14ac:dyDescent="0.3">
      <c r="A175" t="s">
        <v>97</v>
      </c>
      <c r="B175">
        <v>2017</v>
      </c>
      <c r="C175" t="s">
        <v>310</v>
      </c>
      <c r="D175" t="s">
        <v>311</v>
      </c>
      <c r="E175" t="s">
        <v>65</v>
      </c>
      <c r="F175">
        <v>5974</v>
      </c>
      <c r="G175" t="s">
        <v>66</v>
      </c>
      <c r="H175">
        <v>1</v>
      </c>
    </row>
    <row r="176" spans="1:8" x14ac:dyDescent="0.3">
      <c r="A176" t="s">
        <v>97</v>
      </c>
      <c r="B176">
        <v>2018</v>
      </c>
      <c r="C176" t="s">
        <v>310</v>
      </c>
      <c r="D176" t="s">
        <v>311</v>
      </c>
      <c r="E176" t="s">
        <v>65</v>
      </c>
      <c r="F176">
        <v>5974</v>
      </c>
      <c r="G176" t="s">
        <v>66</v>
      </c>
      <c r="H176">
        <v>2</v>
      </c>
    </row>
    <row r="177" spans="1:8" x14ac:dyDescent="0.3">
      <c r="A177" t="s">
        <v>97</v>
      </c>
      <c r="B177">
        <v>2021</v>
      </c>
      <c r="C177" t="s">
        <v>310</v>
      </c>
      <c r="D177" t="s">
        <v>311</v>
      </c>
      <c r="E177" t="s">
        <v>65</v>
      </c>
      <c r="F177">
        <v>5974</v>
      </c>
      <c r="G177" t="s">
        <v>66</v>
      </c>
      <c r="H177">
        <v>1</v>
      </c>
    </row>
    <row r="178" spans="1:8" x14ac:dyDescent="0.3">
      <c r="A178" t="s">
        <v>98</v>
      </c>
      <c r="B178">
        <v>2014</v>
      </c>
      <c r="C178" t="s">
        <v>310</v>
      </c>
      <c r="D178" t="s">
        <v>311</v>
      </c>
      <c r="E178" t="s">
        <v>65</v>
      </c>
      <c r="F178">
        <v>6850</v>
      </c>
      <c r="G178" t="s">
        <v>66</v>
      </c>
      <c r="H178">
        <v>1</v>
      </c>
    </row>
    <row r="179" spans="1:8" x14ac:dyDescent="0.3">
      <c r="A179" t="s">
        <v>98</v>
      </c>
      <c r="B179">
        <v>2017</v>
      </c>
      <c r="C179" t="s">
        <v>310</v>
      </c>
      <c r="D179" t="s">
        <v>311</v>
      </c>
      <c r="E179" t="s">
        <v>65</v>
      </c>
      <c r="F179">
        <v>6850</v>
      </c>
      <c r="G179" t="s">
        <v>66</v>
      </c>
      <c r="H179">
        <v>1</v>
      </c>
    </row>
    <row r="180" spans="1:8" x14ac:dyDescent="0.3">
      <c r="A180" t="s">
        <v>98</v>
      </c>
      <c r="B180">
        <v>2019</v>
      </c>
      <c r="C180" t="s">
        <v>310</v>
      </c>
      <c r="D180" t="s">
        <v>311</v>
      </c>
      <c r="E180" t="s">
        <v>65</v>
      </c>
      <c r="F180">
        <v>6850</v>
      </c>
      <c r="G180" t="s">
        <v>66</v>
      </c>
      <c r="H180">
        <v>1</v>
      </c>
    </row>
    <row r="181" spans="1:8" x14ac:dyDescent="0.3">
      <c r="A181" t="s">
        <v>100</v>
      </c>
      <c r="B181">
        <v>2015</v>
      </c>
      <c r="C181" t="s">
        <v>310</v>
      </c>
      <c r="D181" t="s">
        <v>311</v>
      </c>
      <c r="E181" t="s">
        <v>65</v>
      </c>
      <c r="F181">
        <v>6750</v>
      </c>
      <c r="G181" t="s">
        <v>66</v>
      </c>
      <c r="H181">
        <v>2</v>
      </c>
    </row>
    <row r="182" spans="1:8" x14ac:dyDescent="0.3">
      <c r="A182" t="s">
        <v>100</v>
      </c>
      <c r="B182">
        <v>2018</v>
      </c>
      <c r="C182" t="s">
        <v>310</v>
      </c>
      <c r="D182" t="s">
        <v>311</v>
      </c>
      <c r="E182" t="s">
        <v>65</v>
      </c>
      <c r="F182">
        <v>6750</v>
      </c>
      <c r="G182" t="s">
        <v>66</v>
      </c>
      <c r="H182">
        <v>1</v>
      </c>
    </row>
    <row r="183" spans="1:8" x14ac:dyDescent="0.3">
      <c r="A183" t="s">
        <v>100</v>
      </c>
      <c r="B183">
        <v>2019</v>
      </c>
      <c r="C183" t="s">
        <v>310</v>
      </c>
      <c r="D183" t="s">
        <v>311</v>
      </c>
      <c r="E183" t="s">
        <v>65</v>
      </c>
      <c r="F183">
        <v>6750</v>
      </c>
      <c r="G183" t="s">
        <v>66</v>
      </c>
      <c r="H183">
        <v>1</v>
      </c>
    </row>
    <row r="184" spans="1:8" x14ac:dyDescent="0.3">
      <c r="A184" t="s">
        <v>100</v>
      </c>
      <c r="B184">
        <v>2020</v>
      </c>
      <c r="C184" t="s">
        <v>310</v>
      </c>
      <c r="D184" t="s">
        <v>311</v>
      </c>
      <c r="E184" t="s">
        <v>65</v>
      </c>
      <c r="F184">
        <v>6750</v>
      </c>
      <c r="G184" t="s">
        <v>66</v>
      </c>
      <c r="H184">
        <v>1</v>
      </c>
    </row>
    <row r="185" spans="1:8" x14ac:dyDescent="0.3">
      <c r="A185" t="s">
        <v>101</v>
      </c>
      <c r="B185">
        <v>2014</v>
      </c>
      <c r="C185" t="s">
        <v>310</v>
      </c>
      <c r="D185" t="s">
        <v>311</v>
      </c>
      <c r="E185" t="s">
        <v>65</v>
      </c>
      <c r="F185">
        <v>7450</v>
      </c>
      <c r="G185" t="s">
        <v>66</v>
      </c>
      <c r="H185">
        <v>2</v>
      </c>
    </row>
    <row r="186" spans="1:8" x14ac:dyDescent="0.3">
      <c r="A186" t="s">
        <v>101</v>
      </c>
      <c r="B186">
        <v>2015</v>
      </c>
      <c r="C186" t="s">
        <v>310</v>
      </c>
      <c r="D186" t="s">
        <v>311</v>
      </c>
      <c r="E186" t="s">
        <v>65</v>
      </c>
      <c r="F186">
        <v>7450</v>
      </c>
      <c r="G186" t="s">
        <v>66</v>
      </c>
      <c r="H186">
        <v>3</v>
      </c>
    </row>
    <row r="187" spans="1:8" x14ac:dyDescent="0.3">
      <c r="A187" t="s">
        <v>101</v>
      </c>
      <c r="B187">
        <v>2016</v>
      </c>
      <c r="C187" t="s">
        <v>310</v>
      </c>
      <c r="D187" t="s">
        <v>311</v>
      </c>
      <c r="E187" t="s">
        <v>65</v>
      </c>
      <c r="F187">
        <v>7450</v>
      </c>
      <c r="G187" t="s">
        <v>66</v>
      </c>
      <c r="H187">
        <v>1</v>
      </c>
    </row>
    <row r="188" spans="1:8" x14ac:dyDescent="0.3">
      <c r="A188" t="s">
        <v>101</v>
      </c>
      <c r="B188">
        <v>2017</v>
      </c>
      <c r="C188" t="s">
        <v>310</v>
      </c>
      <c r="D188" t="s">
        <v>311</v>
      </c>
      <c r="E188" t="s">
        <v>65</v>
      </c>
      <c r="F188">
        <v>7450</v>
      </c>
      <c r="G188" t="s">
        <v>66</v>
      </c>
      <c r="H188">
        <v>3</v>
      </c>
    </row>
    <row r="189" spans="1:8" x14ac:dyDescent="0.3">
      <c r="A189" t="s">
        <v>101</v>
      </c>
      <c r="B189">
        <v>2019</v>
      </c>
      <c r="C189" t="s">
        <v>310</v>
      </c>
      <c r="D189" t="s">
        <v>311</v>
      </c>
      <c r="E189" t="s">
        <v>65</v>
      </c>
      <c r="F189">
        <v>7450</v>
      </c>
      <c r="G189" t="s">
        <v>66</v>
      </c>
      <c r="H189">
        <v>1</v>
      </c>
    </row>
    <row r="190" spans="1:8" x14ac:dyDescent="0.3">
      <c r="A190" t="s">
        <v>101</v>
      </c>
      <c r="B190">
        <v>2020</v>
      </c>
      <c r="C190" t="s">
        <v>310</v>
      </c>
      <c r="D190" t="s">
        <v>311</v>
      </c>
      <c r="E190" t="s">
        <v>65</v>
      </c>
      <c r="F190">
        <v>7450</v>
      </c>
      <c r="G190" t="s">
        <v>66</v>
      </c>
      <c r="H190">
        <v>2</v>
      </c>
    </row>
    <row r="191" spans="1:8" x14ac:dyDescent="0.3">
      <c r="A191" t="s">
        <v>101</v>
      </c>
      <c r="B191">
        <v>2021</v>
      </c>
      <c r="C191" t="s">
        <v>310</v>
      </c>
      <c r="D191" t="s">
        <v>311</v>
      </c>
      <c r="E191" t="s">
        <v>65</v>
      </c>
      <c r="F191">
        <v>7450</v>
      </c>
      <c r="G191" t="s">
        <v>66</v>
      </c>
      <c r="H191">
        <v>2</v>
      </c>
    </row>
    <row r="192" spans="1:8" x14ac:dyDescent="0.3">
      <c r="A192" t="s">
        <v>193</v>
      </c>
      <c r="B192">
        <v>2014</v>
      </c>
      <c r="C192" t="s">
        <v>310</v>
      </c>
      <c r="D192" t="s">
        <v>311</v>
      </c>
      <c r="E192" t="s">
        <v>65</v>
      </c>
      <c r="F192">
        <v>8598</v>
      </c>
      <c r="G192" t="s">
        <v>66</v>
      </c>
      <c r="H192">
        <v>1</v>
      </c>
    </row>
    <row r="193" spans="1:8" x14ac:dyDescent="0.3">
      <c r="A193" t="s">
        <v>193</v>
      </c>
      <c r="B193">
        <v>2017</v>
      </c>
      <c r="C193" t="s">
        <v>310</v>
      </c>
      <c r="D193" t="s">
        <v>311</v>
      </c>
      <c r="E193" t="s">
        <v>65</v>
      </c>
      <c r="F193">
        <v>8598</v>
      </c>
      <c r="G193" t="s">
        <v>66</v>
      </c>
      <c r="H193">
        <v>1</v>
      </c>
    </row>
    <row r="194" spans="1:8" x14ac:dyDescent="0.3">
      <c r="A194" t="s">
        <v>193</v>
      </c>
      <c r="B194">
        <v>2018</v>
      </c>
      <c r="C194" t="s">
        <v>310</v>
      </c>
      <c r="D194" t="s">
        <v>311</v>
      </c>
      <c r="E194" t="s">
        <v>65</v>
      </c>
      <c r="F194">
        <v>8598</v>
      </c>
      <c r="G194" t="s">
        <v>66</v>
      </c>
      <c r="H194">
        <v>1</v>
      </c>
    </row>
    <row r="195" spans="1:8" x14ac:dyDescent="0.3">
      <c r="A195" t="s">
        <v>193</v>
      </c>
      <c r="B195">
        <v>2020</v>
      </c>
      <c r="C195" t="s">
        <v>310</v>
      </c>
      <c r="D195" t="s">
        <v>311</v>
      </c>
      <c r="E195" t="s">
        <v>65</v>
      </c>
      <c r="F195">
        <v>8598</v>
      </c>
      <c r="G195" t="s">
        <v>66</v>
      </c>
      <c r="H195">
        <v>1</v>
      </c>
    </row>
    <row r="196" spans="1:8" x14ac:dyDescent="0.3">
      <c r="A196" t="s">
        <v>102</v>
      </c>
      <c r="B196">
        <v>2014</v>
      </c>
      <c r="C196" t="s">
        <v>310</v>
      </c>
      <c r="D196" t="s">
        <v>311</v>
      </c>
      <c r="E196" t="s">
        <v>65</v>
      </c>
      <c r="F196">
        <v>9850</v>
      </c>
      <c r="G196" t="s">
        <v>66</v>
      </c>
      <c r="H196">
        <v>1</v>
      </c>
    </row>
    <row r="197" spans="1:8" x14ac:dyDescent="0.3">
      <c r="A197" t="s">
        <v>102</v>
      </c>
      <c r="B197">
        <v>2016</v>
      </c>
      <c r="C197" t="s">
        <v>310</v>
      </c>
      <c r="D197" t="s">
        <v>311</v>
      </c>
      <c r="E197" t="s">
        <v>65</v>
      </c>
      <c r="F197">
        <v>9850</v>
      </c>
      <c r="G197" t="s">
        <v>66</v>
      </c>
      <c r="H197">
        <v>2</v>
      </c>
    </row>
    <row r="198" spans="1:8" x14ac:dyDescent="0.3">
      <c r="A198" t="s">
        <v>102</v>
      </c>
      <c r="B198">
        <v>2017</v>
      </c>
      <c r="C198" t="s">
        <v>310</v>
      </c>
      <c r="D198" t="s">
        <v>311</v>
      </c>
      <c r="E198" t="s">
        <v>65</v>
      </c>
      <c r="F198">
        <v>9850</v>
      </c>
      <c r="G198" t="s">
        <v>66</v>
      </c>
      <c r="H198">
        <v>1</v>
      </c>
    </row>
    <row r="199" spans="1:8" x14ac:dyDescent="0.3">
      <c r="A199" t="s">
        <v>102</v>
      </c>
      <c r="B199">
        <v>2018</v>
      </c>
      <c r="C199" t="s">
        <v>310</v>
      </c>
      <c r="D199" t="s">
        <v>311</v>
      </c>
      <c r="E199" t="s">
        <v>65</v>
      </c>
      <c r="F199">
        <v>9850</v>
      </c>
      <c r="G199" t="s">
        <v>66</v>
      </c>
      <c r="H199">
        <v>2</v>
      </c>
    </row>
    <row r="200" spans="1:8" x14ac:dyDescent="0.3">
      <c r="A200" t="s">
        <v>102</v>
      </c>
      <c r="B200">
        <v>2020</v>
      </c>
      <c r="C200" t="s">
        <v>310</v>
      </c>
      <c r="D200" t="s">
        <v>311</v>
      </c>
      <c r="E200" t="s">
        <v>65</v>
      </c>
      <c r="F200">
        <v>9850</v>
      </c>
      <c r="G200" t="s">
        <v>66</v>
      </c>
      <c r="H200">
        <v>4</v>
      </c>
    </row>
    <row r="201" spans="1:8" x14ac:dyDescent="0.3">
      <c r="A201" t="s">
        <v>196</v>
      </c>
      <c r="B201">
        <v>2015</v>
      </c>
      <c r="C201" t="s">
        <v>310</v>
      </c>
      <c r="D201" t="s">
        <v>311</v>
      </c>
      <c r="E201" t="s">
        <v>65</v>
      </c>
      <c r="F201">
        <v>7716</v>
      </c>
      <c r="G201" t="s">
        <v>66</v>
      </c>
      <c r="H201">
        <v>1</v>
      </c>
    </row>
    <row r="202" spans="1:8" x14ac:dyDescent="0.3">
      <c r="A202" t="s">
        <v>196</v>
      </c>
      <c r="B202">
        <v>2021</v>
      </c>
      <c r="C202" t="s">
        <v>310</v>
      </c>
      <c r="D202" t="s">
        <v>311</v>
      </c>
      <c r="E202" t="s">
        <v>65</v>
      </c>
      <c r="F202">
        <v>7716</v>
      </c>
      <c r="G202" t="s">
        <v>66</v>
      </c>
      <c r="H202">
        <v>1</v>
      </c>
    </row>
    <row r="203" spans="1:8" x14ac:dyDescent="0.3">
      <c r="A203" t="s">
        <v>103</v>
      </c>
      <c r="B203">
        <v>2018</v>
      </c>
      <c r="C203" t="s">
        <v>310</v>
      </c>
      <c r="D203" t="s">
        <v>311</v>
      </c>
      <c r="E203" t="s">
        <v>65</v>
      </c>
      <c r="F203">
        <v>10700</v>
      </c>
      <c r="G203" t="s">
        <v>66</v>
      </c>
      <c r="H203">
        <v>4</v>
      </c>
    </row>
    <row r="204" spans="1:8" x14ac:dyDescent="0.3">
      <c r="A204" t="s">
        <v>103</v>
      </c>
      <c r="B204">
        <v>2019</v>
      </c>
      <c r="C204" t="s">
        <v>310</v>
      </c>
      <c r="D204" t="s">
        <v>311</v>
      </c>
      <c r="E204" t="s">
        <v>65</v>
      </c>
      <c r="F204">
        <v>10700</v>
      </c>
      <c r="G204" t="s">
        <v>66</v>
      </c>
      <c r="H204">
        <v>4</v>
      </c>
    </row>
    <row r="205" spans="1:8" x14ac:dyDescent="0.3">
      <c r="A205" t="s">
        <v>103</v>
      </c>
      <c r="B205">
        <v>2020</v>
      </c>
      <c r="C205" t="s">
        <v>310</v>
      </c>
      <c r="D205" t="s">
        <v>311</v>
      </c>
      <c r="E205" t="s">
        <v>65</v>
      </c>
      <c r="F205">
        <v>10700</v>
      </c>
      <c r="G205" t="s">
        <v>66</v>
      </c>
      <c r="H205">
        <v>2</v>
      </c>
    </row>
    <row r="206" spans="1:8" x14ac:dyDescent="0.3">
      <c r="A206" t="s">
        <v>103</v>
      </c>
      <c r="B206">
        <v>2021</v>
      </c>
      <c r="C206" t="s">
        <v>310</v>
      </c>
      <c r="D206" t="s">
        <v>311</v>
      </c>
      <c r="E206" t="s">
        <v>65</v>
      </c>
      <c r="F206">
        <v>10700</v>
      </c>
      <c r="G206" t="s">
        <v>66</v>
      </c>
      <c r="H206">
        <v>1</v>
      </c>
    </row>
    <row r="207" spans="1:8" x14ac:dyDescent="0.3">
      <c r="A207" t="s">
        <v>104</v>
      </c>
      <c r="B207">
        <v>2015</v>
      </c>
      <c r="C207" t="s">
        <v>310</v>
      </c>
      <c r="D207" t="s">
        <v>311</v>
      </c>
      <c r="E207" t="s">
        <v>65</v>
      </c>
      <c r="F207">
        <v>14800</v>
      </c>
      <c r="G207" t="s">
        <v>66</v>
      </c>
      <c r="H207">
        <v>4</v>
      </c>
    </row>
    <row r="208" spans="1:8" x14ac:dyDescent="0.3">
      <c r="A208" t="s">
        <v>104</v>
      </c>
      <c r="B208">
        <v>2016</v>
      </c>
      <c r="C208" t="s">
        <v>310</v>
      </c>
      <c r="D208" t="s">
        <v>311</v>
      </c>
      <c r="E208" t="s">
        <v>65</v>
      </c>
      <c r="F208">
        <v>14800</v>
      </c>
      <c r="G208" t="s">
        <v>66</v>
      </c>
      <c r="H208">
        <v>8</v>
      </c>
    </row>
    <row r="209" spans="1:8" x14ac:dyDescent="0.3">
      <c r="A209" t="s">
        <v>104</v>
      </c>
      <c r="B209">
        <v>2017</v>
      </c>
      <c r="C209" t="s">
        <v>310</v>
      </c>
      <c r="D209" t="s">
        <v>311</v>
      </c>
      <c r="E209" t="s">
        <v>65</v>
      </c>
      <c r="F209">
        <v>14800</v>
      </c>
      <c r="G209" t="s">
        <v>66</v>
      </c>
      <c r="H209">
        <v>4</v>
      </c>
    </row>
    <row r="210" spans="1:8" x14ac:dyDescent="0.3">
      <c r="A210" t="s">
        <v>104</v>
      </c>
      <c r="B210">
        <v>2018</v>
      </c>
      <c r="C210" t="s">
        <v>310</v>
      </c>
      <c r="D210" t="s">
        <v>311</v>
      </c>
      <c r="E210" t="s">
        <v>65</v>
      </c>
      <c r="F210">
        <v>14800</v>
      </c>
      <c r="G210" t="s">
        <v>66</v>
      </c>
      <c r="H210">
        <v>1</v>
      </c>
    </row>
    <row r="211" spans="1:8" x14ac:dyDescent="0.3">
      <c r="A211" t="s">
        <v>104</v>
      </c>
      <c r="B211">
        <v>2019</v>
      </c>
      <c r="C211" t="s">
        <v>310</v>
      </c>
      <c r="D211" t="s">
        <v>311</v>
      </c>
      <c r="E211" t="s">
        <v>65</v>
      </c>
      <c r="F211">
        <v>14800</v>
      </c>
      <c r="G211" t="s">
        <v>66</v>
      </c>
      <c r="H211">
        <v>4</v>
      </c>
    </row>
    <row r="212" spans="1:8" x14ac:dyDescent="0.3">
      <c r="A212" t="s">
        <v>104</v>
      </c>
      <c r="B212">
        <v>2020</v>
      </c>
      <c r="C212" t="s">
        <v>310</v>
      </c>
      <c r="D212" t="s">
        <v>311</v>
      </c>
      <c r="E212" t="s">
        <v>65</v>
      </c>
      <c r="F212">
        <v>14800</v>
      </c>
      <c r="G212" t="s">
        <v>66</v>
      </c>
      <c r="H212">
        <v>1</v>
      </c>
    </row>
    <row r="213" spans="1:8" x14ac:dyDescent="0.3">
      <c r="A213" t="s">
        <v>104</v>
      </c>
      <c r="B213">
        <v>2021</v>
      </c>
      <c r="C213" t="s">
        <v>310</v>
      </c>
      <c r="D213" t="s">
        <v>311</v>
      </c>
      <c r="E213" t="s">
        <v>65</v>
      </c>
      <c r="F213">
        <v>14800</v>
      </c>
      <c r="G213" t="s">
        <v>66</v>
      </c>
      <c r="H213">
        <v>2</v>
      </c>
    </row>
    <row r="214" spans="1:8" x14ac:dyDescent="0.3">
      <c r="A214" t="s">
        <v>105</v>
      </c>
      <c r="B214">
        <v>2014</v>
      </c>
      <c r="C214" t="s">
        <v>310</v>
      </c>
      <c r="D214" t="s">
        <v>311</v>
      </c>
      <c r="E214" t="s">
        <v>65</v>
      </c>
      <c r="F214">
        <v>16300</v>
      </c>
      <c r="G214" t="s">
        <v>66</v>
      </c>
      <c r="H214">
        <v>7</v>
      </c>
    </row>
    <row r="215" spans="1:8" x14ac:dyDescent="0.3">
      <c r="A215" t="s">
        <v>105</v>
      </c>
      <c r="B215">
        <v>2015</v>
      </c>
      <c r="C215" t="s">
        <v>310</v>
      </c>
      <c r="D215" t="s">
        <v>311</v>
      </c>
      <c r="E215" t="s">
        <v>65</v>
      </c>
      <c r="F215">
        <v>16300</v>
      </c>
      <c r="G215" t="s">
        <v>66</v>
      </c>
      <c r="H215">
        <v>6</v>
      </c>
    </row>
    <row r="216" spans="1:8" x14ac:dyDescent="0.3">
      <c r="A216" t="s">
        <v>105</v>
      </c>
      <c r="B216">
        <v>2016</v>
      </c>
      <c r="C216" t="s">
        <v>310</v>
      </c>
      <c r="D216" t="s">
        <v>311</v>
      </c>
      <c r="E216" t="s">
        <v>65</v>
      </c>
      <c r="F216">
        <v>16300</v>
      </c>
      <c r="G216" t="s">
        <v>66</v>
      </c>
      <c r="H216">
        <v>6</v>
      </c>
    </row>
    <row r="217" spans="1:8" x14ac:dyDescent="0.3">
      <c r="A217" t="s">
        <v>105</v>
      </c>
      <c r="B217">
        <v>2017</v>
      </c>
      <c r="C217" t="s">
        <v>310</v>
      </c>
      <c r="D217" t="s">
        <v>311</v>
      </c>
      <c r="E217" t="s">
        <v>65</v>
      </c>
      <c r="F217">
        <v>16300</v>
      </c>
      <c r="G217" t="s">
        <v>66</v>
      </c>
      <c r="H217">
        <v>16</v>
      </c>
    </row>
    <row r="218" spans="1:8" x14ac:dyDescent="0.3">
      <c r="A218" t="s">
        <v>105</v>
      </c>
      <c r="B218">
        <v>2018</v>
      </c>
      <c r="C218" t="s">
        <v>310</v>
      </c>
      <c r="D218" t="s">
        <v>311</v>
      </c>
      <c r="E218" t="s">
        <v>65</v>
      </c>
      <c r="F218">
        <v>16300</v>
      </c>
      <c r="G218" t="s">
        <v>66</v>
      </c>
      <c r="H218">
        <v>3</v>
      </c>
    </row>
    <row r="219" spans="1:8" x14ac:dyDescent="0.3">
      <c r="A219" t="s">
        <v>105</v>
      </c>
      <c r="B219">
        <v>2019</v>
      </c>
      <c r="C219" t="s">
        <v>310</v>
      </c>
      <c r="D219" t="s">
        <v>311</v>
      </c>
      <c r="E219" t="s">
        <v>65</v>
      </c>
      <c r="F219">
        <v>16300</v>
      </c>
      <c r="G219" t="s">
        <v>66</v>
      </c>
      <c r="H219">
        <v>3</v>
      </c>
    </row>
    <row r="220" spans="1:8" x14ac:dyDescent="0.3">
      <c r="A220" t="s">
        <v>105</v>
      </c>
      <c r="B220">
        <v>2020</v>
      </c>
      <c r="C220" t="s">
        <v>310</v>
      </c>
      <c r="D220" t="s">
        <v>311</v>
      </c>
      <c r="E220" t="s">
        <v>65</v>
      </c>
      <c r="F220">
        <v>16300</v>
      </c>
      <c r="G220" t="s">
        <v>66</v>
      </c>
      <c r="H220">
        <v>4</v>
      </c>
    </row>
    <row r="221" spans="1:8" x14ac:dyDescent="0.3">
      <c r="A221" t="s">
        <v>105</v>
      </c>
      <c r="B221">
        <v>2021</v>
      </c>
      <c r="C221" t="s">
        <v>310</v>
      </c>
      <c r="D221" t="s">
        <v>311</v>
      </c>
      <c r="E221" t="s">
        <v>65</v>
      </c>
      <c r="F221">
        <v>16300</v>
      </c>
      <c r="G221" t="s">
        <v>66</v>
      </c>
      <c r="H221">
        <v>4</v>
      </c>
    </row>
    <row r="222" spans="1:8" x14ac:dyDescent="0.3">
      <c r="A222" t="s">
        <v>106</v>
      </c>
      <c r="B222">
        <v>2014</v>
      </c>
      <c r="C222" t="s">
        <v>310</v>
      </c>
      <c r="D222" t="s">
        <v>311</v>
      </c>
      <c r="E222" t="s">
        <v>65</v>
      </c>
      <c r="F222">
        <v>15000</v>
      </c>
      <c r="G222" t="s">
        <v>66</v>
      </c>
      <c r="H222">
        <v>4</v>
      </c>
    </row>
    <row r="223" spans="1:8" x14ac:dyDescent="0.3">
      <c r="A223" t="s">
        <v>106</v>
      </c>
      <c r="B223">
        <v>2015</v>
      </c>
      <c r="C223" t="s">
        <v>310</v>
      </c>
      <c r="D223" t="s">
        <v>311</v>
      </c>
      <c r="E223" t="s">
        <v>65</v>
      </c>
      <c r="F223">
        <v>15000</v>
      </c>
      <c r="G223" t="s">
        <v>66</v>
      </c>
      <c r="H223">
        <v>8</v>
      </c>
    </row>
    <row r="224" spans="1:8" x14ac:dyDescent="0.3">
      <c r="A224" t="s">
        <v>106</v>
      </c>
      <c r="B224">
        <v>2016</v>
      </c>
      <c r="C224" t="s">
        <v>310</v>
      </c>
      <c r="D224" t="s">
        <v>311</v>
      </c>
      <c r="E224" t="s">
        <v>65</v>
      </c>
      <c r="F224">
        <v>15000</v>
      </c>
      <c r="G224" t="s">
        <v>66</v>
      </c>
      <c r="H224">
        <v>3</v>
      </c>
    </row>
    <row r="225" spans="1:8" x14ac:dyDescent="0.3">
      <c r="A225" t="s">
        <v>106</v>
      </c>
      <c r="B225">
        <v>2017</v>
      </c>
      <c r="C225" t="s">
        <v>310</v>
      </c>
      <c r="D225" t="s">
        <v>311</v>
      </c>
      <c r="E225" t="s">
        <v>65</v>
      </c>
      <c r="F225">
        <v>15000</v>
      </c>
      <c r="G225" t="s">
        <v>66</v>
      </c>
      <c r="H225">
        <v>19</v>
      </c>
    </row>
    <row r="226" spans="1:8" x14ac:dyDescent="0.3">
      <c r="A226" t="s">
        <v>106</v>
      </c>
      <c r="B226">
        <v>2018</v>
      </c>
      <c r="C226" t="s">
        <v>310</v>
      </c>
      <c r="D226" t="s">
        <v>311</v>
      </c>
      <c r="E226" t="s">
        <v>65</v>
      </c>
      <c r="F226">
        <v>15000</v>
      </c>
      <c r="G226" t="s">
        <v>66</v>
      </c>
      <c r="H226">
        <v>8</v>
      </c>
    </row>
    <row r="227" spans="1:8" x14ac:dyDescent="0.3">
      <c r="A227" t="s">
        <v>106</v>
      </c>
      <c r="B227">
        <v>2019</v>
      </c>
      <c r="C227" t="s">
        <v>310</v>
      </c>
      <c r="D227" t="s">
        <v>311</v>
      </c>
      <c r="E227" t="s">
        <v>65</v>
      </c>
      <c r="F227">
        <v>15000</v>
      </c>
      <c r="G227" t="s">
        <v>66</v>
      </c>
      <c r="H227">
        <v>6</v>
      </c>
    </row>
    <row r="228" spans="1:8" x14ac:dyDescent="0.3">
      <c r="A228" t="s">
        <v>106</v>
      </c>
      <c r="B228">
        <v>2020</v>
      </c>
      <c r="C228" t="s">
        <v>310</v>
      </c>
      <c r="D228" t="s">
        <v>311</v>
      </c>
      <c r="E228" t="s">
        <v>65</v>
      </c>
      <c r="F228">
        <v>15000</v>
      </c>
      <c r="G228" t="s">
        <v>66</v>
      </c>
      <c r="H228">
        <v>5</v>
      </c>
    </row>
    <row r="229" spans="1:8" x14ac:dyDescent="0.3">
      <c r="A229" t="s">
        <v>106</v>
      </c>
      <c r="B229">
        <v>2021</v>
      </c>
      <c r="C229" t="s">
        <v>310</v>
      </c>
      <c r="D229" t="s">
        <v>311</v>
      </c>
      <c r="E229" t="s">
        <v>65</v>
      </c>
      <c r="F229">
        <v>15000</v>
      </c>
      <c r="G229" t="s">
        <v>66</v>
      </c>
      <c r="H229">
        <v>5</v>
      </c>
    </row>
    <row r="230" spans="1:8" x14ac:dyDescent="0.3">
      <c r="A230" t="s">
        <v>107</v>
      </c>
      <c r="B230">
        <v>2015</v>
      </c>
      <c r="C230" t="s">
        <v>310</v>
      </c>
      <c r="D230" t="s">
        <v>311</v>
      </c>
      <c r="E230" t="s">
        <v>65</v>
      </c>
      <c r="F230">
        <v>22002</v>
      </c>
      <c r="G230" t="s">
        <v>72</v>
      </c>
      <c r="H230">
        <v>2</v>
      </c>
    </row>
    <row r="231" spans="1:8" x14ac:dyDescent="0.3">
      <c r="A231" t="s">
        <v>107</v>
      </c>
      <c r="B231">
        <v>2016</v>
      </c>
      <c r="C231" t="s">
        <v>310</v>
      </c>
      <c r="D231" t="s">
        <v>311</v>
      </c>
      <c r="E231" t="s">
        <v>65</v>
      </c>
      <c r="F231">
        <v>22002</v>
      </c>
      <c r="G231" t="s">
        <v>72</v>
      </c>
      <c r="H231">
        <v>1</v>
      </c>
    </row>
    <row r="232" spans="1:8" x14ac:dyDescent="0.3">
      <c r="A232" t="s">
        <v>107</v>
      </c>
      <c r="B232">
        <v>2017</v>
      </c>
      <c r="C232" t="s">
        <v>310</v>
      </c>
      <c r="D232" t="s">
        <v>311</v>
      </c>
      <c r="E232" t="s">
        <v>65</v>
      </c>
      <c r="F232">
        <v>22002</v>
      </c>
      <c r="G232" t="s">
        <v>72</v>
      </c>
      <c r="H232">
        <v>1</v>
      </c>
    </row>
    <row r="233" spans="1:8" x14ac:dyDescent="0.3">
      <c r="A233" t="s">
        <v>107</v>
      </c>
      <c r="B233">
        <v>2018</v>
      </c>
      <c r="C233" t="s">
        <v>310</v>
      </c>
      <c r="D233" t="s">
        <v>311</v>
      </c>
      <c r="E233" t="s">
        <v>65</v>
      </c>
      <c r="F233">
        <v>22002</v>
      </c>
      <c r="G233" t="s">
        <v>72</v>
      </c>
      <c r="H233">
        <v>1</v>
      </c>
    </row>
    <row r="234" spans="1:8" x14ac:dyDescent="0.3">
      <c r="A234" t="s">
        <v>107</v>
      </c>
      <c r="B234">
        <v>2019</v>
      </c>
      <c r="C234" t="s">
        <v>310</v>
      </c>
      <c r="D234" t="s">
        <v>311</v>
      </c>
      <c r="E234" t="s">
        <v>65</v>
      </c>
      <c r="F234">
        <v>22002</v>
      </c>
      <c r="G234" t="s">
        <v>72</v>
      </c>
      <c r="H234">
        <v>2</v>
      </c>
    </row>
    <row r="235" spans="1:8" x14ac:dyDescent="0.3">
      <c r="A235" t="s">
        <v>198</v>
      </c>
      <c r="B235">
        <v>2015</v>
      </c>
      <c r="C235" t="s">
        <v>310</v>
      </c>
      <c r="D235" t="s">
        <v>311</v>
      </c>
      <c r="E235" t="s">
        <v>65</v>
      </c>
      <c r="F235">
        <v>30000</v>
      </c>
      <c r="G235" t="s">
        <v>72</v>
      </c>
      <c r="H235">
        <v>1</v>
      </c>
    </row>
    <row r="236" spans="1:8" x14ac:dyDescent="0.3">
      <c r="A236" t="s">
        <v>198</v>
      </c>
      <c r="B236">
        <v>2017</v>
      </c>
      <c r="C236" t="s">
        <v>310</v>
      </c>
      <c r="D236" t="s">
        <v>311</v>
      </c>
      <c r="E236" t="s">
        <v>65</v>
      </c>
      <c r="F236">
        <v>30000</v>
      </c>
      <c r="G236" t="s">
        <v>72</v>
      </c>
      <c r="H236">
        <v>1</v>
      </c>
    </row>
    <row r="237" spans="1:8" x14ac:dyDescent="0.3">
      <c r="A237" t="s">
        <v>198</v>
      </c>
      <c r="B237">
        <v>2018</v>
      </c>
      <c r="C237" t="s">
        <v>310</v>
      </c>
      <c r="D237" t="s">
        <v>311</v>
      </c>
      <c r="E237" t="s">
        <v>65</v>
      </c>
      <c r="F237">
        <v>30000</v>
      </c>
      <c r="G237" t="s">
        <v>72</v>
      </c>
      <c r="H237">
        <v>5</v>
      </c>
    </row>
    <row r="238" spans="1:8" x14ac:dyDescent="0.3">
      <c r="A238" t="s">
        <v>198</v>
      </c>
      <c r="B238">
        <v>2019</v>
      </c>
      <c r="C238" t="s">
        <v>310</v>
      </c>
      <c r="D238" t="s">
        <v>311</v>
      </c>
      <c r="E238" t="s">
        <v>65</v>
      </c>
      <c r="F238">
        <v>30000</v>
      </c>
      <c r="G238" t="s">
        <v>72</v>
      </c>
      <c r="H238">
        <v>7</v>
      </c>
    </row>
    <row r="239" spans="1:8" x14ac:dyDescent="0.3">
      <c r="A239" t="s">
        <v>198</v>
      </c>
      <c r="B239">
        <v>2020</v>
      </c>
      <c r="C239" t="s">
        <v>310</v>
      </c>
      <c r="D239" t="s">
        <v>311</v>
      </c>
      <c r="E239" t="s">
        <v>65</v>
      </c>
      <c r="F239">
        <v>30000</v>
      </c>
      <c r="G239" t="s">
        <v>72</v>
      </c>
      <c r="H239">
        <v>8</v>
      </c>
    </row>
    <row r="240" spans="1:8" x14ac:dyDescent="0.3">
      <c r="A240" t="s">
        <v>198</v>
      </c>
      <c r="B240">
        <v>2021</v>
      </c>
      <c r="C240" t="s">
        <v>310</v>
      </c>
      <c r="D240" t="s">
        <v>311</v>
      </c>
      <c r="E240" t="s">
        <v>65</v>
      </c>
      <c r="F240">
        <v>30000</v>
      </c>
      <c r="G240" t="s">
        <v>72</v>
      </c>
      <c r="H240">
        <v>5</v>
      </c>
    </row>
    <row r="241" spans="1:8" x14ac:dyDescent="0.3">
      <c r="A241" t="s">
        <v>199</v>
      </c>
      <c r="B241">
        <v>2018</v>
      </c>
      <c r="C241" t="s">
        <v>310</v>
      </c>
      <c r="D241" t="s">
        <v>311</v>
      </c>
      <c r="E241" t="s">
        <v>65</v>
      </c>
      <c r="F241">
        <v>30800</v>
      </c>
      <c r="G241" t="s">
        <v>72</v>
      </c>
      <c r="H241">
        <v>1</v>
      </c>
    </row>
    <row r="242" spans="1:8" x14ac:dyDescent="0.3">
      <c r="A242" t="s">
        <v>199</v>
      </c>
      <c r="B242">
        <v>2019</v>
      </c>
      <c r="C242" t="s">
        <v>310</v>
      </c>
      <c r="D242" t="s">
        <v>311</v>
      </c>
      <c r="E242" t="s">
        <v>65</v>
      </c>
      <c r="F242">
        <v>30800</v>
      </c>
      <c r="G242" t="s">
        <v>72</v>
      </c>
      <c r="H242">
        <v>2</v>
      </c>
    </row>
    <row r="243" spans="1:8" x14ac:dyDescent="0.3">
      <c r="A243" t="s">
        <v>199</v>
      </c>
      <c r="B243">
        <v>2020</v>
      </c>
      <c r="C243" t="s">
        <v>310</v>
      </c>
      <c r="D243" t="s">
        <v>311</v>
      </c>
      <c r="E243" t="s">
        <v>65</v>
      </c>
      <c r="F243">
        <v>30800</v>
      </c>
      <c r="G243" t="s">
        <v>72</v>
      </c>
      <c r="H243">
        <v>2</v>
      </c>
    </row>
    <row r="244" spans="1:8" x14ac:dyDescent="0.3">
      <c r="A244" t="s">
        <v>199</v>
      </c>
      <c r="B244">
        <v>2021</v>
      </c>
      <c r="C244" t="s">
        <v>310</v>
      </c>
      <c r="D244" t="s">
        <v>311</v>
      </c>
      <c r="E244" t="s">
        <v>65</v>
      </c>
      <c r="F244">
        <v>30800</v>
      </c>
      <c r="G244" t="s">
        <v>72</v>
      </c>
      <c r="H244">
        <v>3</v>
      </c>
    </row>
    <row r="245" spans="1:8" x14ac:dyDescent="0.3">
      <c r="A245" t="s">
        <v>200</v>
      </c>
      <c r="B245">
        <v>2014</v>
      </c>
      <c r="C245" t="s">
        <v>310</v>
      </c>
      <c r="D245" t="s">
        <v>311</v>
      </c>
      <c r="E245" t="s">
        <v>65</v>
      </c>
      <c r="F245">
        <v>35699</v>
      </c>
      <c r="G245" t="s">
        <v>66</v>
      </c>
      <c r="H245">
        <v>6</v>
      </c>
    </row>
    <row r="246" spans="1:8" x14ac:dyDescent="0.3">
      <c r="A246" t="s">
        <v>200</v>
      </c>
      <c r="B246">
        <v>2015</v>
      </c>
      <c r="C246" t="s">
        <v>310</v>
      </c>
      <c r="D246" t="s">
        <v>311</v>
      </c>
      <c r="E246" t="s">
        <v>65</v>
      </c>
      <c r="F246">
        <v>35699</v>
      </c>
      <c r="G246" t="s">
        <v>66</v>
      </c>
      <c r="H246">
        <v>2</v>
      </c>
    </row>
    <row r="247" spans="1:8" x14ac:dyDescent="0.3">
      <c r="A247" t="s">
        <v>200</v>
      </c>
      <c r="B247">
        <v>2016</v>
      </c>
      <c r="C247" t="s">
        <v>310</v>
      </c>
      <c r="D247" t="s">
        <v>311</v>
      </c>
      <c r="E247" t="s">
        <v>65</v>
      </c>
      <c r="F247">
        <v>35699</v>
      </c>
      <c r="G247" t="s">
        <v>66</v>
      </c>
      <c r="H247">
        <v>4</v>
      </c>
    </row>
    <row r="248" spans="1:8" x14ac:dyDescent="0.3">
      <c r="A248" t="s">
        <v>200</v>
      </c>
      <c r="B248">
        <v>2017</v>
      </c>
      <c r="C248" t="s">
        <v>310</v>
      </c>
      <c r="D248" t="s">
        <v>311</v>
      </c>
      <c r="E248" t="s">
        <v>65</v>
      </c>
      <c r="F248">
        <v>35699</v>
      </c>
      <c r="G248" t="s">
        <v>66</v>
      </c>
      <c r="H248">
        <v>3</v>
      </c>
    </row>
    <row r="249" spans="1:8" x14ac:dyDescent="0.3">
      <c r="A249" t="s">
        <v>200</v>
      </c>
      <c r="B249">
        <v>2020</v>
      </c>
      <c r="C249" t="s">
        <v>310</v>
      </c>
      <c r="D249" t="s">
        <v>311</v>
      </c>
      <c r="E249" t="s">
        <v>65</v>
      </c>
      <c r="F249">
        <v>35699</v>
      </c>
      <c r="G249" t="s">
        <v>66</v>
      </c>
      <c r="H249">
        <v>3</v>
      </c>
    </row>
    <row r="250" spans="1:8" x14ac:dyDescent="0.3">
      <c r="A250" t="s">
        <v>200</v>
      </c>
      <c r="B250">
        <v>2021</v>
      </c>
      <c r="C250" t="s">
        <v>310</v>
      </c>
      <c r="D250" t="s">
        <v>311</v>
      </c>
      <c r="E250" t="s">
        <v>65</v>
      </c>
      <c r="F250">
        <v>35699</v>
      </c>
      <c r="G250" t="s">
        <v>66</v>
      </c>
      <c r="H250">
        <v>5</v>
      </c>
    </row>
    <row r="251" spans="1:8" x14ac:dyDescent="0.3">
      <c r="A251" t="s">
        <v>108</v>
      </c>
      <c r="B251">
        <v>2014</v>
      </c>
      <c r="C251" t="s">
        <v>310</v>
      </c>
      <c r="D251" t="s">
        <v>311</v>
      </c>
      <c r="E251" t="s">
        <v>65</v>
      </c>
      <c r="F251">
        <v>37478</v>
      </c>
      <c r="G251" t="s">
        <v>72</v>
      </c>
      <c r="H251">
        <v>1</v>
      </c>
    </row>
    <row r="252" spans="1:8" x14ac:dyDescent="0.3">
      <c r="A252" t="s">
        <v>108</v>
      </c>
      <c r="B252">
        <v>2015</v>
      </c>
      <c r="C252" t="s">
        <v>310</v>
      </c>
      <c r="D252" t="s">
        <v>311</v>
      </c>
      <c r="E252" t="s">
        <v>65</v>
      </c>
      <c r="F252">
        <v>37478</v>
      </c>
      <c r="G252" t="s">
        <v>72</v>
      </c>
      <c r="H252">
        <v>1</v>
      </c>
    </row>
    <row r="253" spans="1:8" x14ac:dyDescent="0.3">
      <c r="A253" t="s">
        <v>108</v>
      </c>
      <c r="B253">
        <v>2016</v>
      </c>
      <c r="C253" t="s">
        <v>310</v>
      </c>
      <c r="D253" t="s">
        <v>311</v>
      </c>
      <c r="E253" t="s">
        <v>65</v>
      </c>
      <c r="F253">
        <v>37478</v>
      </c>
      <c r="G253" t="s">
        <v>72</v>
      </c>
      <c r="H253">
        <v>2</v>
      </c>
    </row>
    <row r="254" spans="1:8" x14ac:dyDescent="0.3">
      <c r="A254" t="s">
        <v>108</v>
      </c>
      <c r="B254">
        <v>2018</v>
      </c>
      <c r="C254" t="s">
        <v>310</v>
      </c>
      <c r="D254" t="s">
        <v>311</v>
      </c>
      <c r="E254" t="s">
        <v>65</v>
      </c>
      <c r="F254">
        <v>37478</v>
      </c>
      <c r="G254" t="s">
        <v>72</v>
      </c>
      <c r="H254">
        <v>2</v>
      </c>
    </row>
    <row r="255" spans="1:8" x14ac:dyDescent="0.3">
      <c r="A255" t="s">
        <v>108</v>
      </c>
      <c r="B255">
        <v>2019</v>
      </c>
      <c r="C255" t="s">
        <v>310</v>
      </c>
      <c r="D255" t="s">
        <v>311</v>
      </c>
      <c r="E255" t="s">
        <v>65</v>
      </c>
      <c r="F255">
        <v>37478</v>
      </c>
      <c r="G255" t="s">
        <v>72</v>
      </c>
      <c r="H255">
        <v>3</v>
      </c>
    </row>
    <row r="256" spans="1:8" x14ac:dyDescent="0.3">
      <c r="A256" t="s">
        <v>108</v>
      </c>
      <c r="B256">
        <v>2020</v>
      </c>
      <c r="C256" t="s">
        <v>310</v>
      </c>
      <c r="D256" t="s">
        <v>311</v>
      </c>
      <c r="E256" t="s">
        <v>65</v>
      </c>
      <c r="F256">
        <v>37478</v>
      </c>
      <c r="G256" t="s">
        <v>72</v>
      </c>
      <c r="H256">
        <v>5</v>
      </c>
    </row>
    <row r="257" spans="1:8" x14ac:dyDescent="0.3">
      <c r="A257" t="s">
        <v>108</v>
      </c>
      <c r="B257">
        <v>2021</v>
      </c>
      <c r="C257" t="s">
        <v>310</v>
      </c>
      <c r="D257" t="s">
        <v>311</v>
      </c>
      <c r="E257" t="s">
        <v>65</v>
      </c>
      <c r="F257">
        <v>37478</v>
      </c>
      <c r="G257" t="s">
        <v>72</v>
      </c>
      <c r="H257">
        <v>1</v>
      </c>
    </row>
    <row r="258" spans="1:8" x14ac:dyDescent="0.3">
      <c r="A258" t="s">
        <v>202</v>
      </c>
      <c r="B258">
        <v>2018</v>
      </c>
      <c r="C258" t="s">
        <v>310</v>
      </c>
      <c r="D258" t="s">
        <v>311</v>
      </c>
      <c r="E258" t="s">
        <v>65</v>
      </c>
      <c r="F258">
        <v>40600</v>
      </c>
      <c r="G258" t="s">
        <v>72</v>
      </c>
      <c r="H258">
        <v>2</v>
      </c>
    </row>
    <row r="259" spans="1:8" x14ac:dyDescent="0.3">
      <c r="A259" t="s">
        <v>202</v>
      </c>
      <c r="B259">
        <v>2019</v>
      </c>
      <c r="C259" t="s">
        <v>310</v>
      </c>
      <c r="D259" t="s">
        <v>311</v>
      </c>
      <c r="E259" t="s">
        <v>65</v>
      </c>
      <c r="F259">
        <v>40600</v>
      </c>
      <c r="G259" t="s">
        <v>72</v>
      </c>
      <c r="H259">
        <v>3</v>
      </c>
    </row>
    <row r="260" spans="1:8" x14ac:dyDescent="0.3">
      <c r="A260" t="s">
        <v>202</v>
      </c>
      <c r="B260">
        <v>2020</v>
      </c>
      <c r="C260" t="s">
        <v>310</v>
      </c>
      <c r="D260" t="s">
        <v>311</v>
      </c>
      <c r="E260" t="s">
        <v>65</v>
      </c>
      <c r="F260">
        <v>40600</v>
      </c>
      <c r="G260" t="s">
        <v>72</v>
      </c>
      <c r="H260">
        <v>2</v>
      </c>
    </row>
    <row r="261" spans="1:8" x14ac:dyDescent="0.3">
      <c r="A261" t="s">
        <v>202</v>
      </c>
      <c r="B261">
        <v>2021</v>
      </c>
      <c r="C261" t="s">
        <v>310</v>
      </c>
      <c r="D261" t="s">
        <v>311</v>
      </c>
      <c r="E261" t="s">
        <v>65</v>
      </c>
      <c r="F261">
        <v>40600</v>
      </c>
      <c r="G261" t="s">
        <v>72</v>
      </c>
      <c r="H261">
        <v>1</v>
      </c>
    </row>
    <row r="262" spans="1:8" x14ac:dyDescent="0.3">
      <c r="A262" t="s">
        <v>203</v>
      </c>
      <c r="B262">
        <v>2015</v>
      </c>
      <c r="C262" t="s">
        <v>310</v>
      </c>
      <c r="D262" t="s">
        <v>311</v>
      </c>
      <c r="E262" t="s">
        <v>65</v>
      </c>
      <c r="F262">
        <v>48200</v>
      </c>
      <c r="G262" t="s">
        <v>72</v>
      </c>
      <c r="H262">
        <v>3</v>
      </c>
    </row>
    <row r="263" spans="1:8" x14ac:dyDescent="0.3">
      <c r="A263" t="s">
        <v>203</v>
      </c>
      <c r="B263">
        <v>2016</v>
      </c>
      <c r="C263" t="s">
        <v>310</v>
      </c>
      <c r="D263" t="s">
        <v>311</v>
      </c>
      <c r="E263" t="s">
        <v>65</v>
      </c>
      <c r="F263">
        <v>48200</v>
      </c>
      <c r="G263" t="s">
        <v>72</v>
      </c>
      <c r="H263">
        <v>2</v>
      </c>
    </row>
    <row r="264" spans="1:8" x14ac:dyDescent="0.3">
      <c r="A264" t="s">
        <v>203</v>
      </c>
      <c r="B264">
        <v>2019</v>
      </c>
      <c r="C264" t="s">
        <v>310</v>
      </c>
      <c r="D264" t="s">
        <v>311</v>
      </c>
      <c r="E264" t="s">
        <v>65</v>
      </c>
      <c r="F264">
        <v>48200</v>
      </c>
      <c r="G264" t="s">
        <v>72</v>
      </c>
      <c r="H264">
        <v>1</v>
      </c>
    </row>
    <row r="265" spans="1:8" x14ac:dyDescent="0.3">
      <c r="A265" t="s">
        <v>203</v>
      </c>
      <c r="B265">
        <v>2020</v>
      </c>
      <c r="C265" t="s">
        <v>310</v>
      </c>
      <c r="D265" t="s">
        <v>311</v>
      </c>
      <c r="E265" t="s">
        <v>65</v>
      </c>
      <c r="F265">
        <v>48200</v>
      </c>
      <c r="G265" t="s">
        <v>72</v>
      </c>
      <c r="H265">
        <v>1</v>
      </c>
    </row>
    <row r="266" spans="1:8" x14ac:dyDescent="0.3">
      <c r="A266" t="s">
        <v>203</v>
      </c>
      <c r="B266">
        <v>2021</v>
      </c>
      <c r="C266" t="s">
        <v>310</v>
      </c>
      <c r="D266" t="s">
        <v>311</v>
      </c>
      <c r="E266" t="s">
        <v>65</v>
      </c>
      <c r="F266">
        <v>48200</v>
      </c>
      <c r="G266" t="s">
        <v>72</v>
      </c>
      <c r="H266">
        <v>2</v>
      </c>
    </row>
    <row r="267" spans="1:8" x14ac:dyDescent="0.3">
      <c r="A267" t="s">
        <v>109</v>
      </c>
      <c r="B267">
        <v>2017</v>
      </c>
      <c r="C267" t="s">
        <v>310</v>
      </c>
      <c r="D267" t="s">
        <v>311</v>
      </c>
      <c r="E267" t="s">
        <v>65</v>
      </c>
      <c r="F267">
        <v>3600</v>
      </c>
      <c r="G267" t="s">
        <v>66</v>
      </c>
      <c r="H267">
        <v>2</v>
      </c>
    </row>
    <row r="268" spans="1:8" x14ac:dyDescent="0.3">
      <c r="A268" t="s">
        <v>109</v>
      </c>
      <c r="B268">
        <v>2019</v>
      </c>
      <c r="C268" t="s">
        <v>310</v>
      </c>
      <c r="D268" t="s">
        <v>311</v>
      </c>
      <c r="E268" t="s">
        <v>65</v>
      </c>
      <c r="F268">
        <v>3600</v>
      </c>
      <c r="G268" t="s">
        <v>66</v>
      </c>
      <c r="H268">
        <v>1</v>
      </c>
    </row>
    <row r="269" spans="1:8" x14ac:dyDescent="0.3">
      <c r="A269" t="s">
        <v>109</v>
      </c>
      <c r="B269">
        <v>2021</v>
      </c>
      <c r="C269" t="s">
        <v>310</v>
      </c>
      <c r="D269" t="s">
        <v>311</v>
      </c>
      <c r="E269" t="s">
        <v>65</v>
      </c>
      <c r="F269">
        <v>3600</v>
      </c>
      <c r="G269" t="s">
        <v>66</v>
      </c>
      <c r="H269">
        <v>2</v>
      </c>
    </row>
    <row r="270" spans="1:8" x14ac:dyDescent="0.3">
      <c r="A270" t="s">
        <v>204</v>
      </c>
      <c r="B270">
        <v>2014</v>
      </c>
      <c r="C270" t="s">
        <v>310</v>
      </c>
      <c r="D270" t="s">
        <v>311</v>
      </c>
      <c r="E270" t="s">
        <v>65</v>
      </c>
      <c r="F270">
        <v>53000</v>
      </c>
      <c r="G270" t="s">
        <v>72</v>
      </c>
      <c r="H270">
        <v>269</v>
      </c>
    </row>
    <row r="271" spans="1:8" x14ac:dyDescent="0.3">
      <c r="A271" t="s">
        <v>204</v>
      </c>
      <c r="B271">
        <v>2015</v>
      </c>
      <c r="C271" t="s">
        <v>310</v>
      </c>
      <c r="D271" t="s">
        <v>311</v>
      </c>
      <c r="E271" t="s">
        <v>65</v>
      </c>
      <c r="F271">
        <v>53000</v>
      </c>
      <c r="G271" t="s">
        <v>72</v>
      </c>
      <c r="H271">
        <v>574</v>
      </c>
    </row>
    <row r="272" spans="1:8" x14ac:dyDescent="0.3">
      <c r="A272" t="s">
        <v>204</v>
      </c>
      <c r="B272">
        <v>2016</v>
      </c>
      <c r="C272" t="s">
        <v>310</v>
      </c>
      <c r="D272" t="s">
        <v>311</v>
      </c>
      <c r="E272" t="s">
        <v>65</v>
      </c>
      <c r="F272">
        <v>53000</v>
      </c>
      <c r="G272" t="s">
        <v>72</v>
      </c>
      <c r="H272">
        <v>572</v>
      </c>
    </row>
    <row r="273" spans="1:8" x14ac:dyDescent="0.3">
      <c r="A273" t="s">
        <v>204</v>
      </c>
      <c r="B273">
        <v>2017</v>
      </c>
      <c r="C273" t="s">
        <v>310</v>
      </c>
      <c r="D273" t="s">
        <v>311</v>
      </c>
      <c r="E273" t="s">
        <v>65</v>
      </c>
      <c r="F273">
        <v>53000</v>
      </c>
      <c r="G273" t="s">
        <v>72</v>
      </c>
      <c r="H273">
        <v>577</v>
      </c>
    </row>
    <row r="274" spans="1:8" x14ac:dyDescent="0.3">
      <c r="A274" t="s">
        <v>204</v>
      </c>
      <c r="B274">
        <v>2018</v>
      </c>
      <c r="C274" t="s">
        <v>310</v>
      </c>
      <c r="D274" t="s">
        <v>311</v>
      </c>
      <c r="E274" t="s">
        <v>65</v>
      </c>
      <c r="F274">
        <v>53000</v>
      </c>
      <c r="G274" t="s">
        <v>72</v>
      </c>
      <c r="H274">
        <v>327</v>
      </c>
    </row>
    <row r="275" spans="1:8" x14ac:dyDescent="0.3">
      <c r="A275" t="s">
        <v>204</v>
      </c>
      <c r="B275">
        <v>2019</v>
      </c>
      <c r="C275" t="s">
        <v>310</v>
      </c>
      <c r="D275" t="s">
        <v>311</v>
      </c>
      <c r="E275" t="s">
        <v>65</v>
      </c>
      <c r="F275">
        <v>53000</v>
      </c>
      <c r="G275" t="s">
        <v>72</v>
      </c>
      <c r="H275">
        <v>407</v>
      </c>
    </row>
    <row r="276" spans="1:8" x14ac:dyDescent="0.3">
      <c r="A276" t="s">
        <v>204</v>
      </c>
      <c r="B276">
        <v>2020</v>
      </c>
      <c r="C276" t="s">
        <v>310</v>
      </c>
      <c r="D276" t="s">
        <v>311</v>
      </c>
      <c r="E276" t="s">
        <v>65</v>
      </c>
      <c r="F276">
        <v>53000</v>
      </c>
      <c r="G276" t="s">
        <v>72</v>
      </c>
      <c r="H276">
        <v>493</v>
      </c>
    </row>
    <row r="277" spans="1:8" x14ac:dyDescent="0.3">
      <c r="A277" t="s">
        <v>204</v>
      </c>
      <c r="B277">
        <v>2021</v>
      </c>
      <c r="C277" t="s">
        <v>310</v>
      </c>
      <c r="D277" t="s">
        <v>311</v>
      </c>
      <c r="E277" t="s">
        <v>65</v>
      </c>
      <c r="F277">
        <v>53000</v>
      </c>
      <c r="G277" t="s">
        <v>72</v>
      </c>
      <c r="H277">
        <v>447</v>
      </c>
    </row>
    <row r="278" spans="1:8" x14ac:dyDescent="0.3">
      <c r="A278" t="s">
        <v>205</v>
      </c>
      <c r="B278">
        <v>2016</v>
      </c>
      <c r="C278" t="s">
        <v>310</v>
      </c>
      <c r="D278" t="s">
        <v>311</v>
      </c>
      <c r="E278" t="s">
        <v>65</v>
      </c>
      <c r="F278">
        <v>84500</v>
      </c>
      <c r="G278" t="s">
        <v>72</v>
      </c>
      <c r="H278">
        <v>1</v>
      </c>
    </row>
    <row r="279" spans="1:8" x14ac:dyDescent="0.3">
      <c r="A279" t="s">
        <v>110</v>
      </c>
      <c r="B279">
        <v>2014</v>
      </c>
      <c r="C279" t="s">
        <v>310</v>
      </c>
      <c r="D279" t="s">
        <v>311</v>
      </c>
      <c r="E279" t="s">
        <v>65</v>
      </c>
      <c r="F279">
        <v>80500</v>
      </c>
      <c r="G279" t="s">
        <v>72</v>
      </c>
      <c r="H279">
        <v>1</v>
      </c>
    </row>
    <row r="280" spans="1:8" x14ac:dyDescent="0.3">
      <c r="A280" t="s">
        <v>110</v>
      </c>
      <c r="B280">
        <v>2020</v>
      </c>
      <c r="C280" t="s">
        <v>310</v>
      </c>
      <c r="D280" t="s">
        <v>311</v>
      </c>
      <c r="E280" t="s">
        <v>65</v>
      </c>
      <c r="F280">
        <v>80500</v>
      </c>
      <c r="G280" t="s">
        <v>72</v>
      </c>
      <c r="H280">
        <v>1</v>
      </c>
    </row>
    <row r="281" spans="1:8" x14ac:dyDescent="0.3">
      <c r="A281" t="s">
        <v>112</v>
      </c>
      <c r="B281">
        <v>2019</v>
      </c>
      <c r="C281" t="s">
        <v>310</v>
      </c>
      <c r="D281" t="s">
        <v>311</v>
      </c>
      <c r="E281" t="s">
        <v>65</v>
      </c>
      <c r="F281">
        <v>2888</v>
      </c>
      <c r="G281" t="s">
        <v>66</v>
      </c>
      <c r="H281">
        <v>1</v>
      </c>
    </row>
    <row r="282" spans="1:8" x14ac:dyDescent="0.3">
      <c r="A282" t="s">
        <v>210</v>
      </c>
      <c r="B282">
        <v>2014</v>
      </c>
      <c r="C282" t="s">
        <v>310</v>
      </c>
      <c r="D282" t="s">
        <v>311</v>
      </c>
      <c r="E282" t="s">
        <v>65</v>
      </c>
      <c r="F282">
        <v>34392</v>
      </c>
      <c r="G282" t="s">
        <v>72</v>
      </c>
      <c r="H282">
        <v>3</v>
      </c>
    </row>
    <row r="283" spans="1:8" x14ac:dyDescent="0.3">
      <c r="A283" t="s">
        <v>210</v>
      </c>
      <c r="B283">
        <v>2015</v>
      </c>
      <c r="C283" t="s">
        <v>310</v>
      </c>
      <c r="D283" t="s">
        <v>311</v>
      </c>
      <c r="E283" t="s">
        <v>65</v>
      </c>
      <c r="F283">
        <v>34392</v>
      </c>
      <c r="G283" t="s">
        <v>72</v>
      </c>
      <c r="H283">
        <v>7</v>
      </c>
    </row>
    <row r="284" spans="1:8" x14ac:dyDescent="0.3">
      <c r="A284" t="s">
        <v>210</v>
      </c>
      <c r="B284">
        <v>2016</v>
      </c>
      <c r="C284" t="s">
        <v>310</v>
      </c>
      <c r="D284" t="s">
        <v>311</v>
      </c>
      <c r="E284" t="s">
        <v>65</v>
      </c>
      <c r="F284">
        <v>34392</v>
      </c>
      <c r="G284" t="s">
        <v>72</v>
      </c>
      <c r="H284">
        <v>17</v>
      </c>
    </row>
    <row r="285" spans="1:8" x14ac:dyDescent="0.3">
      <c r="A285" t="s">
        <v>210</v>
      </c>
      <c r="B285">
        <v>2018</v>
      </c>
      <c r="C285" t="s">
        <v>310</v>
      </c>
      <c r="D285" t="s">
        <v>311</v>
      </c>
      <c r="E285" t="s">
        <v>65</v>
      </c>
      <c r="F285">
        <v>34392</v>
      </c>
      <c r="G285" t="s">
        <v>72</v>
      </c>
      <c r="H285">
        <v>1</v>
      </c>
    </row>
    <row r="286" spans="1:8" x14ac:dyDescent="0.3">
      <c r="A286" t="s">
        <v>211</v>
      </c>
      <c r="B286">
        <v>2014</v>
      </c>
      <c r="C286" t="s">
        <v>310</v>
      </c>
      <c r="D286" t="s">
        <v>311</v>
      </c>
      <c r="E286" t="s">
        <v>65</v>
      </c>
      <c r="F286">
        <v>63052</v>
      </c>
      <c r="G286" t="s">
        <v>72</v>
      </c>
      <c r="H286">
        <v>9</v>
      </c>
    </row>
    <row r="287" spans="1:8" x14ac:dyDescent="0.3">
      <c r="A287" t="s">
        <v>211</v>
      </c>
      <c r="B287">
        <v>2015</v>
      </c>
      <c r="C287" t="s">
        <v>310</v>
      </c>
      <c r="D287" t="s">
        <v>311</v>
      </c>
      <c r="E287" t="s">
        <v>65</v>
      </c>
      <c r="F287">
        <v>63052</v>
      </c>
      <c r="G287" t="s">
        <v>72</v>
      </c>
      <c r="H287">
        <v>16</v>
      </c>
    </row>
    <row r="288" spans="1:8" x14ac:dyDescent="0.3">
      <c r="A288" t="s">
        <v>211</v>
      </c>
      <c r="B288">
        <v>2016</v>
      </c>
      <c r="C288" t="s">
        <v>310</v>
      </c>
      <c r="D288" t="s">
        <v>311</v>
      </c>
      <c r="E288" t="s">
        <v>65</v>
      </c>
      <c r="F288">
        <v>63052</v>
      </c>
      <c r="G288" t="s">
        <v>72</v>
      </c>
      <c r="H288">
        <v>245</v>
      </c>
    </row>
    <row r="289" spans="1:8" x14ac:dyDescent="0.3">
      <c r="A289" t="s">
        <v>114</v>
      </c>
      <c r="B289">
        <v>2014</v>
      </c>
      <c r="C289" t="s">
        <v>310</v>
      </c>
      <c r="D289" t="s">
        <v>311</v>
      </c>
      <c r="E289" t="s">
        <v>65</v>
      </c>
      <c r="F289">
        <v>12500</v>
      </c>
      <c r="G289" t="s">
        <v>66</v>
      </c>
      <c r="H289">
        <v>1</v>
      </c>
    </row>
    <row r="290" spans="1:8" x14ac:dyDescent="0.3">
      <c r="A290" t="s">
        <v>212</v>
      </c>
      <c r="B290">
        <v>2018</v>
      </c>
      <c r="C290" t="s">
        <v>310</v>
      </c>
      <c r="D290" t="s">
        <v>311</v>
      </c>
      <c r="E290" t="s">
        <v>65</v>
      </c>
      <c r="F290">
        <v>25353</v>
      </c>
      <c r="G290" t="s">
        <v>72</v>
      </c>
      <c r="H290">
        <v>1</v>
      </c>
    </row>
    <row r="291" spans="1:8" x14ac:dyDescent="0.3">
      <c r="A291" t="s">
        <v>212</v>
      </c>
      <c r="B291">
        <v>2019</v>
      </c>
      <c r="C291" t="s">
        <v>310</v>
      </c>
      <c r="D291" t="s">
        <v>311</v>
      </c>
      <c r="E291" t="s">
        <v>65</v>
      </c>
      <c r="F291">
        <v>25353</v>
      </c>
      <c r="G291" t="s">
        <v>72</v>
      </c>
      <c r="H291">
        <v>1</v>
      </c>
    </row>
    <row r="292" spans="1:8" x14ac:dyDescent="0.3">
      <c r="A292" t="s">
        <v>212</v>
      </c>
      <c r="B292">
        <v>2021</v>
      </c>
      <c r="C292" t="s">
        <v>310</v>
      </c>
      <c r="D292" t="s">
        <v>311</v>
      </c>
      <c r="E292" t="s">
        <v>65</v>
      </c>
      <c r="F292">
        <v>25353</v>
      </c>
      <c r="G292" t="s">
        <v>72</v>
      </c>
      <c r="H292">
        <v>1</v>
      </c>
    </row>
    <row r="293" spans="1:8" x14ac:dyDescent="0.3">
      <c r="A293" t="s">
        <v>216</v>
      </c>
      <c r="B293">
        <v>2015</v>
      </c>
      <c r="C293" t="s">
        <v>310</v>
      </c>
      <c r="D293" t="s">
        <v>311</v>
      </c>
      <c r="E293" t="s">
        <v>65</v>
      </c>
      <c r="F293">
        <v>105358</v>
      </c>
      <c r="G293" t="s">
        <v>83</v>
      </c>
      <c r="H293">
        <v>1</v>
      </c>
    </row>
    <row r="294" spans="1:8" x14ac:dyDescent="0.3">
      <c r="A294" t="s">
        <v>116</v>
      </c>
      <c r="B294">
        <v>2020</v>
      </c>
      <c r="C294" t="s">
        <v>310</v>
      </c>
      <c r="D294" t="s">
        <v>311</v>
      </c>
      <c r="E294" t="s">
        <v>65</v>
      </c>
      <c r="F294">
        <v>10471</v>
      </c>
      <c r="G294" t="s">
        <v>66</v>
      </c>
      <c r="H294">
        <v>5</v>
      </c>
    </row>
    <row r="295" spans="1:8" x14ac:dyDescent="0.3">
      <c r="A295" t="s">
        <v>218</v>
      </c>
      <c r="B295">
        <v>2014</v>
      </c>
      <c r="C295" t="s">
        <v>310</v>
      </c>
      <c r="D295" t="s">
        <v>311</v>
      </c>
      <c r="E295" t="s">
        <v>65</v>
      </c>
      <c r="F295">
        <v>17528</v>
      </c>
      <c r="G295" t="s">
        <v>66</v>
      </c>
      <c r="H295">
        <v>1</v>
      </c>
    </row>
    <row r="296" spans="1:8" x14ac:dyDescent="0.3">
      <c r="A296" t="s">
        <v>218</v>
      </c>
      <c r="B296">
        <v>2015</v>
      </c>
      <c r="C296" t="s">
        <v>310</v>
      </c>
      <c r="D296" t="s">
        <v>311</v>
      </c>
      <c r="E296" t="s">
        <v>65</v>
      </c>
      <c r="F296">
        <v>17528</v>
      </c>
      <c r="G296" t="s">
        <v>66</v>
      </c>
      <c r="H296">
        <v>1</v>
      </c>
    </row>
    <row r="297" spans="1:8" x14ac:dyDescent="0.3">
      <c r="A297" t="s">
        <v>218</v>
      </c>
      <c r="B297">
        <v>2017</v>
      </c>
      <c r="C297" t="s">
        <v>310</v>
      </c>
      <c r="D297" t="s">
        <v>311</v>
      </c>
      <c r="E297" t="s">
        <v>65</v>
      </c>
      <c r="F297">
        <v>17528</v>
      </c>
      <c r="G297" t="s">
        <v>66</v>
      </c>
      <c r="H297">
        <v>1</v>
      </c>
    </row>
    <row r="298" spans="1:8" x14ac:dyDescent="0.3">
      <c r="A298" t="s">
        <v>218</v>
      </c>
      <c r="B298">
        <v>2018</v>
      </c>
      <c r="C298" t="s">
        <v>310</v>
      </c>
      <c r="D298" t="s">
        <v>311</v>
      </c>
      <c r="E298" t="s">
        <v>65</v>
      </c>
      <c r="F298">
        <v>17528</v>
      </c>
      <c r="G298" t="s">
        <v>66</v>
      </c>
      <c r="H298">
        <v>6</v>
      </c>
    </row>
    <row r="299" spans="1:8" x14ac:dyDescent="0.3">
      <c r="A299" t="s">
        <v>218</v>
      </c>
      <c r="B299">
        <v>2019</v>
      </c>
      <c r="C299" t="s">
        <v>310</v>
      </c>
      <c r="D299" t="s">
        <v>311</v>
      </c>
      <c r="E299" t="s">
        <v>65</v>
      </c>
      <c r="F299">
        <v>17528</v>
      </c>
      <c r="G299" t="s">
        <v>66</v>
      </c>
      <c r="H299">
        <v>6</v>
      </c>
    </row>
    <row r="300" spans="1:8" x14ac:dyDescent="0.3">
      <c r="A300" t="s">
        <v>218</v>
      </c>
      <c r="B300">
        <v>2020</v>
      </c>
      <c r="C300" t="s">
        <v>310</v>
      </c>
      <c r="D300" t="s">
        <v>311</v>
      </c>
      <c r="E300" t="s">
        <v>65</v>
      </c>
      <c r="F300">
        <v>17528</v>
      </c>
      <c r="G300" t="s">
        <v>66</v>
      </c>
      <c r="H300">
        <v>5</v>
      </c>
    </row>
    <row r="301" spans="1:8" x14ac:dyDescent="0.3">
      <c r="A301" t="s">
        <v>218</v>
      </c>
      <c r="B301">
        <v>2021</v>
      </c>
      <c r="C301" t="s">
        <v>310</v>
      </c>
      <c r="D301" t="s">
        <v>311</v>
      </c>
      <c r="E301" t="s">
        <v>65</v>
      </c>
      <c r="F301">
        <v>17528</v>
      </c>
      <c r="G301" t="s">
        <v>66</v>
      </c>
      <c r="H301">
        <v>6</v>
      </c>
    </row>
    <row r="302" spans="1:8" x14ac:dyDescent="0.3">
      <c r="A302" t="s">
        <v>117</v>
      </c>
      <c r="B302">
        <v>2016</v>
      </c>
      <c r="C302" t="s">
        <v>310</v>
      </c>
      <c r="D302" t="s">
        <v>311</v>
      </c>
      <c r="E302" t="s">
        <v>65</v>
      </c>
      <c r="F302">
        <v>39595</v>
      </c>
      <c r="G302" t="s">
        <v>66</v>
      </c>
      <c r="H302">
        <v>1</v>
      </c>
    </row>
    <row r="303" spans="1:8" x14ac:dyDescent="0.3">
      <c r="A303" t="s">
        <v>117</v>
      </c>
      <c r="B303">
        <v>2017</v>
      </c>
      <c r="C303" t="s">
        <v>310</v>
      </c>
      <c r="D303" t="s">
        <v>311</v>
      </c>
      <c r="E303" t="s">
        <v>65</v>
      </c>
      <c r="F303">
        <v>39595</v>
      </c>
      <c r="G303" t="s">
        <v>66</v>
      </c>
      <c r="H303">
        <v>1</v>
      </c>
    </row>
    <row r="304" spans="1:8" x14ac:dyDescent="0.3">
      <c r="A304" t="s">
        <v>117</v>
      </c>
      <c r="B304">
        <v>2019</v>
      </c>
      <c r="C304" t="s">
        <v>310</v>
      </c>
      <c r="D304" t="s">
        <v>311</v>
      </c>
      <c r="E304" t="s">
        <v>65</v>
      </c>
      <c r="F304">
        <v>39595</v>
      </c>
      <c r="G304" t="s">
        <v>66</v>
      </c>
      <c r="H304">
        <v>1</v>
      </c>
    </row>
    <row r="305" spans="1:8" x14ac:dyDescent="0.3">
      <c r="A305" t="s">
        <v>119</v>
      </c>
      <c r="B305">
        <v>2014</v>
      </c>
      <c r="C305" t="s">
        <v>310</v>
      </c>
      <c r="D305" t="s">
        <v>311</v>
      </c>
      <c r="E305" t="s">
        <v>65</v>
      </c>
      <c r="F305">
        <v>34833</v>
      </c>
      <c r="G305" t="s">
        <v>72</v>
      </c>
      <c r="H305">
        <v>1</v>
      </c>
    </row>
    <row r="306" spans="1:8" x14ac:dyDescent="0.3">
      <c r="A306" t="s">
        <v>119</v>
      </c>
      <c r="B306">
        <v>2015</v>
      </c>
      <c r="C306" t="s">
        <v>310</v>
      </c>
      <c r="D306" t="s">
        <v>311</v>
      </c>
      <c r="E306" t="s">
        <v>65</v>
      </c>
      <c r="F306">
        <v>34833</v>
      </c>
      <c r="G306" t="s">
        <v>72</v>
      </c>
      <c r="H306">
        <v>2</v>
      </c>
    </row>
    <row r="307" spans="1:8" x14ac:dyDescent="0.3">
      <c r="A307" t="s">
        <v>119</v>
      </c>
      <c r="B307">
        <v>2016</v>
      </c>
      <c r="C307" t="s">
        <v>310</v>
      </c>
      <c r="D307" t="s">
        <v>311</v>
      </c>
      <c r="E307" t="s">
        <v>65</v>
      </c>
      <c r="F307">
        <v>34833</v>
      </c>
      <c r="G307" t="s">
        <v>72</v>
      </c>
      <c r="H307">
        <v>3</v>
      </c>
    </row>
    <row r="308" spans="1:8" x14ac:dyDescent="0.3">
      <c r="A308" t="s">
        <v>119</v>
      </c>
      <c r="B308">
        <v>2017</v>
      </c>
      <c r="C308" t="s">
        <v>310</v>
      </c>
      <c r="D308" t="s">
        <v>311</v>
      </c>
      <c r="E308" t="s">
        <v>65</v>
      </c>
      <c r="F308">
        <v>34833</v>
      </c>
      <c r="G308" t="s">
        <v>72</v>
      </c>
      <c r="H308">
        <v>2</v>
      </c>
    </row>
    <row r="309" spans="1:8" x14ac:dyDescent="0.3">
      <c r="A309" t="s">
        <v>119</v>
      </c>
      <c r="B309">
        <v>2018</v>
      </c>
      <c r="C309" t="s">
        <v>310</v>
      </c>
      <c r="D309" t="s">
        <v>311</v>
      </c>
      <c r="E309" t="s">
        <v>65</v>
      </c>
      <c r="F309">
        <v>34833</v>
      </c>
      <c r="G309" t="s">
        <v>72</v>
      </c>
      <c r="H309">
        <v>2</v>
      </c>
    </row>
    <row r="310" spans="1:8" x14ac:dyDescent="0.3">
      <c r="A310" t="s">
        <v>119</v>
      </c>
      <c r="B310">
        <v>2021</v>
      </c>
      <c r="C310" t="s">
        <v>310</v>
      </c>
      <c r="D310" t="s">
        <v>311</v>
      </c>
      <c r="E310" t="s">
        <v>65</v>
      </c>
      <c r="F310">
        <v>34833</v>
      </c>
      <c r="G310" t="s">
        <v>72</v>
      </c>
      <c r="H310">
        <v>1</v>
      </c>
    </row>
    <row r="311" spans="1:8" x14ac:dyDescent="0.3">
      <c r="A311" t="s">
        <v>224</v>
      </c>
      <c r="B311">
        <v>2016</v>
      </c>
      <c r="C311" t="s">
        <v>310</v>
      </c>
      <c r="D311" t="s">
        <v>311</v>
      </c>
      <c r="E311" t="s">
        <v>65</v>
      </c>
      <c r="F311">
        <v>45503</v>
      </c>
      <c r="G311" t="s">
        <v>72</v>
      </c>
      <c r="H311">
        <v>2</v>
      </c>
    </row>
    <row r="312" spans="1:8" x14ac:dyDescent="0.3">
      <c r="A312" t="s">
        <v>224</v>
      </c>
      <c r="B312">
        <v>2021</v>
      </c>
      <c r="C312" t="s">
        <v>310</v>
      </c>
      <c r="D312" t="s">
        <v>311</v>
      </c>
      <c r="E312" t="s">
        <v>65</v>
      </c>
      <c r="F312">
        <v>45503</v>
      </c>
      <c r="G312" t="s">
        <v>72</v>
      </c>
      <c r="H312">
        <v>2</v>
      </c>
    </row>
    <row r="313" spans="1:8" x14ac:dyDescent="0.3">
      <c r="A313" t="s">
        <v>225</v>
      </c>
      <c r="B313">
        <v>2016</v>
      </c>
      <c r="C313" t="s">
        <v>310</v>
      </c>
      <c r="D313" t="s">
        <v>311</v>
      </c>
      <c r="E313" t="s">
        <v>65</v>
      </c>
      <c r="F313">
        <v>30325</v>
      </c>
      <c r="G313" t="s">
        <v>72</v>
      </c>
      <c r="H313">
        <v>1</v>
      </c>
    </row>
    <row r="314" spans="1:8" x14ac:dyDescent="0.3">
      <c r="A314" t="s">
        <v>225</v>
      </c>
      <c r="B314">
        <v>2017</v>
      </c>
      <c r="C314" t="s">
        <v>310</v>
      </c>
      <c r="D314" t="s">
        <v>311</v>
      </c>
      <c r="E314" t="s">
        <v>65</v>
      </c>
      <c r="F314">
        <v>30325</v>
      </c>
      <c r="G314" t="s">
        <v>72</v>
      </c>
      <c r="H314">
        <v>3</v>
      </c>
    </row>
    <row r="315" spans="1:8" x14ac:dyDescent="0.3">
      <c r="A315" t="s">
        <v>225</v>
      </c>
      <c r="B315">
        <v>2019</v>
      </c>
      <c r="C315" t="s">
        <v>310</v>
      </c>
      <c r="D315" t="s">
        <v>311</v>
      </c>
      <c r="E315" t="s">
        <v>65</v>
      </c>
      <c r="F315">
        <v>30325</v>
      </c>
      <c r="G315" t="s">
        <v>72</v>
      </c>
      <c r="H315">
        <v>1</v>
      </c>
    </row>
    <row r="316" spans="1:8" x14ac:dyDescent="0.3">
      <c r="A316" t="s">
        <v>225</v>
      </c>
      <c r="B316">
        <v>2021</v>
      </c>
      <c r="C316" t="s">
        <v>310</v>
      </c>
      <c r="D316" t="s">
        <v>311</v>
      </c>
      <c r="E316" t="s">
        <v>65</v>
      </c>
      <c r="F316">
        <v>30325</v>
      </c>
      <c r="G316" t="s">
        <v>72</v>
      </c>
      <c r="H316">
        <v>1</v>
      </c>
    </row>
    <row r="317" spans="1:8" x14ac:dyDescent="0.3">
      <c r="A317" t="s">
        <v>226</v>
      </c>
      <c r="B317">
        <v>2014</v>
      </c>
      <c r="C317" t="s">
        <v>310</v>
      </c>
      <c r="D317" t="s">
        <v>311</v>
      </c>
      <c r="E317" t="s">
        <v>65</v>
      </c>
      <c r="F317">
        <v>38801</v>
      </c>
      <c r="G317" t="s">
        <v>66</v>
      </c>
      <c r="H317">
        <v>1</v>
      </c>
    </row>
    <row r="318" spans="1:8" x14ac:dyDescent="0.3">
      <c r="A318" t="s">
        <v>226</v>
      </c>
      <c r="B318">
        <v>2020</v>
      </c>
      <c r="C318" t="s">
        <v>310</v>
      </c>
      <c r="D318" t="s">
        <v>311</v>
      </c>
      <c r="E318" t="s">
        <v>65</v>
      </c>
      <c r="F318">
        <v>38801</v>
      </c>
      <c r="G318" t="s">
        <v>66</v>
      </c>
      <c r="H318">
        <v>1</v>
      </c>
    </row>
    <row r="319" spans="1:8" x14ac:dyDescent="0.3">
      <c r="A319" t="s">
        <v>227</v>
      </c>
      <c r="B319">
        <v>2019</v>
      </c>
      <c r="C319" t="s">
        <v>310</v>
      </c>
      <c r="D319" t="s">
        <v>311</v>
      </c>
      <c r="E319" t="s">
        <v>65</v>
      </c>
      <c r="F319">
        <v>70000</v>
      </c>
      <c r="G319" t="s">
        <v>72</v>
      </c>
      <c r="H319">
        <v>1</v>
      </c>
    </row>
    <row r="320" spans="1:8" x14ac:dyDescent="0.3">
      <c r="A320" t="s">
        <v>228</v>
      </c>
      <c r="B320">
        <v>2017</v>
      </c>
      <c r="C320" t="s">
        <v>310</v>
      </c>
      <c r="D320" t="s">
        <v>311</v>
      </c>
      <c r="E320" t="s">
        <v>65</v>
      </c>
      <c r="F320">
        <v>26100</v>
      </c>
      <c r="G320" t="s">
        <v>72</v>
      </c>
      <c r="H320">
        <v>1</v>
      </c>
    </row>
    <row r="321" spans="1:8" x14ac:dyDescent="0.3">
      <c r="A321" t="s">
        <v>229</v>
      </c>
      <c r="B321">
        <v>2017</v>
      </c>
      <c r="C321" t="s">
        <v>310</v>
      </c>
      <c r="D321" t="s">
        <v>311</v>
      </c>
      <c r="E321" t="s">
        <v>65</v>
      </c>
      <c r="F321">
        <v>12566</v>
      </c>
      <c r="G321" t="s">
        <v>72</v>
      </c>
      <c r="H321">
        <v>1</v>
      </c>
    </row>
    <row r="322" spans="1:8" x14ac:dyDescent="0.3">
      <c r="A322" t="s">
        <v>231</v>
      </c>
      <c r="B322">
        <v>2017</v>
      </c>
      <c r="C322" t="s">
        <v>310</v>
      </c>
      <c r="D322" t="s">
        <v>311</v>
      </c>
      <c r="E322" t="s">
        <v>65</v>
      </c>
      <c r="F322">
        <v>95901</v>
      </c>
      <c r="G322" t="s">
        <v>72</v>
      </c>
      <c r="H322">
        <v>2</v>
      </c>
    </row>
    <row r="323" spans="1:8" x14ac:dyDescent="0.3">
      <c r="A323" t="s">
        <v>232</v>
      </c>
      <c r="B323">
        <v>2014</v>
      </c>
      <c r="C323" t="s">
        <v>310</v>
      </c>
      <c r="D323" t="s">
        <v>311</v>
      </c>
      <c r="E323" t="s">
        <v>65</v>
      </c>
      <c r="F323">
        <v>73200</v>
      </c>
      <c r="G323" t="s">
        <v>72</v>
      </c>
      <c r="H323">
        <v>1</v>
      </c>
    </row>
    <row r="324" spans="1:8" x14ac:dyDescent="0.3">
      <c r="A324" t="s">
        <v>232</v>
      </c>
      <c r="B324">
        <v>2015</v>
      </c>
      <c r="C324" t="s">
        <v>310</v>
      </c>
      <c r="D324" t="s">
        <v>311</v>
      </c>
      <c r="E324" t="s">
        <v>65</v>
      </c>
      <c r="F324">
        <v>73200</v>
      </c>
      <c r="G324" t="s">
        <v>72</v>
      </c>
      <c r="H324">
        <v>1</v>
      </c>
    </row>
    <row r="325" spans="1:8" x14ac:dyDescent="0.3">
      <c r="A325" t="s">
        <v>232</v>
      </c>
      <c r="B325">
        <v>2016</v>
      </c>
      <c r="C325" t="s">
        <v>310</v>
      </c>
      <c r="D325" t="s">
        <v>311</v>
      </c>
      <c r="E325" t="s">
        <v>65</v>
      </c>
      <c r="F325">
        <v>73200</v>
      </c>
      <c r="G325" t="s">
        <v>72</v>
      </c>
      <c r="H325">
        <v>4</v>
      </c>
    </row>
    <row r="326" spans="1:8" x14ac:dyDescent="0.3">
      <c r="A326" t="s">
        <v>232</v>
      </c>
      <c r="B326">
        <v>2017</v>
      </c>
      <c r="C326" t="s">
        <v>310</v>
      </c>
      <c r="D326" t="s">
        <v>311</v>
      </c>
      <c r="E326" t="s">
        <v>65</v>
      </c>
      <c r="F326">
        <v>73200</v>
      </c>
      <c r="G326" t="s">
        <v>72</v>
      </c>
      <c r="H326">
        <v>1</v>
      </c>
    </row>
    <row r="327" spans="1:8" x14ac:dyDescent="0.3">
      <c r="A327" t="s">
        <v>232</v>
      </c>
      <c r="B327">
        <v>2018</v>
      </c>
      <c r="C327" t="s">
        <v>310</v>
      </c>
      <c r="D327" t="s">
        <v>311</v>
      </c>
      <c r="E327" t="s">
        <v>65</v>
      </c>
      <c r="F327">
        <v>73200</v>
      </c>
      <c r="G327" t="s">
        <v>72</v>
      </c>
      <c r="H327">
        <v>4</v>
      </c>
    </row>
    <row r="328" spans="1:8" x14ac:dyDescent="0.3">
      <c r="A328" t="s">
        <v>232</v>
      </c>
      <c r="B328">
        <v>2019</v>
      </c>
      <c r="C328" t="s">
        <v>310</v>
      </c>
      <c r="D328" t="s">
        <v>311</v>
      </c>
      <c r="E328" t="s">
        <v>65</v>
      </c>
      <c r="F328">
        <v>73200</v>
      </c>
      <c r="G328" t="s">
        <v>72</v>
      </c>
      <c r="H328">
        <v>3</v>
      </c>
    </row>
    <row r="329" spans="1:8" x14ac:dyDescent="0.3">
      <c r="A329" t="s">
        <v>232</v>
      </c>
      <c r="B329">
        <v>2021</v>
      </c>
      <c r="C329" t="s">
        <v>310</v>
      </c>
      <c r="D329" t="s">
        <v>311</v>
      </c>
      <c r="E329" t="s">
        <v>65</v>
      </c>
      <c r="F329">
        <v>73200</v>
      </c>
      <c r="G329" t="s">
        <v>72</v>
      </c>
      <c r="H329">
        <v>1</v>
      </c>
    </row>
    <row r="330" spans="1:8" x14ac:dyDescent="0.3">
      <c r="A330" t="s">
        <v>233</v>
      </c>
      <c r="B330">
        <v>2014</v>
      </c>
      <c r="C330" t="s">
        <v>310</v>
      </c>
      <c r="D330" t="s">
        <v>311</v>
      </c>
      <c r="E330" t="s">
        <v>65</v>
      </c>
      <c r="F330">
        <v>88846</v>
      </c>
      <c r="G330" t="s">
        <v>72</v>
      </c>
      <c r="H330">
        <v>1</v>
      </c>
    </row>
    <row r="331" spans="1:8" x14ac:dyDescent="0.3">
      <c r="A331" t="s">
        <v>233</v>
      </c>
      <c r="B331">
        <v>2015</v>
      </c>
      <c r="C331" t="s">
        <v>310</v>
      </c>
      <c r="D331" t="s">
        <v>311</v>
      </c>
      <c r="E331" t="s">
        <v>65</v>
      </c>
      <c r="F331">
        <v>88846</v>
      </c>
      <c r="G331" t="s">
        <v>72</v>
      </c>
      <c r="H331">
        <v>1</v>
      </c>
    </row>
    <row r="332" spans="1:8" x14ac:dyDescent="0.3">
      <c r="A332" t="s">
        <v>233</v>
      </c>
      <c r="B332">
        <v>2017</v>
      </c>
      <c r="C332" t="s">
        <v>310</v>
      </c>
      <c r="D332" t="s">
        <v>311</v>
      </c>
      <c r="E332" t="s">
        <v>65</v>
      </c>
      <c r="F332">
        <v>88846</v>
      </c>
      <c r="G332" t="s">
        <v>72</v>
      </c>
      <c r="H332">
        <v>1</v>
      </c>
    </row>
    <row r="333" spans="1:8" x14ac:dyDescent="0.3">
      <c r="A333" t="s">
        <v>233</v>
      </c>
      <c r="B333">
        <v>2018</v>
      </c>
      <c r="C333" t="s">
        <v>310</v>
      </c>
      <c r="D333" t="s">
        <v>311</v>
      </c>
      <c r="E333" t="s">
        <v>65</v>
      </c>
      <c r="F333">
        <v>88846</v>
      </c>
      <c r="G333" t="s">
        <v>72</v>
      </c>
      <c r="H333">
        <v>1</v>
      </c>
    </row>
    <row r="334" spans="1:8" x14ac:dyDescent="0.3">
      <c r="A334" t="s">
        <v>233</v>
      </c>
      <c r="B334">
        <v>2019</v>
      </c>
      <c r="C334" t="s">
        <v>310</v>
      </c>
      <c r="D334" t="s">
        <v>311</v>
      </c>
      <c r="E334" t="s">
        <v>65</v>
      </c>
      <c r="F334">
        <v>88846</v>
      </c>
      <c r="G334" t="s">
        <v>72</v>
      </c>
      <c r="H334">
        <v>1</v>
      </c>
    </row>
    <row r="335" spans="1:8" x14ac:dyDescent="0.3">
      <c r="A335" t="s">
        <v>233</v>
      </c>
      <c r="B335">
        <v>2020</v>
      </c>
      <c r="C335" t="s">
        <v>310</v>
      </c>
      <c r="D335" t="s">
        <v>311</v>
      </c>
      <c r="E335" t="s">
        <v>65</v>
      </c>
      <c r="F335">
        <v>88846</v>
      </c>
      <c r="G335" t="s">
        <v>72</v>
      </c>
      <c r="H335">
        <v>1</v>
      </c>
    </row>
    <row r="336" spans="1:8" x14ac:dyDescent="0.3">
      <c r="A336" t="s">
        <v>233</v>
      </c>
      <c r="B336">
        <v>2021</v>
      </c>
      <c r="C336" t="s">
        <v>310</v>
      </c>
      <c r="D336" t="s">
        <v>311</v>
      </c>
      <c r="E336" t="s">
        <v>65</v>
      </c>
      <c r="F336">
        <v>88846</v>
      </c>
      <c r="G336" t="s">
        <v>72</v>
      </c>
      <c r="H336">
        <v>1</v>
      </c>
    </row>
    <row r="337" spans="1:8" x14ac:dyDescent="0.3">
      <c r="A337" t="s">
        <v>234</v>
      </c>
      <c r="B337">
        <v>2020</v>
      </c>
      <c r="C337" t="s">
        <v>310</v>
      </c>
      <c r="D337" t="s">
        <v>311</v>
      </c>
      <c r="E337" t="s">
        <v>65</v>
      </c>
      <c r="F337">
        <v>99600</v>
      </c>
      <c r="G337" t="s">
        <v>72</v>
      </c>
      <c r="H337">
        <v>1</v>
      </c>
    </row>
    <row r="338" spans="1:8" x14ac:dyDescent="0.3">
      <c r="A338" t="s">
        <v>120</v>
      </c>
      <c r="B338">
        <v>2014</v>
      </c>
      <c r="C338" t="s">
        <v>310</v>
      </c>
      <c r="D338" t="s">
        <v>311</v>
      </c>
      <c r="E338" t="s">
        <v>65</v>
      </c>
      <c r="F338">
        <v>28000</v>
      </c>
      <c r="G338" t="s">
        <v>72</v>
      </c>
      <c r="H338">
        <v>3</v>
      </c>
    </row>
    <row r="339" spans="1:8" x14ac:dyDescent="0.3">
      <c r="A339" t="s">
        <v>120</v>
      </c>
      <c r="B339">
        <v>2015</v>
      </c>
      <c r="C339" t="s">
        <v>310</v>
      </c>
      <c r="D339" t="s">
        <v>311</v>
      </c>
      <c r="E339" t="s">
        <v>65</v>
      </c>
      <c r="F339">
        <v>28000</v>
      </c>
      <c r="G339" t="s">
        <v>72</v>
      </c>
      <c r="H339">
        <v>10</v>
      </c>
    </row>
    <row r="340" spans="1:8" x14ac:dyDescent="0.3">
      <c r="A340" t="s">
        <v>120</v>
      </c>
      <c r="B340">
        <v>2016</v>
      </c>
      <c r="C340" t="s">
        <v>310</v>
      </c>
      <c r="D340" t="s">
        <v>311</v>
      </c>
      <c r="E340" t="s">
        <v>65</v>
      </c>
      <c r="F340">
        <v>28000</v>
      </c>
      <c r="G340" t="s">
        <v>72</v>
      </c>
      <c r="H340">
        <v>3</v>
      </c>
    </row>
    <row r="341" spans="1:8" x14ac:dyDescent="0.3">
      <c r="A341" t="s">
        <v>120</v>
      </c>
      <c r="B341">
        <v>2017</v>
      </c>
      <c r="C341" t="s">
        <v>310</v>
      </c>
      <c r="D341" t="s">
        <v>311</v>
      </c>
      <c r="E341" t="s">
        <v>65</v>
      </c>
      <c r="F341">
        <v>28000</v>
      </c>
      <c r="G341" t="s">
        <v>72</v>
      </c>
      <c r="H341">
        <v>5</v>
      </c>
    </row>
    <row r="342" spans="1:8" x14ac:dyDescent="0.3">
      <c r="A342" t="s">
        <v>120</v>
      </c>
      <c r="B342">
        <v>2018</v>
      </c>
      <c r="C342" t="s">
        <v>310</v>
      </c>
      <c r="D342" t="s">
        <v>311</v>
      </c>
      <c r="E342" t="s">
        <v>65</v>
      </c>
      <c r="F342">
        <v>28000</v>
      </c>
      <c r="G342" t="s">
        <v>72</v>
      </c>
      <c r="H342">
        <v>3</v>
      </c>
    </row>
    <row r="343" spans="1:8" x14ac:dyDescent="0.3">
      <c r="A343" t="s">
        <v>120</v>
      </c>
      <c r="B343">
        <v>2019</v>
      </c>
      <c r="C343" t="s">
        <v>310</v>
      </c>
      <c r="D343" t="s">
        <v>311</v>
      </c>
      <c r="E343" t="s">
        <v>65</v>
      </c>
      <c r="F343">
        <v>28000</v>
      </c>
      <c r="G343" t="s">
        <v>72</v>
      </c>
      <c r="H343">
        <v>17</v>
      </c>
    </row>
    <row r="344" spans="1:8" x14ac:dyDescent="0.3">
      <c r="A344" t="s">
        <v>120</v>
      </c>
      <c r="B344">
        <v>2020</v>
      </c>
      <c r="C344" t="s">
        <v>310</v>
      </c>
      <c r="D344" t="s">
        <v>311</v>
      </c>
      <c r="E344" t="s">
        <v>65</v>
      </c>
      <c r="F344">
        <v>28000</v>
      </c>
      <c r="G344" t="s">
        <v>72</v>
      </c>
      <c r="H344">
        <v>25</v>
      </c>
    </row>
    <row r="345" spans="1:8" x14ac:dyDescent="0.3">
      <c r="A345" t="s">
        <v>120</v>
      </c>
      <c r="B345">
        <v>2021</v>
      </c>
      <c r="C345" t="s">
        <v>310</v>
      </c>
      <c r="D345" t="s">
        <v>311</v>
      </c>
      <c r="E345" t="s">
        <v>65</v>
      </c>
      <c r="F345">
        <v>28000</v>
      </c>
      <c r="G345" t="s">
        <v>72</v>
      </c>
      <c r="H345">
        <v>27</v>
      </c>
    </row>
    <row r="346" spans="1:8" x14ac:dyDescent="0.3">
      <c r="A346" t="s">
        <v>236</v>
      </c>
      <c r="B346">
        <v>2017</v>
      </c>
      <c r="C346" t="s">
        <v>310</v>
      </c>
      <c r="D346" t="s">
        <v>311</v>
      </c>
      <c r="E346" t="s">
        <v>65</v>
      </c>
      <c r="F346">
        <v>9963</v>
      </c>
      <c r="G346" t="s">
        <v>66</v>
      </c>
      <c r="H346">
        <v>1</v>
      </c>
    </row>
    <row r="347" spans="1:8" x14ac:dyDescent="0.3">
      <c r="A347" t="s">
        <v>236</v>
      </c>
      <c r="B347">
        <v>2019</v>
      </c>
      <c r="C347" t="s">
        <v>310</v>
      </c>
      <c r="D347" t="s">
        <v>311</v>
      </c>
      <c r="E347" t="s">
        <v>65</v>
      </c>
      <c r="F347">
        <v>9963</v>
      </c>
      <c r="G347" t="s">
        <v>66</v>
      </c>
      <c r="H347">
        <v>1</v>
      </c>
    </row>
    <row r="348" spans="1:8" x14ac:dyDescent="0.3">
      <c r="A348" t="s">
        <v>236</v>
      </c>
      <c r="B348">
        <v>2020</v>
      </c>
      <c r="C348" t="s">
        <v>310</v>
      </c>
      <c r="D348" t="s">
        <v>311</v>
      </c>
      <c r="E348" t="s">
        <v>65</v>
      </c>
      <c r="F348">
        <v>9963</v>
      </c>
      <c r="G348" t="s">
        <v>66</v>
      </c>
      <c r="H348">
        <v>3</v>
      </c>
    </row>
    <row r="349" spans="1:8" x14ac:dyDescent="0.3">
      <c r="A349" t="s">
        <v>238</v>
      </c>
      <c r="B349">
        <v>2021</v>
      </c>
      <c r="C349" t="s">
        <v>310</v>
      </c>
      <c r="D349" t="s">
        <v>311</v>
      </c>
      <c r="E349" t="s">
        <v>65</v>
      </c>
      <c r="F349">
        <v>322500</v>
      </c>
      <c r="G349" t="s">
        <v>83</v>
      </c>
      <c r="H349">
        <v>1</v>
      </c>
    </row>
    <row r="350" spans="1:8" x14ac:dyDescent="0.3">
      <c r="A350" t="s">
        <v>239</v>
      </c>
      <c r="B350">
        <v>2020</v>
      </c>
      <c r="C350" t="s">
        <v>310</v>
      </c>
      <c r="D350" t="s">
        <v>311</v>
      </c>
      <c r="E350" t="s">
        <v>65</v>
      </c>
      <c r="F350">
        <v>2200</v>
      </c>
      <c r="G350" t="s">
        <v>66</v>
      </c>
      <c r="H350">
        <v>1</v>
      </c>
    </row>
    <row r="351" spans="1:8" x14ac:dyDescent="0.3">
      <c r="A351" t="s">
        <v>241</v>
      </c>
      <c r="B351">
        <v>2015</v>
      </c>
      <c r="C351" t="s">
        <v>310</v>
      </c>
      <c r="D351" t="s">
        <v>311</v>
      </c>
      <c r="E351" t="s">
        <v>65</v>
      </c>
      <c r="F351">
        <v>17698</v>
      </c>
      <c r="G351" t="s">
        <v>72</v>
      </c>
      <c r="H351">
        <v>3</v>
      </c>
    </row>
    <row r="352" spans="1:8" x14ac:dyDescent="0.3">
      <c r="A352" t="s">
        <v>241</v>
      </c>
      <c r="B352">
        <v>2016</v>
      </c>
      <c r="C352" t="s">
        <v>310</v>
      </c>
      <c r="D352" t="s">
        <v>311</v>
      </c>
      <c r="E352" t="s">
        <v>65</v>
      </c>
      <c r="F352">
        <v>17698</v>
      </c>
      <c r="G352" t="s">
        <v>72</v>
      </c>
      <c r="H352">
        <v>1</v>
      </c>
    </row>
    <row r="353" spans="1:8" x14ac:dyDescent="0.3">
      <c r="A353" t="s">
        <v>241</v>
      </c>
      <c r="B353">
        <v>2019</v>
      </c>
      <c r="C353" t="s">
        <v>310</v>
      </c>
      <c r="D353" t="s">
        <v>311</v>
      </c>
      <c r="E353" t="s">
        <v>65</v>
      </c>
      <c r="F353">
        <v>17698</v>
      </c>
      <c r="G353" t="s">
        <v>72</v>
      </c>
      <c r="H353">
        <v>1</v>
      </c>
    </row>
    <row r="354" spans="1:8" x14ac:dyDescent="0.3">
      <c r="A354" t="s">
        <v>242</v>
      </c>
      <c r="B354">
        <v>2015</v>
      </c>
      <c r="C354" t="s">
        <v>310</v>
      </c>
      <c r="D354" t="s">
        <v>311</v>
      </c>
      <c r="E354" t="s">
        <v>65</v>
      </c>
      <c r="F354">
        <v>18000</v>
      </c>
      <c r="G354" t="s">
        <v>72</v>
      </c>
      <c r="H354">
        <v>3</v>
      </c>
    </row>
    <row r="355" spans="1:8" x14ac:dyDescent="0.3">
      <c r="A355" t="s">
        <v>242</v>
      </c>
      <c r="B355">
        <v>2016</v>
      </c>
      <c r="C355" t="s">
        <v>310</v>
      </c>
      <c r="D355" t="s">
        <v>311</v>
      </c>
      <c r="E355" t="s">
        <v>65</v>
      </c>
      <c r="F355">
        <v>18000</v>
      </c>
      <c r="G355" t="s">
        <v>72</v>
      </c>
      <c r="H355">
        <v>3</v>
      </c>
    </row>
    <row r="356" spans="1:8" x14ac:dyDescent="0.3">
      <c r="A356" t="s">
        <v>242</v>
      </c>
      <c r="B356">
        <v>2018</v>
      </c>
      <c r="C356" t="s">
        <v>310</v>
      </c>
      <c r="D356" t="s">
        <v>311</v>
      </c>
      <c r="E356" t="s">
        <v>65</v>
      </c>
      <c r="F356">
        <v>18000</v>
      </c>
      <c r="G356" t="s">
        <v>72</v>
      </c>
      <c r="H356">
        <v>3</v>
      </c>
    </row>
    <row r="357" spans="1:8" x14ac:dyDescent="0.3">
      <c r="A357" t="s">
        <v>242</v>
      </c>
      <c r="B357">
        <v>2020</v>
      </c>
      <c r="C357" t="s">
        <v>310</v>
      </c>
      <c r="D357" t="s">
        <v>311</v>
      </c>
      <c r="E357" t="s">
        <v>65</v>
      </c>
      <c r="F357">
        <v>18000</v>
      </c>
      <c r="G357" t="s">
        <v>72</v>
      </c>
      <c r="H357">
        <v>1</v>
      </c>
    </row>
    <row r="358" spans="1:8" x14ac:dyDescent="0.3">
      <c r="A358" t="s">
        <v>242</v>
      </c>
      <c r="B358">
        <v>2021</v>
      </c>
      <c r="C358" t="s">
        <v>310</v>
      </c>
      <c r="D358" t="s">
        <v>311</v>
      </c>
      <c r="E358" t="s">
        <v>65</v>
      </c>
      <c r="F358">
        <v>18000</v>
      </c>
      <c r="G358" t="s">
        <v>72</v>
      </c>
      <c r="H358">
        <v>1</v>
      </c>
    </row>
    <row r="359" spans="1:8" x14ac:dyDescent="0.3">
      <c r="A359" t="s">
        <v>121</v>
      </c>
      <c r="B359">
        <v>2014</v>
      </c>
      <c r="C359" t="s">
        <v>310</v>
      </c>
      <c r="D359" t="s">
        <v>311</v>
      </c>
      <c r="E359" t="s">
        <v>65</v>
      </c>
      <c r="F359">
        <v>21500</v>
      </c>
      <c r="G359" t="s">
        <v>72</v>
      </c>
      <c r="H359">
        <v>1</v>
      </c>
    </row>
    <row r="360" spans="1:8" x14ac:dyDescent="0.3">
      <c r="A360" t="s">
        <v>121</v>
      </c>
      <c r="B360">
        <v>2015</v>
      </c>
      <c r="C360" t="s">
        <v>310</v>
      </c>
      <c r="D360" t="s">
        <v>311</v>
      </c>
      <c r="E360" t="s">
        <v>65</v>
      </c>
      <c r="F360">
        <v>21500</v>
      </c>
      <c r="G360" t="s">
        <v>72</v>
      </c>
      <c r="H360">
        <v>3</v>
      </c>
    </row>
    <row r="361" spans="1:8" x14ac:dyDescent="0.3">
      <c r="A361" t="s">
        <v>121</v>
      </c>
      <c r="B361">
        <v>2016</v>
      </c>
      <c r="C361" t="s">
        <v>310</v>
      </c>
      <c r="D361" t="s">
        <v>311</v>
      </c>
      <c r="E361" t="s">
        <v>65</v>
      </c>
      <c r="F361">
        <v>21500</v>
      </c>
      <c r="G361" t="s">
        <v>72</v>
      </c>
      <c r="H361">
        <v>2</v>
      </c>
    </row>
    <row r="362" spans="1:8" x14ac:dyDescent="0.3">
      <c r="A362" t="s">
        <v>121</v>
      </c>
      <c r="B362">
        <v>2017</v>
      </c>
      <c r="C362" t="s">
        <v>310</v>
      </c>
      <c r="D362" t="s">
        <v>311</v>
      </c>
      <c r="E362" t="s">
        <v>65</v>
      </c>
      <c r="F362">
        <v>21500</v>
      </c>
      <c r="G362" t="s">
        <v>72</v>
      </c>
      <c r="H362">
        <v>3</v>
      </c>
    </row>
    <row r="363" spans="1:8" x14ac:dyDescent="0.3">
      <c r="A363" t="s">
        <v>121</v>
      </c>
      <c r="B363">
        <v>2019</v>
      </c>
      <c r="C363" t="s">
        <v>310</v>
      </c>
      <c r="D363" t="s">
        <v>311</v>
      </c>
      <c r="E363" t="s">
        <v>65</v>
      </c>
      <c r="F363">
        <v>21500</v>
      </c>
      <c r="G363" t="s">
        <v>72</v>
      </c>
      <c r="H363">
        <v>1</v>
      </c>
    </row>
    <row r="364" spans="1:8" x14ac:dyDescent="0.3">
      <c r="A364" t="s">
        <v>121</v>
      </c>
      <c r="B364">
        <v>2020</v>
      </c>
      <c r="C364" t="s">
        <v>310</v>
      </c>
      <c r="D364" t="s">
        <v>311</v>
      </c>
      <c r="E364" t="s">
        <v>65</v>
      </c>
      <c r="F364">
        <v>21500</v>
      </c>
      <c r="G364" t="s">
        <v>72</v>
      </c>
      <c r="H364">
        <v>3</v>
      </c>
    </row>
    <row r="365" spans="1:8" x14ac:dyDescent="0.3">
      <c r="A365" t="s">
        <v>121</v>
      </c>
      <c r="B365">
        <v>2021</v>
      </c>
      <c r="C365" t="s">
        <v>310</v>
      </c>
      <c r="D365" t="s">
        <v>311</v>
      </c>
      <c r="E365" t="s">
        <v>65</v>
      </c>
      <c r="F365">
        <v>21500</v>
      </c>
      <c r="G365" t="s">
        <v>72</v>
      </c>
      <c r="H365">
        <v>1</v>
      </c>
    </row>
    <row r="366" spans="1:8" x14ac:dyDescent="0.3">
      <c r="A366" t="s">
        <v>243</v>
      </c>
      <c r="B366">
        <v>2014</v>
      </c>
      <c r="C366" t="s">
        <v>310</v>
      </c>
      <c r="D366" t="s">
        <v>311</v>
      </c>
      <c r="E366" t="s">
        <v>65</v>
      </c>
      <c r="F366">
        <v>23500</v>
      </c>
      <c r="G366" t="s">
        <v>72</v>
      </c>
      <c r="H366">
        <v>1</v>
      </c>
    </row>
    <row r="367" spans="1:8" x14ac:dyDescent="0.3">
      <c r="A367" t="s">
        <v>243</v>
      </c>
      <c r="B367">
        <v>2016</v>
      </c>
      <c r="C367" t="s">
        <v>310</v>
      </c>
      <c r="D367" t="s">
        <v>311</v>
      </c>
      <c r="E367" t="s">
        <v>65</v>
      </c>
      <c r="F367">
        <v>23500</v>
      </c>
      <c r="G367" t="s">
        <v>72</v>
      </c>
      <c r="H367">
        <v>5</v>
      </c>
    </row>
    <row r="368" spans="1:8" x14ac:dyDescent="0.3">
      <c r="A368" t="s">
        <v>243</v>
      </c>
      <c r="B368">
        <v>2017</v>
      </c>
      <c r="C368" t="s">
        <v>310</v>
      </c>
      <c r="D368" t="s">
        <v>311</v>
      </c>
      <c r="E368" t="s">
        <v>65</v>
      </c>
      <c r="F368">
        <v>23500</v>
      </c>
      <c r="G368" t="s">
        <v>72</v>
      </c>
      <c r="H368">
        <v>2</v>
      </c>
    </row>
    <row r="369" spans="1:8" x14ac:dyDescent="0.3">
      <c r="A369" t="s">
        <v>243</v>
      </c>
      <c r="B369">
        <v>2018</v>
      </c>
      <c r="C369" t="s">
        <v>310</v>
      </c>
      <c r="D369" t="s">
        <v>311</v>
      </c>
      <c r="E369" t="s">
        <v>65</v>
      </c>
      <c r="F369">
        <v>23500</v>
      </c>
      <c r="G369" t="s">
        <v>72</v>
      </c>
      <c r="H369">
        <v>2</v>
      </c>
    </row>
    <row r="370" spans="1:8" x14ac:dyDescent="0.3">
      <c r="A370" t="s">
        <v>243</v>
      </c>
      <c r="B370">
        <v>2019</v>
      </c>
      <c r="C370" t="s">
        <v>310</v>
      </c>
      <c r="D370" t="s">
        <v>311</v>
      </c>
      <c r="E370" t="s">
        <v>65</v>
      </c>
      <c r="F370">
        <v>23500</v>
      </c>
      <c r="G370" t="s">
        <v>72</v>
      </c>
      <c r="H370">
        <v>4</v>
      </c>
    </row>
    <row r="371" spans="1:8" x14ac:dyDescent="0.3">
      <c r="A371" t="s">
        <v>243</v>
      </c>
      <c r="B371">
        <v>2020</v>
      </c>
      <c r="C371" t="s">
        <v>310</v>
      </c>
      <c r="D371" t="s">
        <v>311</v>
      </c>
      <c r="E371" t="s">
        <v>65</v>
      </c>
      <c r="F371">
        <v>23500</v>
      </c>
      <c r="G371" t="s">
        <v>72</v>
      </c>
      <c r="H371">
        <v>12</v>
      </c>
    </row>
    <row r="372" spans="1:8" x14ac:dyDescent="0.3">
      <c r="A372" t="s">
        <v>243</v>
      </c>
      <c r="B372">
        <v>2021</v>
      </c>
      <c r="C372" t="s">
        <v>310</v>
      </c>
      <c r="D372" t="s">
        <v>311</v>
      </c>
      <c r="E372" t="s">
        <v>65</v>
      </c>
      <c r="F372">
        <v>23500</v>
      </c>
      <c r="G372" t="s">
        <v>72</v>
      </c>
      <c r="H372">
        <v>2</v>
      </c>
    </row>
    <row r="373" spans="1:8" x14ac:dyDescent="0.3">
      <c r="A373" t="s">
        <v>123</v>
      </c>
      <c r="B373">
        <v>2014</v>
      </c>
      <c r="C373" t="s">
        <v>310</v>
      </c>
      <c r="D373" t="s">
        <v>311</v>
      </c>
      <c r="E373" t="s">
        <v>65</v>
      </c>
      <c r="F373">
        <v>2579</v>
      </c>
      <c r="G373" t="s">
        <v>66</v>
      </c>
      <c r="H373">
        <v>4</v>
      </c>
    </row>
    <row r="374" spans="1:8" x14ac:dyDescent="0.3">
      <c r="A374" t="s">
        <v>123</v>
      </c>
      <c r="B374">
        <v>2015</v>
      </c>
      <c r="C374" t="s">
        <v>310</v>
      </c>
      <c r="D374" t="s">
        <v>311</v>
      </c>
      <c r="E374" t="s">
        <v>65</v>
      </c>
      <c r="F374">
        <v>2579</v>
      </c>
      <c r="G374" t="s">
        <v>66</v>
      </c>
      <c r="H374">
        <v>2</v>
      </c>
    </row>
    <row r="375" spans="1:8" x14ac:dyDescent="0.3">
      <c r="A375" t="s">
        <v>123</v>
      </c>
      <c r="B375">
        <v>2016</v>
      </c>
      <c r="C375" t="s">
        <v>310</v>
      </c>
      <c r="D375" t="s">
        <v>311</v>
      </c>
      <c r="E375" t="s">
        <v>65</v>
      </c>
      <c r="F375">
        <v>2579</v>
      </c>
      <c r="G375" t="s">
        <v>66</v>
      </c>
      <c r="H375">
        <v>1</v>
      </c>
    </row>
    <row r="376" spans="1:8" x14ac:dyDescent="0.3">
      <c r="A376" t="s">
        <v>123</v>
      </c>
      <c r="B376">
        <v>2017</v>
      </c>
      <c r="C376" t="s">
        <v>310</v>
      </c>
      <c r="D376" t="s">
        <v>311</v>
      </c>
      <c r="E376" t="s">
        <v>65</v>
      </c>
      <c r="F376">
        <v>2579</v>
      </c>
      <c r="G376" t="s">
        <v>66</v>
      </c>
      <c r="H376">
        <v>2</v>
      </c>
    </row>
    <row r="377" spans="1:8" x14ac:dyDescent="0.3">
      <c r="A377" t="s">
        <v>123</v>
      </c>
      <c r="B377">
        <v>2018</v>
      </c>
      <c r="C377" t="s">
        <v>310</v>
      </c>
      <c r="D377" t="s">
        <v>311</v>
      </c>
      <c r="E377" t="s">
        <v>65</v>
      </c>
      <c r="F377">
        <v>2579</v>
      </c>
      <c r="G377" t="s">
        <v>66</v>
      </c>
      <c r="H377">
        <v>1</v>
      </c>
    </row>
    <row r="378" spans="1:8" x14ac:dyDescent="0.3">
      <c r="A378" t="s">
        <v>123</v>
      </c>
      <c r="B378">
        <v>2019</v>
      </c>
      <c r="C378" t="s">
        <v>310</v>
      </c>
      <c r="D378" t="s">
        <v>311</v>
      </c>
      <c r="E378" t="s">
        <v>65</v>
      </c>
      <c r="F378">
        <v>2579</v>
      </c>
      <c r="G378" t="s">
        <v>66</v>
      </c>
      <c r="H378">
        <v>2</v>
      </c>
    </row>
    <row r="379" spans="1:8" x14ac:dyDescent="0.3">
      <c r="A379" t="s">
        <v>123</v>
      </c>
      <c r="B379">
        <v>2020</v>
      </c>
      <c r="C379" t="s">
        <v>310</v>
      </c>
      <c r="D379" t="s">
        <v>311</v>
      </c>
      <c r="E379" t="s">
        <v>65</v>
      </c>
      <c r="F379">
        <v>2579</v>
      </c>
      <c r="G379" t="s">
        <v>66</v>
      </c>
      <c r="H379">
        <v>2</v>
      </c>
    </row>
    <row r="380" spans="1:8" x14ac:dyDescent="0.3">
      <c r="A380" t="s">
        <v>123</v>
      </c>
      <c r="B380">
        <v>2021</v>
      </c>
      <c r="C380" t="s">
        <v>310</v>
      </c>
      <c r="D380" t="s">
        <v>311</v>
      </c>
      <c r="E380" t="s">
        <v>65</v>
      </c>
      <c r="F380">
        <v>2579</v>
      </c>
      <c r="G380" t="s">
        <v>66</v>
      </c>
      <c r="H380">
        <v>2</v>
      </c>
    </row>
    <row r="381" spans="1:8" x14ac:dyDescent="0.3">
      <c r="A381" t="s">
        <v>249</v>
      </c>
      <c r="B381">
        <v>2014</v>
      </c>
      <c r="C381" t="s">
        <v>310</v>
      </c>
      <c r="D381" t="s">
        <v>311</v>
      </c>
      <c r="E381" t="s">
        <v>65</v>
      </c>
      <c r="F381">
        <v>11574</v>
      </c>
      <c r="G381" t="s">
        <v>66</v>
      </c>
      <c r="H381">
        <v>2</v>
      </c>
    </row>
    <row r="382" spans="1:8" x14ac:dyDescent="0.3">
      <c r="A382" t="s">
        <v>249</v>
      </c>
      <c r="B382">
        <v>2015</v>
      </c>
      <c r="C382" t="s">
        <v>310</v>
      </c>
      <c r="D382" t="s">
        <v>311</v>
      </c>
      <c r="E382" t="s">
        <v>65</v>
      </c>
      <c r="F382">
        <v>11574</v>
      </c>
      <c r="G382" t="s">
        <v>66</v>
      </c>
      <c r="H382">
        <v>4</v>
      </c>
    </row>
    <row r="383" spans="1:8" x14ac:dyDescent="0.3">
      <c r="A383" t="s">
        <v>249</v>
      </c>
      <c r="B383">
        <v>2016</v>
      </c>
      <c r="C383" t="s">
        <v>310</v>
      </c>
      <c r="D383" t="s">
        <v>311</v>
      </c>
      <c r="E383" t="s">
        <v>65</v>
      </c>
      <c r="F383">
        <v>11574</v>
      </c>
      <c r="G383" t="s">
        <v>66</v>
      </c>
      <c r="H383">
        <v>8</v>
      </c>
    </row>
    <row r="384" spans="1:8" x14ac:dyDescent="0.3">
      <c r="A384" t="s">
        <v>126</v>
      </c>
      <c r="B384">
        <v>2015</v>
      </c>
      <c r="C384" t="s">
        <v>310</v>
      </c>
      <c r="D384" t="s">
        <v>311</v>
      </c>
      <c r="E384" t="s">
        <v>65</v>
      </c>
      <c r="F384">
        <v>2548</v>
      </c>
      <c r="G384" t="s">
        <v>66</v>
      </c>
      <c r="H384">
        <v>1</v>
      </c>
    </row>
    <row r="385" spans="1:8" x14ac:dyDescent="0.3">
      <c r="A385" t="s">
        <v>126</v>
      </c>
      <c r="B385">
        <v>2016</v>
      </c>
      <c r="C385" t="s">
        <v>310</v>
      </c>
      <c r="D385" t="s">
        <v>311</v>
      </c>
      <c r="E385" t="s">
        <v>65</v>
      </c>
      <c r="F385">
        <v>2548</v>
      </c>
      <c r="G385" t="s">
        <v>66</v>
      </c>
      <c r="H385">
        <v>1</v>
      </c>
    </row>
    <row r="386" spans="1:8" x14ac:dyDescent="0.3">
      <c r="A386" t="s">
        <v>126</v>
      </c>
      <c r="B386">
        <v>2017</v>
      </c>
      <c r="C386" t="s">
        <v>310</v>
      </c>
      <c r="D386" t="s">
        <v>311</v>
      </c>
      <c r="E386" t="s">
        <v>65</v>
      </c>
      <c r="F386">
        <v>2548</v>
      </c>
      <c r="G386" t="s">
        <v>66</v>
      </c>
      <c r="H386">
        <v>1</v>
      </c>
    </row>
    <row r="387" spans="1:8" x14ac:dyDescent="0.3">
      <c r="A387" t="s">
        <v>126</v>
      </c>
      <c r="B387">
        <v>2018</v>
      </c>
      <c r="C387" t="s">
        <v>310</v>
      </c>
      <c r="D387" t="s">
        <v>311</v>
      </c>
      <c r="E387" t="s">
        <v>65</v>
      </c>
      <c r="F387">
        <v>2548</v>
      </c>
      <c r="G387" t="s">
        <v>66</v>
      </c>
      <c r="H387">
        <v>1</v>
      </c>
    </row>
    <row r="388" spans="1:8" x14ac:dyDescent="0.3">
      <c r="A388" t="s">
        <v>126</v>
      </c>
      <c r="B388">
        <v>2021</v>
      </c>
      <c r="C388" t="s">
        <v>310</v>
      </c>
      <c r="D388" t="s">
        <v>311</v>
      </c>
      <c r="E388" t="s">
        <v>65</v>
      </c>
      <c r="F388">
        <v>2548</v>
      </c>
      <c r="G388" t="s">
        <v>66</v>
      </c>
      <c r="H388">
        <v>1</v>
      </c>
    </row>
    <row r="389" spans="1:8" x14ac:dyDescent="0.3">
      <c r="A389" t="s">
        <v>128</v>
      </c>
      <c r="B389">
        <v>2019</v>
      </c>
      <c r="C389" t="s">
        <v>310</v>
      </c>
      <c r="D389" t="s">
        <v>311</v>
      </c>
      <c r="E389" t="s">
        <v>65</v>
      </c>
      <c r="F389">
        <v>2866</v>
      </c>
      <c r="G389" t="s">
        <v>66</v>
      </c>
      <c r="H389">
        <v>1</v>
      </c>
    </row>
    <row r="390" spans="1:8" x14ac:dyDescent="0.3">
      <c r="A390" t="s">
        <v>128</v>
      </c>
      <c r="B390">
        <v>2020</v>
      </c>
      <c r="C390" t="s">
        <v>310</v>
      </c>
      <c r="D390" t="s">
        <v>311</v>
      </c>
      <c r="E390" t="s">
        <v>65</v>
      </c>
      <c r="F390">
        <v>2866</v>
      </c>
      <c r="G390" t="s">
        <v>66</v>
      </c>
      <c r="H390">
        <v>1</v>
      </c>
    </row>
    <row r="391" spans="1:8" x14ac:dyDescent="0.3">
      <c r="A391" t="s">
        <v>250</v>
      </c>
      <c r="B391">
        <v>2016</v>
      </c>
      <c r="C391" t="s">
        <v>310</v>
      </c>
      <c r="D391" t="s">
        <v>311</v>
      </c>
      <c r="E391" t="s">
        <v>65</v>
      </c>
      <c r="F391">
        <v>135000</v>
      </c>
      <c r="G391" t="s">
        <v>72</v>
      </c>
      <c r="H391">
        <v>1</v>
      </c>
    </row>
    <row r="392" spans="1:8" x14ac:dyDescent="0.3">
      <c r="A392" t="s">
        <v>129</v>
      </c>
      <c r="B392">
        <v>2019</v>
      </c>
      <c r="C392" t="s">
        <v>310</v>
      </c>
      <c r="D392" t="s">
        <v>311</v>
      </c>
      <c r="E392" t="s">
        <v>65</v>
      </c>
      <c r="F392">
        <v>3615</v>
      </c>
      <c r="G392" t="s">
        <v>66</v>
      </c>
      <c r="H392">
        <v>1</v>
      </c>
    </row>
    <row r="393" spans="1:8" x14ac:dyDescent="0.3">
      <c r="A393" t="s">
        <v>130</v>
      </c>
      <c r="B393">
        <v>2015</v>
      </c>
      <c r="C393" t="s">
        <v>310</v>
      </c>
      <c r="D393" t="s">
        <v>311</v>
      </c>
      <c r="E393" t="s">
        <v>65</v>
      </c>
      <c r="F393">
        <v>4850</v>
      </c>
      <c r="G393" t="s">
        <v>66</v>
      </c>
      <c r="H393">
        <v>1</v>
      </c>
    </row>
    <row r="394" spans="1:8" x14ac:dyDescent="0.3">
      <c r="A394" t="s">
        <v>130</v>
      </c>
      <c r="B394">
        <v>2017</v>
      </c>
      <c r="C394" t="s">
        <v>310</v>
      </c>
      <c r="D394" t="s">
        <v>311</v>
      </c>
      <c r="E394" t="s">
        <v>65</v>
      </c>
      <c r="F394">
        <v>4850</v>
      </c>
      <c r="G394" t="s">
        <v>66</v>
      </c>
      <c r="H394">
        <v>1</v>
      </c>
    </row>
    <row r="395" spans="1:8" x14ac:dyDescent="0.3">
      <c r="A395" t="s">
        <v>130</v>
      </c>
      <c r="B395">
        <v>2020</v>
      </c>
      <c r="C395" t="s">
        <v>310</v>
      </c>
      <c r="D395" t="s">
        <v>311</v>
      </c>
      <c r="E395" t="s">
        <v>65</v>
      </c>
      <c r="F395">
        <v>4850</v>
      </c>
      <c r="G395" t="s">
        <v>66</v>
      </c>
      <c r="H395">
        <v>1</v>
      </c>
    </row>
    <row r="396" spans="1:8" x14ac:dyDescent="0.3">
      <c r="A396" t="s">
        <v>251</v>
      </c>
      <c r="B396">
        <v>2014</v>
      </c>
      <c r="C396" t="s">
        <v>310</v>
      </c>
      <c r="D396" t="s">
        <v>311</v>
      </c>
      <c r="E396" t="s">
        <v>65</v>
      </c>
      <c r="F396">
        <v>5200</v>
      </c>
      <c r="G396" t="s">
        <v>66</v>
      </c>
      <c r="H396">
        <v>2</v>
      </c>
    </row>
    <row r="397" spans="1:8" x14ac:dyDescent="0.3">
      <c r="A397" t="s">
        <v>251</v>
      </c>
      <c r="B397">
        <v>2015</v>
      </c>
      <c r="C397" t="s">
        <v>310</v>
      </c>
      <c r="D397" t="s">
        <v>311</v>
      </c>
      <c r="E397" t="s">
        <v>65</v>
      </c>
      <c r="F397">
        <v>5200</v>
      </c>
      <c r="G397" t="s">
        <v>66</v>
      </c>
      <c r="H397">
        <v>1</v>
      </c>
    </row>
    <row r="398" spans="1:8" x14ac:dyDescent="0.3">
      <c r="A398" t="s">
        <v>251</v>
      </c>
      <c r="B398">
        <v>2018</v>
      </c>
      <c r="C398" t="s">
        <v>310</v>
      </c>
      <c r="D398" t="s">
        <v>311</v>
      </c>
      <c r="E398" t="s">
        <v>65</v>
      </c>
      <c r="F398">
        <v>5200</v>
      </c>
      <c r="G398" t="s">
        <v>66</v>
      </c>
      <c r="H398">
        <v>1</v>
      </c>
    </row>
    <row r="399" spans="1:8" x14ac:dyDescent="0.3">
      <c r="A399" t="s">
        <v>251</v>
      </c>
      <c r="B399">
        <v>2021</v>
      </c>
      <c r="C399" t="s">
        <v>310</v>
      </c>
      <c r="D399" t="s">
        <v>311</v>
      </c>
      <c r="E399" t="s">
        <v>65</v>
      </c>
      <c r="F399">
        <v>5200</v>
      </c>
      <c r="G399" t="s">
        <v>66</v>
      </c>
      <c r="H399">
        <v>2</v>
      </c>
    </row>
    <row r="400" spans="1:8" x14ac:dyDescent="0.3">
      <c r="A400" t="s">
        <v>133</v>
      </c>
      <c r="B400">
        <v>2016</v>
      </c>
      <c r="C400" t="s">
        <v>310</v>
      </c>
      <c r="D400" t="s">
        <v>311</v>
      </c>
      <c r="E400" t="s">
        <v>65</v>
      </c>
      <c r="F400">
        <v>2150</v>
      </c>
      <c r="G400" t="s">
        <v>66</v>
      </c>
      <c r="H400">
        <v>1</v>
      </c>
    </row>
    <row r="401" spans="1:8" x14ac:dyDescent="0.3">
      <c r="A401" t="s">
        <v>133</v>
      </c>
      <c r="B401">
        <v>2021</v>
      </c>
      <c r="C401" t="s">
        <v>310</v>
      </c>
      <c r="D401" t="s">
        <v>311</v>
      </c>
      <c r="E401" t="s">
        <v>65</v>
      </c>
      <c r="F401">
        <v>2150</v>
      </c>
      <c r="G401" t="s">
        <v>66</v>
      </c>
      <c r="H401">
        <v>1</v>
      </c>
    </row>
    <row r="402" spans="1:8" x14ac:dyDescent="0.3">
      <c r="A402" t="s">
        <v>134</v>
      </c>
      <c r="B402">
        <v>2014</v>
      </c>
      <c r="C402" t="s">
        <v>310</v>
      </c>
      <c r="D402" t="s">
        <v>311</v>
      </c>
      <c r="E402" t="s">
        <v>65</v>
      </c>
      <c r="F402">
        <v>3725</v>
      </c>
      <c r="G402" t="s">
        <v>66</v>
      </c>
      <c r="H402">
        <v>1</v>
      </c>
    </row>
    <row r="403" spans="1:8" x14ac:dyDescent="0.3">
      <c r="A403" t="s">
        <v>134</v>
      </c>
      <c r="B403">
        <v>2019</v>
      </c>
      <c r="C403" t="s">
        <v>310</v>
      </c>
      <c r="D403" t="s">
        <v>311</v>
      </c>
      <c r="E403" t="s">
        <v>65</v>
      </c>
      <c r="F403">
        <v>3725</v>
      </c>
      <c r="G403" t="s">
        <v>66</v>
      </c>
      <c r="H403">
        <v>2</v>
      </c>
    </row>
    <row r="404" spans="1:8" x14ac:dyDescent="0.3">
      <c r="A404" t="s">
        <v>134</v>
      </c>
      <c r="B404">
        <v>2021</v>
      </c>
      <c r="C404" t="s">
        <v>310</v>
      </c>
      <c r="D404" t="s">
        <v>311</v>
      </c>
      <c r="E404" t="s">
        <v>65</v>
      </c>
      <c r="F404">
        <v>3725</v>
      </c>
      <c r="G404" t="s">
        <v>66</v>
      </c>
      <c r="H404">
        <v>1</v>
      </c>
    </row>
    <row r="405" spans="1:8" x14ac:dyDescent="0.3">
      <c r="A405" t="s">
        <v>252</v>
      </c>
      <c r="B405">
        <v>2015</v>
      </c>
      <c r="C405" t="s">
        <v>310</v>
      </c>
      <c r="D405" t="s">
        <v>311</v>
      </c>
      <c r="E405" t="s">
        <v>65</v>
      </c>
      <c r="F405">
        <v>6500</v>
      </c>
      <c r="G405" t="s">
        <v>66</v>
      </c>
      <c r="H405">
        <v>2</v>
      </c>
    </row>
    <row r="406" spans="1:8" x14ac:dyDescent="0.3">
      <c r="A406" t="s">
        <v>252</v>
      </c>
      <c r="B406">
        <v>2016</v>
      </c>
      <c r="C406" t="s">
        <v>310</v>
      </c>
      <c r="D406" t="s">
        <v>311</v>
      </c>
      <c r="E406" t="s">
        <v>65</v>
      </c>
      <c r="F406">
        <v>6500</v>
      </c>
      <c r="G406" t="s">
        <v>66</v>
      </c>
      <c r="H406">
        <v>1</v>
      </c>
    </row>
    <row r="407" spans="1:8" x14ac:dyDescent="0.3">
      <c r="A407" t="s">
        <v>252</v>
      </c>
      <c r="B407">
        <v>2019</v>
      </c>
      <c r="C407" t="s">
        <v>310</v>
      </c>
      <c r="D407" t="s">
        <v>311</v>
      </c>
      <c r="E407" t="s">
        <v>65</v>
      </c>
      <c r="F407">
        <v>6500</v>
      </c>
      <c r="G407" t="s">
        <v>66</v>
      </c>
      <c r="H407">
        <v>2</v>
      </c>
    </row>
    <row r="408" spans="1:8" x14ac:dyDescent="0.3">
      <c r="A408" t="s">
        <v>252</v>
      </c>
      <c r="B408">
        <v>2020</v>
      </c>
      <c r="C408" t="s">
        <v>310</v>
      </c>
      <c r="D408" t="s">
        <v>311</v>
      </c>
      <c r="E408" t="s">
        <v>65</v>
      </c>
      <c r="F408">
        <v>6500</v>
      </c>
      <c r="G408" t="s">
        <v>66</v>
      </c>
      <c r="H408">
        <v>1</v>
      </c>
    </row>
    <row r="409" spans="1:8" x14ac:dyDescent="0.3">
      <c r="A409" t="s">
        <v>135</v>
      </c>
      <c r="B409">
        <v>2014</v>
      </c>
      <c r="C409" t="s">
        <v>310</v>
      </c>
      <c r="D409" t="s">
        <v>311</v>
      </c>
      <c r="E409" t="s">
        <v>65</v>
      </c>
      <c r="F409">
        <v>3400</v>
      </c>
      <c r="G409" t="s">
        <v>66</v>
      </c>
      <c r="H409">
        <v>1</v>
      </c>
    </row>
    <row r="410" spans="1:8" x14ac:dyDescent="0.3">
      <c r="A410" t="s">
        <v>135</v>
      </c>
      <c r="B410">
        <v>2015</v>
      </c>
      <c r="C410" t="s">
        <v>310</v>
      </c>
      <c r="D410" t="s">
        <v>311</v>
      </c>
      <c r="E410" t="s">
        <v>65</v>
      </c>
      <c r="F410">
        <v>3400</v>
      </c>
      <c r="G410" t="s">
        <v>66</v>
      </c>
      <c r="H410">
        <v>2</v>
      </c>
    </row>
    <row r="411" spans="1:8" x14ac:dyDescent="0.3">
      <c r="A411" t="s">
        <v>135</v>
      </c>
      <c r="B411">
        <v>2016</v>
      </c>
      <c r="C411" t="s">
        <v>310</v>
      </c>
      <c r="D411" t="s">
        <v>311</v>
      </c>
      <c r="E411" t="s">
        <v>65</v>
      </c>
      <c r="F411">
        <v>3400</v>
      </c>
      <c r="G411" t="s">
        <v>66</v>
      </c>
      <c r="H411">
        <v>1</v>
      </c>
    </row>
    <row r="412" spans="1:8" x14ac:dyDescent="0.3">
      <c r="A412" t="s">
        <v>135</v>
      </c>
      <c r="B412">
        <v>2018</v>
      </c>
      <c r="C412" t="s">
        <v>310</v>
      </c>
      <c r="D412" t="s">
        <v>311</v>
      </c>
      <c r="E412" t="s">
        <v>65</v>
      </c>
      <c r="F412">
        <v>3400</v>
      </c>
      <c r="G412" t="s">
        <v>66</v>
      </c>
      <c r="H412">
        <v>1</v>
      </c>
    </row>
    <row r="413" spans="1:8" x14ac:dyDescent="0.3">
      <c r="A413" t="s">
        <v>135</v>
      </c>
      <c r="B413">
        <v>2019</v>
      </c>
      <c r="C413" t="s">
        <v>310</v>
      </c>
      <c r="D413" t="s">
        <v>311</v>
      </c>
      <c r="E413" t="s">
        <v>65</v>
      </c>
      <c r="F413">
        <v>3400</v>
      </c>
      <c r="G413" t="s">
        <v>66</v>
      </c>
      <c r="H413">
        <v>1</v>
      </c>
    </row>
    <row r="414" spans="1:8" x14ac:dyDescent="0.3">
      <c r="A414" t="s">
        <v>135</v>
      </c>
      <c r="B414">
        <v>2021</v>
      </c>
      <c r="C414" t="s">
        <v>310</v>
      </c>
      <c r="D414" t="s">
        <v>311</v>
      </c>
      <c r="E414" t="s">
        <v>65</v>
      </c>
      <c r="F414">
        <v>3400</v>
      </c>
      <c r="G414" t="s">
        <v>66</v>
      </c>
      <c r="H414">
        <v>1</v>
      </c>
    </row>
    <row r="415" spans="1:8" x14ac:dyDescent="0.3">
      <c r="A415" t="s">
        <v>136</v>
      </c>
      <c r="B415">
        <v>2016</v>
      </c>
      <c r="C415" t="s">
        <v>310</v>
      </c>
      <c r="D415" t="s">
        <v>311</v>
      </c>
      <c r="E415" t="s">
        <v>65</v>
      </c>
      <c r="F415">
        <v>4629</v>
      </c>
      <c r="G415" t="s">
        <v>66</v>
      </c>
      <c r="H415">
        <v>3</v>
      </c>
    </row>
    <row r="416" spans="1:8" x14ac:dyDescent="0.3">
      <c r="A416" t="s">
        <v>136</v>
      </c>
      <c r="B416">
        <v>2017</v>
      </c>
      <c r="C416" t="s">
        <v>310</v>
      </c>
      <c r="D416" t="s">
        <v>311</v>
      </c>
      <c r="E416" t="s">
        <v>65</v>
      </c>
      <c r="F416">
        <v>4629</v>
      </c>
      <c r="G416" t="s">
        <v>66</v>
      </c>
      <c r="H416">
        <v>2</v>
      </c>
    </row>
    <row r="417" spans="1:8" x14ac:dyDescent="0.3">
      <c r="A417" t="s">
        <v>253</v>
      </c>
      <c r="B417">
        <v>2014</v>
      </c>
      <c r="C417" t="s">
        <v>310</v>
      </c>
      <c r="D417" t="s">
        <v>311</v>
      </c>
      <c r="E417" t="s">
        <v>65</v>
      </c>
      <c r="F417">
        <v>3798</v>
      </c>
      <c r="G417" t="s">
        <v>66</v>
      </c>
      <c r="H417">
        <v>2</v>
      </c>
    </row>
    <row r="418" spans="1:8" x14ac:dyDescent="0.3">
      <c r="A418" t="s">
        <v>253</v>
      </c>
      <c r="B418">
        <v>2015</v>
      </c>
      <c r="C418" t="s">
        <v>310</v>
      </c>
      <c r="D418" t="s">
        <v>311</v>
      </c>
      <c r="E418" t="s">
        <v>65</v>
      </c>
      <c r="F418">
        <v>3798</v>
      </c>
      <c r="G418" t="s">
        <v>66</v>
      </c>
      <c r="H418">
        <v>5</v>
      </c>
    </row>
    <row r="419" spans="1:8" x14ac:dyDescent="0.3">
      <c r="A419" t="s">
        <v>253</v>
      </c>
      <c r="B419">
        <v>2016</v>
      </c>
      <c r="C419" t="s">
        <v>310</v>
      </c>
      <c r="D419" t="s">
        <v>311</v>
      </c>
      <c r="E419" t="s">
        <v>65</v>
      </c>
      <c r="F419">
        <v>3798</v>
      </c>
      <c r="G419" t="s">
        <v>66</v>
      </c>
      <c r="H419">
        <v>4</v>
      </c>
    </row>
    <row r="420" spans="1:8" x14ac:dyDescent="0.3">
      <c r="A420" t="s">
        <v>253</v>
      </c>
      <c r="B420">
        <v>2017</v>
      </c>
      <c r="C420" t="s">
        <v>310</v>
      </c>
      <c r="D420" t="s">
        <v>311</v>
      </c>
      <c r="E420" t="s">
        <v>65</v>
      </c>
      <c r="F420">
        <v>3798</v>
      </c>
      <c r="G420" t="s">
        <v>66</v>
      </c>
      <c r="H420">
        <v>1</v>
      </c>
    </row>
    <row r="421" spans="1:8" x14ac:dyDescent="0.3">
      <c r="A421" t="s">
        <v>253</v>
      </c>
      <c r="B421">
        <v>2020</v>
      </c>
      <c r="C421" t="s">
        <v>310</v>
      </c>
      <c r="D421" t="s">
        <v>311</v>
      </c>
      <c r="E421" t="s">
        <v>65</v>
      </c>
      <c r="F421">
        <v>3798</v>
      </c>
      <c r="G421" t="s">
        <v>66</v>
      </c>
      <c r="H421">
        <v>1</v>
      </c>
    </row>
    <row r="422" spans="1:8" x14ac:dyDescent="0.3">
      <c r="A422" t="s">
        <v>137</v>
      </c>
      <c r="B422">
        <v>2014</v>
      </c>
      <c r="C422" t="s">
        <v>310</v>
      </c>
      <c r="D422" t="s">
        <v>311</v>
      </c>
      <c r="E422" t="s">
        <v>65</v>
      </c>
      <c r="F422">
        <v>4299</v>
      </c>
      <c r="G422" t="s">
        <v>66</v>
      </c>
      <c r="H422">
        <v>1</v>
      </c>
    </row>
    <row r="423" spans="1:8" x14ac:dyDescent="0.3">
      <c r="A423" t="s">
        <v>137</v>
      </c>
      <c r="B423">
        <v>2016</v>
      </c>
      <c r="C423" t="s">
        <v>310</v>
      </c>
      <c r="D423" t="s">
        <v>311</v>
      </c>
      <c r="E423" t="s">
        <v>65</v>
      </c>
      <c r="F423">
        <v>4299</v>
      </c>
      <c r="G423" t="s">
        <v>66</v>
      </c>
      <c r="H423">
        <v>1</v>
      </c>
    </row>
    <row r="424" spans="1:8" x14ac:dyDescent="0.3">
      <c r="A424" t="s">
        <v>254</v>
      </c>
      <c r="B424">
        <v>2016</v>
      </c>
      <c r="C424" t="s">
        <v>310</v>
      </c>
      <c r="D424" t="s">
        <v>311</v>
      </c>
      <c r="E424" t="s">
        <v>65</v>
      </c>
      <c r="F424">
        <v>8699</v>
      </c>
      <c r="G424" t="s">
        <v>66</v>
      </c>
      <c r="H424">
        <v>1</v>
      </c>
    </row>
    <row r="425" spans="1:8" x14ac:dyDescent="0.3">
      <c r="A425" t="s">
        <v>254</v>
      </c>
      <c r="B425">
        <v>2018</v>
      </c>
      <c r="C425" t="s">
        <v>310</v>
      </c>
      <c r="D425" t="s">
        <v>311</v>
      </c>
      <c r="E425" t="s">
        <v>65</v>
      </c>
      <c r="F425">
        <v>8699</v>
      </c>
      <c r="G425" t="s">
        <v>66</v>
      </c>
      <c r="H425">
        <v>1</v>
      </c>
    </row>
    <row r="426" spans="1:8" x14ac:dyDescent="0.3">
      <c r="A426" t="s">
        <v>139</v>
      </c>
      <c r="B426">
        <v>2014</v>
      </c>
      <c r="C426" t="s">
        <v>310</v>
      </c>
      <c r="D426" t="s">
        <v>311</v>
      </c>
      <c r="E426" t="s">
        <v>65</v>
      </c>
      <c r="F426">
        <v>9039</v>
      </c>
      <c r="G426" t="s">
        <v>66</v>
      </c>
      <c r="H426">
        <v>4</v>
      </c>
    </row>
    <row r="427" spans="1:8" x14ac:dyDescent="0.3">
      <c r="A427" t="s">
        <v>139</v>
      </c>
      <c r="B427">
        <v>2015</v>
      </c>
      <c r="C427" t="s">
        <v>310</v>
      </c>
      <c r="D427" t="s">
        <v>311</v>
      </c>
      <c r="E427" t="s">
        <v>65</v>
      </c>
      <c r="F427">
        <v>9039</v>
      </c>
      <c r="G427" t="s">
        <v>66</v>
      </c>
      <c r="H427">
        <v>18</v>
      </c>
    </row>
    <row r="428" spans="1:8" x14ac:dyDescent="0.3">
      <c r="A428" t="s">
        <v>139</v>
      </c>
      <c r="B428">
        <v>2016</v>
      </c>
      <c r="C428" t="s">
        <v>310</v>
      </c>
      <c r="D428" t="s">
        <v>311</v>
      </c>
      <c r="E428" t="s">
        <v>65</v>
      </c>
      <c r="F428">
        <v>9039</v>
      </c>
      <c r="G428" t="s">
        <v>66</v>
      </c>
      <c r="H428">
        <v>27</v>
      </c>
    </row>
    <row r="429" spans="1:8" x14ac:dyDescent="0.3">
      <c r="A429" t="s">
        <v>139</v>
      </c>
      <c r="B429">
        <v>2017</v>
      </c>
      <c r="C429" t="s">
        <v>310</v>
      </c>
      <c r="D429" t="s">
        <v>311</v>
      </c>
      <c r="E429" t="s">
        <v>65</v>
      </c>
      <c r="F429">
        <v>9039</v>
      </c>
      <c r="G429" t="s">
        <v>66</v>
      </c>
      <c r="H429">
        <v>2</v>
      </c>
    </row>
    <row r="430" spans="1:8" x14ac:dyDescent="0.3">
      <c r="A430" t="s">
        <v>139</v>
      </c>
      <c r="B430">
        <v>2018</v>
      </c>
      <c r="C430" t="s">
        <v>310</v>
      </c>
      <c r="D430" t="s">
        <v>311</v>
      </c>
      <c r="E430" t="s">
        <v>65</v>
      </c>
      <c r="F430">
        <v>9039</v>
      </c>
      <c r="G430" t="s">
        <v>66</v>
      </c>
      <c r="H430">
        <v>3</v>
      </c>
    </row>
    <row r="431" spans="1:8" x14ac:dyDescent="0.3">
      <c r="A431" t="s">
        <v>139</v>
      </c>
      <c r="B431">
        <v>2019</v>
      </c>
      <c r="C431" t="s">
        <v>310</v>
      </c>
      <c r="D431" t="s">
        <v>311</v>
      </c>
      <c r="E431" t="s">
        <v>65</v>
      </c>
      <c r="F431">
        <v>9039</v>
      </c>
      <c r="G431" t="s">
        <v>66</v>
      </c>
      <c r="H431">
        <v>6</v>
      </c>
    </row>
    <row r="432" spans="1:8" x14ac:dyDescent="0.3">
      <c r="A432" t="s">
        <v>139</v>
      </c>
      <c r="B432">
        <v>2020</v>
      </c>
      <c r="C432" t="s">
        <v>310</v>
      </c>
      <c r="D432" t="s">
        <v>311</v>
      </c>
      <c r="E432" t="s">
        <v>65</v>
      </c>
      <c r="F432">
        <v>9039</v>
      </c>
      <c r="G432" t="s">
        <v>66</v>
      </c>
      <c r="H432">
        <v>7</v>
      </c>
    </row>
    <row r="433" spans="1:8" x14ac:dyDescent="0.3">
      <c r="A433" t="s">
        <v>139</v>
      </c>
      <c r="B433">
        <v>2021</v>
      </c>
      <c r="C433" t="s">
        <v>310</v>
      </c>
      <c r="D433" t="s">
        <v>311</v>
      </c>
      <c r="E433" t="s">
        <v>65</v>
      </c>
      <c r="F433">
        <v>9039</v>
      </c>
      <c r="G433" t="s">
        <v>66</v>
      </c>
      <c r="H433">
        <v>3</v>
      </c>
    </row>
    <row r="434" spans="1:8" x14ac:dyDescent="0.3">
      <c r="A434" t="s">
        <v>256</v>
      </c>
      <c r="B434">
        <v>2014</v>
      </c>
      <c r="C434" t="s">
        <v>310</v>
      </c>
      <c r="D434" t="s">
        <v>311</v>
      </c>
      <c r="E434" t="s">
        <v>65</v>
      </c>
      <c r="F434">
        <v>8800</v>
      </c>
      <c r="G434" t="s">
        <v>66</v>
      </c>
      <c r="H434">
        <v>2</v>
      </c>
    </row>
    <row r="435" spans="1:8" x14ac:dyDescent="0.3">
      <c r="A435" t="s">
        <v>256</v>
      </c>
      <c r="B435">
        <v>2015</v>
      </c>
      <c r="C435" t="s">
        <v>310</v>
      </c>
      <c r="D435" t="s">
        <v>311</v>
      </c>
      <c r="E435" t="s">
        <v>65</v>
      </c>
      <c r="F435">
        <v>8800</v>
      </c>
      <c r="G435" t="s">
        <v>66</v>
      </c>
      <c r="H435">
        <v>1</v>
      </c>
    </row>
    <row r="436" spans="1:8" x14ac:dyDescent="0.3">
      <c r="A436" t="s">
        <v>256</v>
      </c>
      <c r="B436">
        <v>2016</v>
      </c>
      <c r="C436" t="s">
        <v>310</v>
      </c>
      <c r="D436" t="s">
        <v>311</v>
      </c>
      <c r="E436" t="s">
        <v>65</v>
      </c>
      <c r="F436">
        <v>8800</v>
      </c>
      <c r="G436" t="s">
        <v>66</v>
      </c>
      <c r="H436">
        <v>6</v>
      </c>
    </row>
    <row r="437" spans="1:8" x14ac:dyDescent="0.3">
      <c r="A437" t="s">
        <v>256</v>
      </c>
      <c r="B437">
        <v>2018</v>
      </c>
      <c r="C437" t="s">
        <v>310</v>
      </c>
      <c r="D437" t="s">
        <v>311</v>
      </c>
      <c r="E437" t="s">
        <v>65</v>
      </c>
      <c r="F437">
        <v>8800</v>
      </c>
      <c r="G437" t="s">
        <v>66</v>
      </c>
      <c r="H437">
        <v>1</v>
      </c>
    </row>
    <row r="438" spans="1:8" x14ac:dyDescent="0.3">
      <c r="A438" t="s">
        <v>256</v>
      </c>
      <c r="B438">
        <v>2019</v>
      </c>
      <c r="C438" t="s">
        <v>310</v>
      </c>
      <c r="D438" t="s">
        <v>311</v>
      </c>
      <c r="E438" t="s">
        <v>65</v>
      </c>
      <c r="F438">
        <v>8800</v>
      </c>
      <c r="G438" t="s">
        <v>66</v>
      </c>
      <c r="H438">
        <v>3</v>
      </c>
    </row>
    <row r="439" spans="1:8" x14ac:dyDescent="0.3">
      <c r="A439" t="s">
        <v>261</v>
      </c>
      <c r="B439">
        <v>2020</v>
      </c>
      <c r="C439" t="s">
        <v>310</v>
      </c>
      <c r="D439" t="s">
        <v>311</v>
      </c>
      <c r="E439" t="s">
        <v>65</v>
      </c>
      <c r="F439">
        <v>15100</v>
      </c>
      <c r="G439" t="s">
        <v>66</v>
      </c>
      <c r="H439">
        <v>4</v>
      </c>
    </row>
    <row r="440" spans="1:8" x14ac:dyDescent="0.3">
      <c r="A440" t="s">
        <v>263</v>
      </c>
      <c r="B440">
        <v>2020</v>
      </c>
      <c r="C440" t="s">
        <v>310</v>
      </c>
      <c r="D440" t="s">
        <v>311</v>
      </c>
      <c r="E440" t="s">
        <v>65</v>
      </c>
      <c r="F440">
        <v>6000</v>
      </c>
      <c r="G440" t="s">
        <v>66</v>
      </c>
      <c r="H440">
        <v>1</v>
      </c>
    </row>
    <row r="441" spans="1:8" x14ac:dyDescent="0.3">
      <c r="A441" t="s">
        <v>263</v>
      </c>
      <c r="B441">
        <v>2021</v>
      </c>
      <c r="C441" t="s">
        <v>310</v>
      </c>
      <c r="D441" t="s">
        <v>311</v>
      </c>
      <c r="E441" t="s">
        <v>65</v>
      </c>
      <c r="F441">
        <v>6000</v>
      </c>
      <c r="G441" t="s">
        <v>66</v>
      </c>
      <c r="H441">
        <v>2</v>
      </c>
    </row>
    <row r="442" spans="1:8" x14ac:dyDescent="0.3">
      <c r="A442" t="s">
        <v>142</v>
      </c>
      <c r="B442">
        <v>2014</v>
      </c>
      <c r="C442" t="s">
        <v>310</v>
      </c>
      <c r="D442" t="s">
        <v>311</v>
      </c>
      <c r="E442" t="s">
        <v>65</v>
      </c>
      <c r="F442">
        <v>3000</v>
      </c>
      <c r="G442" t="s">
        <v>66</v>
      </c>
      <c r="H442">
        <v>1</v>
      </c>
    </row>
    <row r="443" spans="1:8" x14ac:dyDescent="0.3">
      <c r="A443" t="s">
        <v>142</v>
      </c>
      <c r="B443">
        <v>2015</v>
      </c>
      <c r="C443" t="s">
        <v>310</v>
      </c>
      <c r="D443" t="s">
        <v>311</v>
      </c>
      <c r="E443" t="s">
        <v>65</v>
      </c>
      <c r="F443">
        <v>3000</v>
      </c>
      <c r="G443" t="s">
        <v>66</v>
      </c>
      <c r="H443">
        <v>1</v>
      </c>
    </row>
    <row r="444" spans="1:8" x14ac:dyDescent="0.3">
      <c r="A444" t="s">
        <v>142</v>
      </c>
      <c r="B444">
        <v>2019</v>
      </c>
      <c r="C444" t="s">
        <v>310</v>
      </c>
      <c r="D444" t="s">
        <v>311</v>
      </c>
      <c r="E444" t="s">
        <v>65</v>
      </c>
      <c r="F444">
        <v>3000</v>
      </c>
      <c r="G444" t="s">
        <v>66</v>
      </c>
      <c r="H444">
        <v>1</v>
      </c>
    </row>
    <row r="445" spans="1:8" x14ac:dyDescent="0.3">
      <c r="A445" t="s">
        <v>142</v>
      </c>
      <c r="B445">
        <v>2020</v>
      </c>
      <c r="C445" t="s">
        <v>310</v>
      </c>
      <c r="D445" t="s">
        <v>311</v>
      </c>
      <c r="E445" t="s">
        <v>65</v>
      </c>
      <c r="F445">
        <v>3000</v>
      </c>
      <c r="G445" t="s">
        <v>66</v>
      </c>
      <c r="H445">
        <v>1</v>
      </c>
    </row>
    <row r="446" spans="1:8" x14ac:dyDescent="0.3">
      <c r="A446" t="s">
        <v>265</v>
      </c>
      <c r="B446">
        <v>2015</v>
      </c>
      <c r="C446" t="s">
        <v>310</v>
      </c>
      <c r="D446" t="s">
        <v>311</v>
      </c>
      <c r="E446" t="s">
        <v>65</v>
      </c>
      <c r="F446">
        <v>3368</v>
      </c>
      <c r="G446" t="s">
        <v>66</v>
      </c>
      <c r="H446">
        <v>1</v>
      </c>
    </row>
    <row r="447" spans="1:8" x14ac:dyDescent="0.3">
      <c r="A447" t="s">
        <v>265</v>
      </c>
      <c r="B447">
        <v>2016</v>
      </c>
      <c r="C447" t="s">
        <v>310</v>
      </c>
      <c r="D447" t="s">
        <v>311</v>
      </c>
      <c r="E447" t="s">
        <v>65</v>
      </c>
      <c r="F447">
        <v>3368</v>
      </c>
      <c r="G447" t="s">
        <v>66</v>
      </c>
      <c r="H447">
        <v>2</v>
      </c>
    </row>
    <row r="448" spans="1:8" x14ac:dyDescent="0.3">
      <c r="A448" t="s">
        <v>265</v>
      </c>
      <c r="B448">
        <v>2020</v>
      </c>
      <c r="C448" t="s">
        <v>310</v>
      </c>
      <c r="D448" t="s">
        <v>311</v>
      </c>
      <c r="E448" t="s">
        <v>65</v>
      </c>
      <c r="F448">
        <v>3368</v>
      </c>
      <c r="G448" t="s">
        <v>66</v>
      </c>
      <c r="H448">
        <v>1</v>
      </c>
    </row>
    <row r="449" spans="1:8" x14ac:dyDescent="0.3">
      <c r="A449" t="s">
        <v>143</v>
      </c>
      <c r="B449">
        <v>2014</v>
      </c>
      <c r="C449" t="s">
        <v>310</v>
      </c>
      <c r="D449" t="s">
        <v>311</v>
      </c>
      <c r="E449" t="s">
        <v>65</v>
      </c>
      <c r="F449">
        <v>14500</v>
      </c>
      <c r="G449" t="s">
        <v>72</v>
      </c>
      <c r="H449">
        <v>3</v>
      </c>
    </row>
    <row r="450" spans="1:8" x14ac:dyDescent="0.3">
      <c r="A450" t="s">
        <v>143</v>
      </c>
      <c r="B450">
        <v>2015</v>
      </c>
      <c r="C450" t="s">
        <v>310</v>
      </c>
      <c r="D450" t="s">
        <v>311</v>
      </c>
      <c r="E450" t="s">
        <v>65</v>
      </c>
      <c r="F450">
        <v>14500</v>
      </c>
      <c r="G450" t="s">
        <v>72</v>
      </c>
      <c r="H450">
        <v>4</v>
      </c>
    </row>
    <row r="451" spans="1:8" x14ac:dyDescent="0.3">
      <c r="A451" t="s">
        <v>143</v>
      </c>
      <c r="B451">
        <v>2016</v>
      </c>
      <c r="C451" t="s">
        <v>310</v>
      </c>
      <c r="D451" t="s">
        <v>311</v>
      </c>
      <c r="E451" t="s">
        <v>65</v>
      </c>
      <c r="F451">
        <v>14500</v>
      </c>
      <c r="G451" t="s">
        <v>72</v>
      </c>
      <c r="H451">
        <v>10</v>
      </c>
    </row>
    <row r="452" spans="1:8" x14ac:dyDescent="0.3">
      <c r="A452" t="s">
        <v>143</v>
      </c>
      <c r="B452">
        <v>2017</v>
      </c>
      <c r="C452" t="s">
        <v>310</v>
      </c>
      <c r="D452" t="s">
        <v>311</v>
      </c>
      <c r="E452" t="s">
        <v>65</v>
      </c>
      <c r="F452">
        <v>14500</v>
      </c>
      <c r="G452" t="s">
        <v>72</v>
      </c>
      <c r="H452">
        <v>23</v>
      </c>
    </row>
    <row r="453" spans="1:8" x14ac:dyDescent="0.3">
      <c r="A453" t="s">
        <v>143</v>
      </c>
      <c r="B453">
        <v>2018</v>
      </c>
      <c r="C453" t="s">
        <v>310</v>
      </c>
      <c r="D453" t="s">
        <v>311</v>
      </c>
      <c r="E453" t="s">
        <v>65</v>
      </c>
      <c r="F453">
        <v>14500</v>
      </c>
      <c r="G453" t="s">
        <v>72</v>
      </c>
      <c r="H453">
        <v>180</v>
      </c>
    </row>
    <row r="454" spans="1:8" x14ac:dyDescent="0.3">
      <c r="A454" t="s">
        <v>143</v>
      </c>
      <c r="B454">
        <v>2019</v>
      </c>
      <c r="C454" t="s">
        <v>310</v>
      </c>
      <c r="D454" t="s">
        <v>311</v>
      </c>
      <c r="E454" t="s">
        <v>65</v>
      </c>
      <c r="F454">
        <v>14500</v>
      </c>
      <c r="G454" t="s">
        <v>72</v>
      </c>
      <c r="H454">
        <v>197</v>
      </c>
    </row>
    <row r="455" spans="1:8" x14ac:dyDescent="0.3">
      <c r="A455" t="s">
        <v>143</v>
      </c>
      <c r="B455">
        <v>2020</v>
      </c>
      <c r="C455" t="s">
        <v>310</v>
      </c>
      <c r="D455" t="s">
        <v>311</v>
      </c>
      <c r="E455" t="s">
        <v>65</v>
      </c>
      <c r="F455">
        <v>14500</v>
      </c>
      <c r="G455" t="s">
        <v>72</v>
      </c>
      <c r="H455">
        <v>235</v>
      </c>
    </row>
    <row r="456" spans="1:8" x14ac:dyDescent="0.3">
      <c r="A456" t="s">
        <v>143</v>
      </c>
      <c r="B456">
        <v>2021</v>
      </c>
      <c r="C456" t="s">
        <v>310</v>
      </c>
      <c r="D456" t="s">
        <v>311</v>
      </c>
      <c r="E456" t="s">
        <v>65</v>
      </c>
      <c r="F456">
        <v>14500</v>
      </c>
      <c r="G456" t="s">
        <v>72</v>
      </c>
      <c r="H456">
        <v>189</v>
      </c>
    </row>
    <row r="457" spans="1:8" x14ac:dyDescent="0.3">
      <c r="A457" t="s">
        <v>145</v>
      </c>
      <c r="B457">
        <v>2017</v>
      </c>
      <c r="C457" t="s">
        <v>310</v>
      </c>
      <c r="D457" t="s">
        <v>311</v>
      </c>
      <c r="E457" t="s">
        <v>65</v>
      </c>
      <c r="F457">
        <v>6613</v>
      </c>
      <c r="G457" t="s">
        <v>66</v>
      </c>
      <c r="H457">
        <v>2</v>
      </c>
    </row>
    <row r="458" spans="1:8" x14ac:dyDescent="0.3">
      <c r="A458" t="s">
        <v>146</v>
      </c>
      <c r="B458">
        <v>2016</v>
      </c>
      <c r="C458" t="s">
        <v>310</v>
      </c>
      <c r="D458" t="s">
        <v>311</v>
      </c>
      <c r="E458" t="s">
        <v>65</v>
      </c>
      <c r="F458">
        <v>7495</v>
      </c>
      <c r="G458" t="s">
        <v>66</v>
      </c>
      <c r="H458">
        <v>1</v>
      </c>
    </row>
    <row r="459" spans="1:8" x14ac:dyDescent="0.3">
      <c r="A459" t="s">
        <v>146</v>
      </c>
      <c r="B459">
        <v>2017</v>
      </c>
      <c r="C459" t="s">
        <v>310</v>
      </c>
      <c r="D459" t="s">
        <v>311</v>
      </c>
      <c r="E459" t="s">
        <v>65</v>
      </c>
      <c r="F459">
        <v>7495</v>
      </c>
      <c r="G459" t="s">
        <v>66</v>
      </c>
      <c r="H459">
        <v>1</v>
      </c>
    </row>
    <row r="460" spans="1:8" x14ac:dyDescent="0.3">
      <c r="A460" t="s">
        <v>146</v>
      </c>
      <c r="B460">
        <v>2021</v>
      </c>
      <c r="C460" t="s">
        <v>310</v>
      </c>
      <c r="D460" t="s">
        <v>311</v>
      </c>
      <c r="E460" t="s">
        <v>65</v>
      </c>
      <c r="F460">
        <v>7495</v>
      </c>
      <c r="G460" t="s">
        <v>66</v>
      </c>
      <c r="H460">
        <v>1</v>
      </c>
    </row>
    <row r="461" spans="1:8" x14ac:dyDescent="0.3">
      <c r="A461" t="s">
        <v>268</v>
      </c>
      <c r="B461">
        <v>2020</v>
      </c>
      <c r="C461" t="s">
        <v>310</v>
      </c>
      <c r="D461" t="s">
        <v>311</v>
      </c>
      <c r="E461" t="s">
        <v>65</v>
      </c>
      <c r="F461">
        <v>7394</v>
      </c>
      <c r="G461" t="s">
        <v>66</v>
      </c>
      <c r="H461">
        <v>1</v>
      </c>
    </row>
    <row r="462" spans="1:8" x14ac:dyDescent="0.3">
      <c r="A462" t="s">
        <v>270</v>
      </c>
      <c r="B462">
        <v>2014</v>
      </c>
      <c r="C462" t="s">
        <v>310</v>
      </c>
      <c r="D462" t="s">
        <v>311</v>
      </c>
      <c r="E462" t="s">
        <v>65</v>
      </c>
      <c r="F462">
        <v>-1</v>
      </c>
      <c r="G462" t="s">
        <v>270</v>
      </c>
      <c r="H462">
        <v>25</v>
      </c>
    </row>
    <row r="463" spans="1:8" x14ac:dyDescent="0.3">
      <c r="A463" t="s">
        <v>270</v>
      </c>
      <c r="B463">
        <v>2015</v>
      </c>
      <c r="C463" t="s">
        <v>310</v>
      </c>
      <c r="D463" t="s">
        <v>311</v>
      </c>
      <c r="E463" t="s">
        <v>65</v>
      </c>
      <c r="F463">
        <v>-1</v>
      </c>
      <c r="G463" t="s">
        <v>270</v>
      </c>
      <c r="H463">
        <v>32</v>
      </c>
    </row>
    <row r="464" spans="1:8" x14ac:dyDescent="0.3">
      <c r="A464" t="s">
        <v>270</v>
      </c>
      <c r="B464">
        <v>2016</v>
      </c>
      <c r="C464" t="s">
        <v>310</v>
      </c>
      <c r="D464" t="s">
        <v>311</v>
      </c>
      <c r="E464" t="s">
        <v>65</v>
      </c>
      <c r="F464">
        <v>-1</v>
      </c>
      <c r="G464" t="s">
        <v>270</v>
      </c>
      <c r="H464">
        <v>36</v>
      </c>
    </row>
    <row r="465" spans="1:8" x14ac:dyDescent="0.3">
      <c r="A465" t="s">
        <v>270</v>
      </c>
      <c r="B465">
        <v>2017</v>
      </c>
      <c r="C465" t="s">
        <v>310</v>
      </c>
      <c r="D465" t="s">
        <v>311</v>
      </c>
      <c r="E465" t="s">
        <v>65</v>
      </c>
      <c r="F465">
        <v>-1</v>
      </c>
      <c r="G465" t="s">
        <v>270</v>
      </c>
      <c r="H465">
        <v>64</v>
      </c>
    </row>
    <row r="466" spans="1:8" x14ac:dyDescent="0.3">
      <c r="A466" t="s">
        <v>270</v>
      </c>
      <c r="B466">
        <v>2018</v>
      </c>
      <c r="C466" t="s">
        <v>310</v>
      </c>
      <c r="D466" t="s">
        <v>311</v>
      </c>
      <c r="E466" t="s">
        <v>65</v>
      </c>
      <c r="F466">
        <v>-1</v>
      </c>
      <c r="G466" t="s">
        <v>270</v>
      </c>
      <c r="H466">
        <v>106</v>
      </c>
    </row>
    <row r="467" spans="1:8" x14ac:dyDescent="0.3">
      <c r="A467" t="s">
        <v>270</v>
      </c>
      <c r="B467">
        <v>2019</v>
      </c>
      <c r="C467" t="s">
        <v>310</v>
      </c>
      <c r="D467" t="s">
        <v>311</v>
      </c>
      <c r="E467" t="s">
        <v>65</v>
      </c>
      <c r="F467">
        <v>-1</v>
      </c>
      <c r="G467" t="s">
        <v>270</v>
      </c>
      <c r="H467">
        <v>146</v>
      </c>
    </row>
    <row r="468" spans="1:8" x14ac:dyDescent="0.3">
      <c r="A468" t="s">
        <v>270</v>
      </c>
      <c r="B468">
        <v>2020</v>
      </c>
      <c r="C468" t="s">
        <v>310</v>
      </c>
      <c r="D468" t="s">
        <v>311</v>
      </c>
      <c r="E468" t="s">
        <v>65</v>
      </c>
      <c r="F468">
        <v>-1</v>
      </c>
      <c r="G468" t="s">
        <v>270</v>
      </c>
      <c r="H468">
        <v>167</v>
      </c>
    </row>
    <row r="469" spans="1:8" x14ac:dyDescent="0.3">
      <c r="A469" t="s">
        <v>270</v>
      </c>
      <c r="B469">
        <v>2021</v>
      </c>
      <c r="C469" t="s">
        <v>310</v>
      </c>
      <c r="D469" t="s">
        <v>311</v>
      </c>
      <c r="E469" t="s">
        <v>65</v>
      </c>
      <c r="F469">
        <v>-1</v>
      </c>
      <c r="G469" t="s">
        <v>270</v>
      </c>
      <c r="H469">
        <v>149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DE04C-96BE-4BD7-9491-6B4D8EB1E87E}">
  <dimension ref="A1:H396"/>
  <sheetViews>
    <sheetView workbookViewId="0">
      <selection activeCell="I7" sqref="I7"/>
    </sheetView>
  </sheetViews>
  <sheetFormatPr defaultRowHeight="14.4" x14ac:dyDescent="0.3"/>
  <sheetData>
    <row r="1" spans="1:8" x14ac:dyDescent="0.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x14ac:dyDescent="0.3">
      <c r="A2" t="s">
        <v>62</v>
      </c>
      <c r="B2">
        <v>2018</v>
      </c>
      <c r="C2" t="s">
        <v>304</v>
      </c>
      <c r="D2" t="s">
        <v>305</v>
      </c>
      <c r="E2" t="s">
        <v>65</v>
      </c>
      <c r="F2">
        <v>50044</v>
      </c>
      <c r="G2" t="s">
        <v>66</v>
      </c>
      <c r="H2">
        <v>1</v>
      </c>
    </row>
    <row r="3" spans="1:8" x14ac:dyDescent="0.3">
      <c r="A3" t="s">
        <v>67</v>
      </c>
      <c r="B3">
        <v>2014</v>
      </c>
      <c r="C3" t="s">
        <v>304</v>
      </c>
      <c r="D3" t="s">
        <v>305</v>
      </c>
      <c r="E3" t="s">
        <v>65</v>
      </c>
      <c r="F3">
        <v>2400</v>
      </c>
      <c r="G3" t="s">
        <v>66</v>
      </c>
      <c r="H3">
        <v>1</v>
      </c>
    </row>
    <row r="4" spans="1:8" x14ac:dyDescent="0.3">
      <c r="A4" t="s">
        <v>67</v>
      </c>
      <c r="B4">
        <v>2016</v>
      </c>
      <c r="C4" t="s">
        <v>304</v>
      </c>
      <c r="D4" t="s">
        <v>305</v>
      </c>
      <c r="E4" t="s">
        <v>65</v>
      </c>
      <c r="F4">
        <v>2400</v>
      </c>
      <c r="G4" t="s">
        <v>66</v>
      </c>
      <c r="H4">
        <v>1</v>
      </c>
    </row>
    <row r="5" spans="1:8" x14ac:dyDescent="0.3">
      <c r="A5" t="s">
        <v>67</v>
      </c>
      <c r="B5">
        <v>2017</v>
      </c>
      <c r="C5" t="s">
        <v>304</v>
      </c>
      <c r="D5" t="s">
        <v>305</v>
      </c>
      <c r="E5" t="s">
        <v>65</v>
      </c>
      <c r="F5">
        <v>2400</v>
      </c>
      <c r="G5" t="s">
        <v>66</v>
      </c>
      <c r="H5">
        <v>1</v>
      </c>
    </row>
    <row r="6" spans="1:8" x14ac:dyDescent="0.3">
      <c r="A6" t="s">
        <v>67</v>
      </c>
      <c r="B6">
        <v>2018</v>
      </c>
      <c r="C6" t="s">
        <v>304</v>
      </c>
      <c r="D6" t="s">
        <v>305</v>
      </c>
      <c r="E6" t="s">
        <v>65</v>
      </c>
      <c r="F6">
        <v>2400</v>
      </c>
      <c r="G6" t="s">
        <v>66</v>
      </c>
      <c r="H6">
        <v>1</v>
      </c>
    </row>
    <row r="7" spans="1:8" x14ac:dyDescent="0.3">
      <c r="A7" t="s">
        <v>67</v>
      </c>
      <c r="B7">
        <v>2019</v>
      </c>
      <c r="C7" t="s">
        <v>304</v>
      </c>
      <c r="D7" t="s">
        <v>305</v>
      </c>
      <c r="E7" t="s">
        <v>65</v>
      </c>
      <c r="F7">
        <v>2400</v>
      </c>
      <c r="G7" t="s">
        <v>66</v>
      </c>
      <c r="H7">
        <v>3</v>
      </c>
    </row>
    <row r="8" spans="1:8" x14ac:dyDescent="0.3">
      <c r="A8" t="s">
        <v>68</v>
      </c>
      <c r="B8">
        <v>2018</v>
      </c>
      <c r="C8" t="s">
        <v>304</v>
      </c>
      <c r="D8" t="s">
        <v>305</v>
      </c>
      <c r="E8" t="s">
        <v>65</v>
      </c>
      <c r="F8">
        <v>3262</v>
      </c>
      <c r="G8" t="s">
        <v>66</v>
      </c>
      <c r="H8">
        <v>1</v>
      </c>
    </row>
    <row r="9" spans="1:8" x14ac:dyDescent="0.3">
      <c r="A9" t="s">
        <v>152</v>
      </c>
      <c r="B9">
        <v>2017</v>
      </c>
      <c r="C9" t="s">
        <v>304</v>
      </c>
      <c r="D9" t="s">
        <v>305</v>
      </c>
      <c r="E9" t="s">
        <v>65</v>
      </c>
      <c r="F9">
        <v>6750</v>
      </c>
      <c r="G9" t="s">
        <v>66</v>
      </c>
      <c r="H9">
        <v>1</v>
      </c>
    </row>
    <row r="10" spans="1:8" x14ac:dyDescent="0.3">
      <c r="A10" t="s">
        <v>152</v>
      </c>
      <c r="B10">
        <v>2019</v>
      </c>
      <c r="C10" t="s">
        <v>304</v>
      </c>
      <c r="D10" t="s">
        <v>305</v>
      </c>
      <c r="E10" t="s">
        <v>65</v>
      </c>
      <c r="F10">
        <v>6750</v>
      </c>
      <c r="G10" t="s">
        <v>66</v>
      </c>
      <c r="H10">
        <v>1</v>
      </c>
    </row>
    <row r="11" spans="1:8" x14ac:dyDescent="0.3">
      <c r="A11" t="s">
        <v>69</v>
      </c>
      <c r="B11">
        <v>2014</v>
      </c>
      <c r="C11" t="s">
        <v>304</v>
      </c>
      <c r="D11" t="s">
        <v>305</v>
      </c>
      <c r="E11" t="s">
        <v>65</v>
      </c>
      <c r="F11">
        <v>10700</v>
      </c>
      <c r="G11" t="s">
        <v>66</v>
      </c>
      <c r="H11">
        <v>1</v>
      </c>
    </row>
    <row r="12" spans="1:8" x14ac:dyDescent="0.3">
      <c r="A12" t="s">
        <v>155</v>
      </c>
      <c r="B12">
        <v>2019</v>
      </c>
      <c r="C12" t="s">
        <v>304</v>
      </c>
      <c r="D12" t="s">
        <v>305</v>
      </c>
      <c r="E12" t="s">
        <v>65</v>
      </c>
      <c r="F12">
        <v>11750</v>
      </c>
      <c r="G12" t="s">
        <v>66</v>
      </c>
      <c r="H12">
        <v>2</v>
      </c>
    </row>
    <row r="13" spans="1:8" x14ac:dyDescent="0.3">
      <c r="A13" t="s">
        <v>70</v>
      </c>
      <c r="B13">
        <v>2020</v>
      </c>
      <c r="C13" t="s">
        <v>304</v>
      </c>
      <c r="D13" t="s">
        <v>305</v>
      </c>
      <c r="E13" t="s">
        <v>65</v>
      </c>
      <c r="F13">
        <v>6850</v>
      </c>
      <c r="G13" t="s">
        <v>66</v>
      </c>
      <c r="H13">
        <v>1</v>
      </c>
    </row>
    <row r="14" spans="1:8" x14ac:dyDescent="0.3">
      <c r="A14" t="s">
        <v>159</v>
      </c>
      <c r="B14">
        <v>2015</v>
      </c>
      <c r="C14" t="s">
        <v>304</v>
      </c>
      <c r="D14" t="s">
        <v>305</v>
      </c>
      <c r="E14" t="s">
        <v>65</v>
      </c>
      <c r="F14">
        <v>17120</v>
      </c>
      <c r="G14" t="s">
        <v>72</v>
      </c>
      <c r="H14">
        <v>1</v>
      </c>
    </row>
    <row r="15" spans="1:8" x14ac:dyDescent="0.3">
      <c r="A15" t="s">
        <v>160</v>
      </c>
      <c r="B15">
        <v>2014</v>
      </c>
      <c r="C15" t="s">
        <v>304</v>
      </c>
      <c r="D15" t="s">
        <v>305</v>
      </c>
      <c r="E15" t="s">
        <v>65</v>
      </c>
      <c r="F15">
        <v>16500</v>
      </c>
      <c r="G15" t="s">
        <v>72</v>
      </c>
      <c r="H15">
        <v>2</v>
      </c>
    </row>
    <row r="16" spans="1:8" x14ac:dyDescent="0.3">
      <c r="A16" t="s">
        <v>160</v>
      </c>
      <c r="B16">
        <v>2015</v>
      </c>
      <c r="C16" t="s">
        <v>304</v>
      </c>
      <c r="D16" t="s">
        <v>305</v>
      </c>
      <c r="E16" t="s">
        <v>65</v>
      </c>
      <c r="F16">
        <v>16500</v>
      </c>
      <c r="G16" t="s">
        <v>72</v>
      </c>
      <c r="H16">
        <v>1</v>
      </c>
    </row>
    <row r="17" spans="1:8" x14ac:dyDescent="0.3">
      <c r="A17" t="s">
        <v>160</v>
      </c>
      <c r="B17">
        <v>2016</v>
      </c>
      <c r="C17" t="s">
        <v>304</v>
      </c>
      <c r="D17" t="s">
        <v>305</v>
      </c>
      <c r="E17" t="s">
        <v>65</v>
      </c>
      <c r="F17">
        <v>16500</v>
      </c>
      <c r="G17" t="s">
        <v>72</v>
      </c>
      <c r="H17">
        <v>1</v>
      </c>
    </row>
    <row r="18" spans="1:8" x14ac:dyDescent="0.3">
      <c r="A18" t="s">
        <v>160</v>
      </c>
      <c r="B18">
        <v>2017</v>
      </c>
      <c r="C18" t="s">
        <v>304</v>
      </c>
      <c r="D18" t="s">
        <v>305</v>
      </c>
      <c r="E18" t="s">
        <v>65</v>
      </c>
      <c r="F18">
        <v>16500</v>
      </c>
      <c r="G18" t="s">
        <v>72</v>
      </c>
      <c r="H18">
        <v>5</v>
      </c>
    </row>
    <row r="19" spans="1:8" x14ac:dyDescent="0.3">
      <c r="A19" t="s">
        <v>160</v>
      </c>
      <c r="B19">
        <v>2018</v>
      </c>
      <c r="C19" t="s">
        <v>304</v>
      </c>
      <c r="D19" t="s">
        <v>305</v>
      </c>
      <c r="E19" t="s">
        <v>65</v>
      </c>
      <c r="F19">
        <v>16500</v>
      </c>
      <c r="G19" t="s">
        <v>72</v>
      </c>
      <c r="H19">
        <v>1</v>
      </c>
    </row>
    <row r="20" spans="1:8" x14ac:dyDescent="0.3">
      <c r="A20" t="s">
        <v>160</v>
      </c>
      <c r="B20">
        <v>2019</v>
      </c>
      <c r="C20" t="s">
        <v>304</v>
      </c>
      <c r="D20" t="s">
        <v>305</v>
      </c>
      <c r="E20" t="s">
        <v>65</v>
      </c>
      <c r="F20">
        <v>16500</v>
      </c>
      <c r="G20" t="s">
        <v>72</v>
      </c>
      <c r="H20">
        <v>2</v>
      </c>
    </row>
    <row r="21" spans="1:8" x14ac:dyDescent="0.3">
      <c r="A21" t="s">
        <v>160</v>
      </c>
      <c r="B21">
        <v>2021</v>
      </c>
      <c r="C21" t="s">
        <v>304</v>
      </c>
      <c r="D21" t="s">
        <v>305</v>
      </c>
      <c r="E21" t="s">
        <v>65</v>
      </c>
      <c r="F21">
        <v>16500</v>
      </c>
      <c r="G21" t="s">
        <v>72</v>
      </c>
      <c r="H21">
        <v>2</v>
      </c>
    </row>
    <row r="22" spans="1:8" x14ac:dyDescent="0.3">
      <c r="A22" t="s">
        <v>174</v>
      </c>
      <c r="B22">
        <v>2018</v>
      </c>
      <c r="C22" t="s">
        <v>304</v>
      </c>
      <c r="D22" t="s">
        <v>305</v>
      </c>
      <c r="E22" t="s">
        <v>65</v>
      </c>
      <c r="F22">
        <v>11800</v>
      </c>
      <c r="G22" t="s">
        <v>72</v>
      </c>
      <c r="H22">
        <v>1</v>
      </c>
    </row>
    <row r="23" spans="1:8" x14ac:dyDescent="0.3">
      <c r="A23" t="s">
        <v>71</v>
      </c>
      <c r="B23">
        <v>2014</v>
      </c>
      <c r="C23" t="s">
        <v>304</v>
      </c>
      <c r="D23" t="s">
        <v>305</v>
      </c>
      <c r="E23" t="s">
        <v>65</v>
      </c>
      <c r="F23">
        <v>12500</v>
      </c>
      <c r="G23" t="s">
        <v>72</v>
      </c>
      <c r="H23">
        <v>2</v>
      </c>
    </row>
    <row r="24" spans="1:8" x14ac:dyDescent="0.3">
      <c r="A24" t="s">
        <v>71</v>
      </c>
      <c r="B24">
        <v>2015</v>
      </c>
      <c r="C24" t="s">
        <v>304</v>
      </c>
      <c r="D24" t="s">
        <v>305</v>
      </c>
      <c r="E24" t="s">
        <v>65</v>
      </c>
      <c r="F24">
        <v>12500</v>
      </c>
      <c r="G24" t="s">
        <v>72</v>
      </c>
      <c r="H24">
        <v>4</v>
      </c>
    </row>
    <row r="25" spans="1:8" x14ac:dyDescent="0.3">
      <c r="A25" t="s">
        <v>71</v>
      </c>
      <c r="B25">
        <v>2016</v>
      </c>
      <c r="C25" t="s">
        <v>304</v>
      </c>
      <c r="D25" t="s">
        <v>305</v>
      </c>
      <c r="E25" t="s">
        <v>65</v>
      </c>
      <c r="F25">
        <v>12500</v>
      </c>
      <c r="G25" t="s">
        <v>72</v>
      </c>
      <c r="H25">
        <v>1</v>
      </c>
    </row>
    <row r="26" spans="1:8" x14ac:dyDescent="0.3">
      <c r="A26" t="s">
        <v>71</v>
      </c>
      <c r="B26">
        <v>2017</v>
      </c>
      <c r="C26" t="s">
        <v>304</v>
      </c>
      <c r="D26" t="s">
        <v>305</v>
      </c>
      <c r="E26" t="s">
        <v>65</v>
      </c>
      <c r="F26">
        <v>12500</v>
      </c>
      <c r="G26" t="s">
        <v>72</v>
      </c>
      <c r="H26">
        <v>4</v>
      </c>
    </row>
    <row r="27" spans="1:8" x14ac:dyDescent="0.3">
      <c r="A27" t="s">
        <v>71</v>
      </c>
      <c r="B27">
        <v>2018</v>
      </c>
      <c r="C27" t="s">
        <v>304</v>
      </c>
      <c r="D27" t="s">
        <v>305</v>
      </c>
      <c r="E27" t="s">
        <v>65</v>
      </c>
      <c r="F27">
        <v>12500</v>
      </c>
      <c r="G27" t="s">
        <v>72</v>
      </c>
      <c r="H27">
        <v>2</v>
      </c>
    </row>
    <row r="28" spans="1:8" x14ac:dyDescent="0.3">
      <c r="A28" t="s">
        <v>71</v>
      </c>
      <c r="B28">
        <v>2019</v>
      </c>
      <c r="C28" t="s">
        <v>304</v>
      </c>
      <c r="D28" t="s">
        <v>305</v>
      </c>
      <c r="E28" t="s">
        <v>65</v>
      </c>
      <c r="F28">
        <v>12500</v>
      </c>
      <c r="G28" t="s">
        <v>72</v>
      </c>
      <c r="H28">
        <v>3</v>
      </c>
    </row>
    <row r="29" spans="1:8" x14ac:dyDescent="0.3">
      <c r="A29" t="s">
        <v>71</v>
      </c>
      <c r="B29">
        <v>2020</v>
      </c>
      <c r="C29" t="s">
        <v>304</v>
      </c>
      <c r="D29" t="s">
        <v>305</v>
      </c>
      <c r="E29" t="s">
        <v>65</v>
      </c>
      <c r="F29">
        <v>12500</v>
      </c>
      <c r="G29" t="s">
        <v>72</v>
      </c>
      <c r="H29">
        <v>1</v>
      </c>
    </row>
    <row r="30" spans="1:8" x14ac:dyDescent="0.3">
      <c r="A30" t="s">
        <v>71</v>
      </c>
      <c r="B30">
        <v>2021</v>
      </c>
      <c r="C30" t="s">
        <v>304</v>
      </c>
      <c r="D30" t="s">
        <v>305</v>
      </c>
      <c r="E30" t="s">
        <v>65</v>
      </c>
      <c r="F30">
        <v>12500</v>
      </c>
      <c r="G30" t="s">
        <v>72</v>
      </c>
      <c r="H30">
        <v>1</v>
      </c>
    </row>
    <row r="31" spans="1:8" x14ac:dyDescent="0.3">
      <c r="A31" t="s">
        <v>176</v>
      </c>
      <c r="B31">
        <v>2020</v>
      </c>
      <c r="C31" t="s">
        <v>304</v>
      </c>
      <c r="D31" t="s">
        <v>305</v>
      </c>
      <c r="E31" t="s">
        <v>65</v>
      </c>
      <c r="F31">
        <v>2250</v>
      </c>
      <c r="G31" t="s">
        <v>66</v>
      </c>
      <c r="H31">
        <v>1</v>
      </c>
    </row>
    <row r="32" spans="1:8" x14ac:dyDescent="0.3">
      <c r="A32" t="s">
        <v>176</v>
      </c>
      <c r="B32">
        <v>2021</v>
      </c>
      <c r="C32" t="s">
        <v>304</v>
      </c>
      <c r="D32" t="s">
        <v>305</v>
      </c>
      <c r="E32" t="s">
        <v>65</v>
      </c>
      <c r="F32">
        <v>2250</v>
      </c>
      <c r="G32" t="s">
        <v>66</v>
      </c>
      <c r="H32">
        <v>1</v>
      </c>
    </row>
    <row r="33" spans="1:8" x14ac:dyDescent="0.3">
      <c r="A33" t="s">
        <v>178</v>
      </c>
      <c r="B33">
        <v>2015</v>
      </c>
      <c r="C33" t="s">
        <v>304</v>
      </c>
      <c r="D33" t="s">
        <v>305</v>
      </c>
      <c r="E33" t="s">
        <v>65</v>
      </c>
      <c r="F33">
        <v>14000</v>
      </c>
      <c r="G33" t="s">
        <v>72</v>
      </c>
      <c r="H33">
        <v>1</v>
      </c>
    </row>
    <row r="34" spans="1:8" x14ac:dyDescent="0.3">
      <c r="A34" t="s">
        <v>178</v>
      </c>
      <c r="B34">
        <v>2016</v>
      </c>
      <c r="C34" t="s">
        <v>304</v>
      </c>
      <c r="D34" t="s">
        <v>305</v>
      </c>
      <c r="E34" t="s">
        <v>65</v>
      </c>
      <c r="F34">
        <v>14000</v>
      </c>
      <c r="G34" t="s">
        <v>72</v>
      </c>
      <c r="H34">
        <v>1</v>
      </c>
    </row>
    <row r="35" spans="1:8" x14ac:dyDescent="0.3">
      <c r="A35" t="s">
        <v>178</v>
      </c>
      <c r="B35">
        <v>2019</v>
      </c>
      <c r="C35" t="s">
        <v>304</v>
      </c>
      <c r="D35" t="s">
        <v>305</v>
      </c>
      <c r="E35" t="s">
        <v>65</v>
      </c>
      <c r="F35">
        <v>14000</v>
      </c>
      <c r="G35" t="s">
        <v>72</v>
      </c>
      <c r="H35">
        <v>1</v>
      </c>
    </row>
    <row r="36" spans="1:8" x14ac:dyDescent="0.3">
      <c r="A36" t="s">
        <v>73</v>
      </c>
      <c r="B36">
        <v>2014</v>
      </c>
      <c r="C36" t="s">
        <v>304</v>
      </c>
      <c r="D36" t="s">
        <v>305</v>
      </c>
      <c r="E36" t="s">
        <v>65</v>
      </c>
      <c r="F36">
        <v>3500</v>
      </c>
      <c r="G36" t="s">
        <v>66</v>
      </c>
      <c r="H36">
        <v>1</v>
      </c>
    </row>
    <row r="37" spans="1:8" x14ac:dyDescent="0.3">
      <c r="A37" t="s">
        <v>73</v>
      </c>
      <c r="B37">
        <v>2015</v>
      </c>
      <c r="C37" t="s">
        <v>304</v>
      </c>
      <c r="D37" t="s">
        <v>305</v>
      </c>
      <c r="E37" t="s">
        <v>65</v>
      </c>
      <c r="F37">
        <v>3500</v>
      </c>
      <c r="G37" t="s">
        <v>66</v>
      </c>
      <c r="H37">
        <v>3</v>
      </c>
    </row>
    <row r="38" spans="1:8" x14ac:dyDescent="0.3">
      <c r="A38" t="s">
        <v>73</v>
      </c>
      <c r="B38">
        <v>2016</v>
      </c>
      <c r="C38" t="s">
        <v>304</v>
      </c>
      <c r="D38" t="s">
        <v>305</v>
      </c>
      <c r="E38" t="s">
        <v>65</v>
      </c>
      <c r="F38">
        <v>3500</v>
      </c>
      <c r="G38" t="s">
        <v>66</v>
      </c>
      <c r="H38">
        <v>1</v>
      </c>
    </row>
    <row r="39" spans="1:8" x14ac:dyDescent="0.3">
      <c r="A39" t="s">
        <v>73</v>
      </c>
      <c r="B39">
        <v>2017</v>
      </c>
      <c r="C39" t="s">
        <v>304</v>
      </c>
      <c r="D39" t="s">
        <v>305</v>
      </c>
      <c r="E39" t="s">
        <v>65</v>
      </c>
      <c r="F39">
        <v>3500</v>
      </c>
      <c r="G39" t="s">
        <v>66</v>
      </c>
      <c r="H39">
        <v>2</v>
      </c>
    </row>
    <row r="40" spans="1:8" x14ac:dyDescent="0.3">
      <c r="A40" t="s">
        <v>73</v>
      </c>
      <c r="B40">
        <v>2018</v>
      </c>
      <c r="C40" t="s">
        <v>304</v>
      </c>
      <c r="D40" t="s">
        <v>305</v>
      </c>
      <c r="E40" t="s">
        <v>65</v>
      </c>
      <c r="F40">
        <v>3500</v>
      </c>
      <c r="G40" t="s">
        <v>66</v>
      </c>
      <c r="H40">
        <v>1</v>
      </c>
    </row>
    <row r="41" spans="1:8" x14ac:dyDescent="0.3">
      <c r="A41" t="s">
        <v>73</v>
      </c>
      <c r="B41">
        <v>2019</v>
      </c>
      <c r="C41" t="s">
        <v>304</v>
      </c>
      <c r="D41" t="s">
        <v>305</v>
      </c>
      <c r="E41" t="s">
        <v>65</v>
      </c>
      <c r="F41">
        <v>3500</v>
      </c>
      <c r="G41" t="s">
        <v>66</v>
      </c>
      <c r="H41">
        <v>1</v>
      </c>
    </row>
    <row r="42" spans="1:8" x14ac:dyDescent="0.3">
      <c r="A42" t="s">
        <v>73</v>
      </c>
      <c r="B42">
        <v>2020</v>
      </c>
      <c r="C42" t="s">
        <v>304</v>
      </c>
      <c r="D42" t="s">
        <v>305</v>
      </c>
      <c r="E42" t="s">
        <v>65</v>
      </c>
      <c r="F42">
        <v>3500</v>
      </c>
      <c r="G42" t="s">
        <v>66</v>
      </c>
      <c r="H42">
        <v>2</v>
      </c>
    </row>
    <row r="43" spans="1:8" x14ac:dyDescent="0.3">
      <c r="A43" t="s">
        <v>73</v>
      </c>
      <c r="B43">
        <v>2021</v>
      </c>
      <c r="C43" t="s">
        <v>304</v>
      </c>
      <c r="D43" t="s">
        <v>305</v>
      </c>
      <c r="E43" t="s">
        <v>65</v>
      </c>
      <c r="F43">
        <v>3500</v>
      </c>
      <c r="G43" t="s">
        <v>66</v>
      </c>
      <c r="H43">
        <v>1</v>
      </c>
    </row>
    <row r="44" spans="1:8" x14ac:dyDescent="0.3">
      <c r="A44" t="s">
        <v>74</v>
      </c>
      <c r="B44">
        <v>2014</v>
      </c>
      <c r="C44" t="s">
        <v>304</v>
      </c>
      <c r="D44" t="s">
        <v>305</v>
      </c>
      <c r="E44" t="s">
        <v>65</v>
      </c>
      <c r="F44">
        <v>3400</v>
      </c>
      <c r="G44" t="s">
        <v>66</v>
      </c>
      <c r="H44">
        <v>6</v>
      </c>
    </row>
    <row r="45" spans="1:8" x14ac:dyDescent="0.3">
      <c r="A45" t="s">
        <v>74</v>
      </c>
      <c r="B45">
        <v>2015</v>
      </c>
      <c r="C45" t="s">
        <v>304</v>
      </c>
      <c r="D45" t="s">
        <v>305</v>
      </c>
      <c r="E45" t="s">
        <v>65</v>
      </c>
      <c r="F45">
        <v>3400</v>
      </c>
      <c r="G45" t="s">
        <v>66</v>
      </c>
      <c r="H45">
        <v>3</v>
      </c>
    </row>
    <row r="46" spans="1:8" x14ac:dyDescent="0.3">
      <c r="A46" t="s">
        <v>74</v>
      </c>
      <c r="B46">
        <v>2016</v>
      </c>
      <c r="C46" t="s">
        <v>304</v>
      </c>
      <c r="D46" t="s">
        <v>305</v>
      </c>
      <c r="E46" t="s">
        <v>65</v>
      </c>
      <c r="F46">
        <v>3400</v>
      </c>
      <c r="G46" t="s">
        <v>66</v>
      </c>
      <c r="H46">
        <v>2</v>
      </c>
    </row>
    <row r="47" spans="1:8" x14ac:dyDescent="0.3">
      <c r="A47" t="s">
        <v>74</v>
      </c>
      <c r="B47">
        <v>2017</v>
      </c>
      <c r="C47" t="s">
        <v>304</v>
      </c>
      <c r="D47" t="s">
        <v>305</v>
      </c>
      <c r="E47" t="s">
        <v>65</v>
      </c>
      <c r="F47">
        <v>3400</v>
      </c>
      <c r="G47" t="s">
        <v>66</v>
      </c>
      <c r="H47">
        <v>5</v>
      </c>
    </row>
    <row r="48" spans="1:8" x14ac:dyDescent="0.3">
      <c r="A48" t="s">
        <v>74</v>
      </c>
      <c r="B48">
        <v>2018</v>
      </c>
      <c r="C48" t="s">
        <v>304</v>
      </c>
      <c r="D48" t="s">
        <v>305</v>
      </c>
      <c r="E48" t="s">
        <v>65</v>
      </c>
      <c r="F48">
        <v>3400</v>
      </c>
      <c r="G48" t="s">
        <v>66</v>
      </c>
      <c r="H48">
        <v>9</v>
      </c>
    </row>
    <row r="49" spans="1:8" x14ac:dyDescent="0.3">
      <c r="A49" t="s">
        <v>74</v>
      </c>
      <c r="B49">
        <v>2019</v>
      </c>
      <c r="C49" t="s">
        <v>304</v>
      </c>
      <c r="D49" t="s">
        <v>305</v>
      </c>
      <c r="E49" t="s">
        <v>65</v>
      </c>
      <c r="F49">
        <v>3400</v>
      </c>
      <c r="G49" t="s">
        <v>66</v>
      </c>
      <c r="H49">
        <v>6</v>
      </c>
    </row>
    <row r="50" spans="1:8" x14ac:dyDescent="0.3">
      <c r="A50" t="s">
        <v>74</v>
      </c>
      <c r="B50">
        <v>2020</v>
      </c>
      <c r="C50" t="s">
        <v>304</v>
      </c>
      <c r="D50" t="s">
        <v>305</v>
      </c>
      <c r="E50" t="s">
        <v>65</v>
      </c>
      <c r="F50">
        <v>3400</v>
      </c>
      <c r="G50" t="s">
        <v>66</v>
      </c>
      <c r="H50">
        <v>2</v>
      </c>
    </row>
    <row r="51" spans="1:8" x14ac:dyDescent="0.3">
      <c r="A51" t="s">
        <v>74</v>
      </c>
      <c r="B51">
        <v>2021</v>
      </c>
      <c r="C51" t="s">
        <v>304</v>
      </c>
      <c r="D51" t="s">
        <v>305</v>
      </c>
      <c r="E51" t="s">
        <v>65</v>
      </c>
      <c r="F51">
        <v>3400</v>
      </c>
      <c r="G51" t="s">
        <v>66</v>
      </c>
      <c r="H51">
        <v>2</v>
      </c>
    </row>
    <row r="52" spans="1:8" x14ac:dyDescent="0.3">
      <c r="A52" t="s">
        <v>75</v>
      </c>
      <c r="B52">
        <v>2014</v>
      </c>
      <c r="C52" t="s">
        <v>304</v>
      </c>
      <c r="D52" t="s">
        <v>305</v>
      </c>
      <c r="E52" t="s">
        <v>65</v>
      </c>
      <c r="F52">
        <v>3650</v>
      </c>
      <c r="G52" t="s">
        <v>66</v>
      </c>
      <c r="H52">
        <v>7</v>
      </c>
    </row>
    <row r="53" spans="1:8" x14ac:dyDescent="0.3">
      <c r="A53" t="s">
        <v>75</v>
      </c>
      <c r="B53">
        <v>2015</v>
      </c>
      <c r="C53" t="s">
        <v>304</v>
      </c>
      <c r="D53" t="s">
        <v>305</v>
      </c>
      <c r="E53" t="s">
        <v>65</v>
      </c>
      <c r="F53">
        <v>3650</v>
      </c>
      <c r="G53" t="s">
        <v>66</v>
      </c>
      <c r="H53">
        <v>8</v>
      </c>
    </row>
    <row r="54" spans="1:8" x14ac:dyDescent="0.3">
      <c r="A54" t="s">
        <v>75</v>
      </c>
      <c r="B54">
        <v>2016</v>
      </c>
      <c r="C54" t="s">
        <v>304</v>
      </c>
      <c r="D54" t="s">
        <v>305</v>
      </c>
      <c r="E54" t="s">
        <v>65</v>
      </c>
      <c r="F54">
        <v>3650</v>
      </c>
      <c r="G54" t="s">
        <v>66</v>
      </c>
      <c r="H54">
        <v>4</v>
      </c>
    </row>
    <row r="55" spans="1:8" x14ac:dyDescent="0.3">
      <c r="A55" t="s">
        <v>75</v>
      </c>
      <c r="B55">
        <v>2017</v>
      </c>
      <c r="C55" t="s">
        <v>304</v>
      </c>
      <c r="D55" t="s">
        <v>305</v>
      </c>
      <c r="E55" t="s">
        <v>65</v>
      </c>
      <c r="F55">
        <v>3650</v>
      </c>
      <c r="G55" t="s">
        <v>66</v>
      </c>
      <c r="H55">
        <v>6</v>
      </c>
    </row>
    <row r="56" spans="1:8" x14ac:dyDescent="0.3">
      <c r="A56" t="s">
        <v>75</v>
      </c>
      <c r="B56">
        <v>2018</v>
      </c>
      <c r="C56" t="s">
        <v>304</v>
      </c>
      <c r="D56" t="s">
        <v>305</v>
      </c>
      <c r="E56" t="s">
        <v>65</v>
      </c>
      <c r="F56">
        <v>3650</v>
      </c>
      <c r="G56" t="s">
        <v>66</v>
      </c>
      <c r="H56">
        <v>5</v>
      </c>
    </row>
    <row r="57" spans="1:8" x14ac:dyDescent="0.3">
      <c r="A57" t="s">
        <v>75</v>
      </c>
      <c r="B57">
        <v>2019</v>
      </c>
      <c r="C57" t="s">
        <v>304</v>
      </c>
      <c r="D57" t="s">
        <v>305</v>
      </c>
      <c r="E57" t="s">
        <v>65</v>
      </c>
      <c r="F57">
        <v>3650</v>
      </c>
      <c r="G57" t="s">
        <v>66</v>
      </c>
      <c r="H57">
        <v>4</v>
      </c>
    </row>
    <row r="58" spans="1:8" x14ac:dyDescent="0.3">
      <c r="A58" t="s">
        <v>75</v>
      </c>
      <c r="B58">
        <v>2020</v>
      </c>
      <c r="C58" t="s">
        <v>304</v>
      </c>
      <c r="D58" t="s">
        <v>305</v>
      </c>
      <c r="E58" t="s">
        <v>65</v>
      </c>
      <c r="F58">
        <v>3650</v>
      </c>
      <c r="G58" t="s">
        <v>66</v>
      </c>
      <c r="H58">
        <v>2</v>
      </c>
    </row>
    <row r="59" spans="1:8" x14ac:dyDescent="0.3">
      <c r="A59" t="s">
        <v>75</v>
      </c>
      <c r="B59">
        <v>2021</v>
      </c>
      <c r="C59" t="s">
        <v>304</v>
      </c>
      <c r="D59" t="s">
        <v>305</v>
      </c>
      <c r="E59" t="s">
        <v>65</v>
      </c>
      <c r="F59">
        <v>3650</v>
      </c>
      <c r="G59" t="s">
        <v>66</v>
      </c>
      <c r="H59">
        <v>1</v>
      </c>
    </row>
    <row r="60" spans="1:8" x14ac:dyDescent="0.3">
      <c r="A60" t="s">
        <v>179</v>
      </c>
      <c r="B60">
        <v>2014</v>
      </c>
      <c r="C60" t="s">
        <v>304</v>
      </c>
      <c r="D60" t="s">
        <v>305</v>
      </c>
      <c r="E60" t="s">
        <v>65</v>
      </c>
      <c r="F60">
        <v>16100</v>
      </c>
      <c r="G60" t="s">
        <v>66</v>
      </c>
      <c r="H60">
        <v>1</v>
      </c>
    </row>
    <row r="61" spans="1:8" x14ac:dyDescent="0.3">
      <c r="A61" t="s">
        <v>179</v>
      </c>
      <c r="B61">
        <v>2015</v>
      </c>
      <c r="C61" t="s">
        <v>304</v>
      </c>
      <c r="D61" t="s">
        <v>305</v>
      </c>
      <c r="E61" t="s">
        <v>65</v>
      </c>
      <c r="F61">
        <v>16100</v>
      </c>
      <c r="G61" t="s">
        <v>66</v>
      </c>
      <c r="H61">
        <v>3</v>
      </c>
    </row>
    <row r="62" spans="1:8" x14ac:dyDescent="0.3">
      <c r="A62" t="s">
        <v>179</v>
      </c>
      <c r="B62">
        <v>2017</v>
      </c>
      <c r="C62" t="s">
        <v>304</v>
      </c>
      <c r="D62" t="s">
        <v>305</v>
      </c>
      <c r="E62" t="s">
        <v>65</v>
      </c>
      <c r="F62">
        <v>16100</v>
      </c>
      <c r="G62" t="s">
        <v>66</v>
      </c>
      <c r="H62">
        <v>4</v>
      </c>
    </row>
    <row r="63" spans="1:8" x14ac:dyDescent="0.3">
      <c r="A63" t="s">
        <v>179</v>
      </c>
      <c r="B63">
        <v>2018</v>
      </c>
      <c r="C63" t="s">
        <v>304</v>
      </c>
      <c r="D63" t="s">
        <v>305</v>
      </c>
      <c r="E63" t="s">
        <v>65</v>
      </c>
      <c r="F63">
        <v>16100</v>
      </c>
      <c r="G63" t="s">
        <v>66</v>
      </c>
      <c r="H63">
        <v>2</v>
      </c>
    </row>
    <row r="64" spans="1:8" x14ac:dyDescent="0.3">
      <c r="A64" t="s">
        <v>179</v>
      </c>
      <c r="B64">
        <v>2019</v>
      </c>
      <c r="C64" t="s">
        <v>304</v>
      </c>
      <c r="D64" t="s">
        <v>305</v>
      </c>
      <c r="E64" t="s">
        <v>65</v>
      </c>
      <c r="F64">
        <v>16100</v>
      </c>
      <c r="G64" t="s">
        <v>66</v>
      </c>
      <c r="H64">
        <v>1</v>
      </c>
    </row>
    <row r="65" spans="1:8" x14ac:dyDescent="0.3">
      <c r="A65" t="s">
        <v>179</v>
      </c>
      <c r="B65">
        <v>2020</v>
      </c>
      <c r="C65" t="s">
        <v>304</v>
      </c>
      <c r="D65" t="s">
        <v>305</v>
      </c>
      <c r="E65" t="s">
        <v>65</v>
      </c>
      <c r="F65">
        <v>16100</v>
      </c>
      <c r="G65" t="s">
        <v>66</v>
      </c>
      <c r="H65">
        <v>1</v>
      </c>
    </row>
    <row r="66" spans="1:8" x14ac:dyDescent="0.3">
      <c r="A66" t="s">
        <v>179</v>
      </c>
      <c r="B66">
        <v>2021</v>
      </c>
      <c r="C66" t="s">
        <v>304</v>
      </c>
      <c r="D66" t="s">
        <v>305</v>
      </c>
      <c r="E66" t="s">
        <v>65</v>
      </c>
      <c r="F66">
        <v>16100</v>
      </c>
      <c r="G66" t="s">
        <v>66</v>
      </c>
      <c r="H66">
        <v>1</v>
      </c>
    </row>
    <row r="67" spans="1:8" x14ac:dyDescent="0.3">
      <c r="A67" t="s">
        <v>76</v>
      </c>
      <c r="B67">
        <v>2014</v>
      </c>
      <c r="C67" t="s">
        <v>304</v>
      </c>
      <c r="D67" t="s">
        <v>305</v>
      </c>
      <c r="E67" t="s">
        <v>65</v>
      </c>
      <c r="F67">
        <v>5300</v>
      </c>
      <c r="G67" t="s">
        <v>66</v>
      </c>
      <c r="H67">
        <v>2</v>
      </c>
    </row>
    <row r="68" spans="1:8" x14ac:dyDescent="0.3">
      <c r="A68" t="s">
        <v>76</v>
      </c>
      <c r="B68">
        <v>2015</v>
      </c>
      <c r="C68" t="s">
        <v>304</v>
      </c>
      <c r="D68" t="s">
        <v>305</v>
      </c>
      <c r="E68" t="s">
        <v>65</v>
      </c>
      <c r="F68">
        <v>5300</v>
      </c>
      <c r="G68" t="s">
        <v>66</v>
      </c>
      <c r="H68">
        <v>2</v>
      </c>
    </row>
    <row r="69" spans="1:8" x14ac:dyDescent="0.3">
      <c r="A69" t="s">
        <v>76</v>
      </c>
      <c r="B69">
        <v>2016</v>
      </c>
      <c r="C69" t="s">
        <v>304</v>
      </c>
      <c r="D69" t="s">
        <v>305</v>
      </c>
      <c r="E69" t="s">
        <v>65</v>
      </c>
      <c r="F69">
        <v>5300</v>
      </c>
      <c r="G69" t="s">
        <v>66</v>
      </c>
      <c r="H69">
        <v>5</v>
      </c>
    </row>
    <row r="70" spans="1:8" x14ac:dyDescent="0.3">
      <c r="A70" t="s">
        <v>76</v>
      </c>
      <c r="B70">
        <v>2017</v>
      </c>
      <c r="C70" t="s">
        <v>304</v>
      </c>
      <c r="D70" t="s">
        <v>305</v>
      </c>
      <c r="E70" t="s">
        <v>65</v>
      </c>
      <c r="F70">
        <v>5300</v>
      </c>
      <c r="G70" t="s">
        <v>66</v>
      </c>
      <c r="H70">
        <v>2</v>
      </c>
    </row>
    <row r="71" spans="1:8" x14ac:dyDescent="0.3">
      <c r="A71" t="s">
        <v>76</v>
      </c>
      <c r="B71">
        <v>2018</v>
      </c>
      <c r="C71" t="s">
        <v>304</v>
      </c>
      <c r="D71" t="s">
        <v>305</v>
      </c>
      <c r="E71" t="s">
        <v>65</v>
      </c>
      <c r="F71">
        <v>5300</v>
      </c>
      <c r="G71" t="s">
        <v>66</v>
      </c>
      <c r="H71">
        <v>1</v>
      </c>
    </row>
    <row r="72" spans="1:8" x14ac:dyDescent="0.3">
      <c r="A72" t="s">
        <v>76</v>
      </c>
      <c r="B72">
        <v>2019</v>
      </c>
      <c r="C72" t="s">
        <v>304</v>
      </c>
      <c r="D72" t="s">
        <v>305</v>
      </c>
      <c r="E72" t="s">
        <v>65</v>
      </c>
      <c r="F72">
        <v>5300</v>
      </c>
      <c r="G72" t="s">
        <v>66</v>
      </c>
      <c r="H72">
        <v>3</v>
      </c>
    </row>
    <row r="73" spans="1:8" x14ac:dyDescent="0.3">
      <c r="A73" t="s">
        <v>76</v>
      </c>
      <c r="B73">
        <v>2020</v>
      </c>
      <c r="C73" t="s">
        <v>304</v>
      </c>
      <c r="D73" t="s">
        <v>305</v>
      </c>
      <c r="E73" t="s">
        <v>65</v>
      </c>
      <c r="F73">
        <v>5300</v>
      </c>
      <c r="G73" t="s">
        <v>66</v>
      </c>
      <c r="H73">
        <v>2</v>
      </c>
    </row>
    <row r="74" spans="1:8" x14ac:dyDescent="0.3">
      <c r="A74" t="s">
        <v>77</v>
      </c>
      <c r="B74">
        <v>2014</v>
      </c>
      <c r="C74" t="s">
        <v>304</v>
      </c>
      <c r="D74" t="s">
        <v>305</v>
      </c>
      <c r="E74" t="s">
        <v>65</v>
      </c>
      <c r="F74">
        <v>5500</v>
      </c>
      <c r="G74" t="s">
        <v>66</v>
      </c>
      <c r="H74">
        <v>1</v>
      </c>
    </row>
    <row r="75" spans="1:8" x14ac:dyDescent="0.3">
      <c r="A75" t="s">
        <v>77</v>
      </c>
      <c r="B75">
        <v>2016</v>
      </c>
      <c r="C75" t="s">
        <v>304</v>
      </c>
      <c r="D75" t="s">
        <v>305</v>
      </c>
      <c r="E75" t="s">
        <v>65</v>
      </c>
      <c r="F75">
        <v>5500</v>
      </c>
      <c r="G75" t="s">
        <v>66</v>
      </c>
      <c r="H75">
        <v>1</v>
      </c>
    </row>
    <row r="76" spans="1:8" x14ac:dyDescent="0.3">
      <c r="A76" t="s">
        <v>77</v>
      </c>
      <c r="B76">
        <v>2017</v>
      </c>
      <c r="C76" t="s">
        <v>304</v>
      </c>
      <c r="D76" t="s">
        <v>305</v>
      </c>
      <c r="E76" t="s">
        <v>65</v>
      </c>
      <c r="F76">
        <v>5500</v>
      </c>
      <c r="G76" t="s">
        <v>66</v>
      </c>
      <c r="H76">
        <v>4</v>
      </c>
    </row>
    <row r="77" spans="1:8" x14ac:dyDescent="0.3">
      <c r="A77" t="s">
        <v>77</v>
      </c>
      <c r="B77">
        <v>2018</v>
      </c>
      <c r="C77" t="s">
        <v>304</v>
      </c>
      <c r="D77" t="s">
        <v>305</v>
      </c>
      <c r="E77" t="s">
        <v>65</v>
      </c>
      <c r="F77">
        <v>5500</v>
      </c>
      <c r="G77" t="s">
        <v>66</v>
      </c>
      <c r="H77">
        <v>2</v>
      </c>
    </row>
    <row r="78" spans="1:8" x14ac:dyDescent="0.3">
      <c r="A78" t="s">
        <v>77</v>
      </c>
      <c r="B78">
        <v>2019</v>
      </c>
      <c r="C78" t="s">
        <v>304</v>
      </c>
      <c r="D78" t="s">
        <v>305</v>
      </c>
      <c r="E78" t="s">
        <v>65</v>
      </c>
      <c r="F78">
        <v>5500</v>
      </c>
      <c r="G78" t="s">
        <v>66</v>
      </c>
      <c r="H78">
        <v>1</v>
      </c>
    </row>
    <row r="79" spans="1:8" x14ac:dyDescent="0.3">
      <c r="A79" t="s">
        <v>77</v>
      </c>
      <c r="B79">
        <v>2020</v>
      </c>
      <c r="C79" t="s">
        <v>304</v>
      </c>
      <c r="D79" t="s">
        <v>305</v>
      </c>
      <c r="E79" t="s">
        <v>65</v>
      </c>
      <c r="F79">
        <v>5500</v>
      </c>
      <c r="G79" t="s">
        <v>66</v>
      </c>
      <c r="H79">
        <v>2</v>
      </c>
    </row>
    <row r="80" spans="1:8" x14ac:dyDescent="0.3">
      <c r="A80" t="s">
        <v>80</v>
      </c>
      <c r="B80">
        <v>2014</v>
      </c>
      <c r="C80" t="s">
        <v>304</v>
      </c>
      <c r="D80" t="s">
        <v>305</v>
      </c>
      <c r="E80" t="s">
        <v>65</v>
      </c>
      <c r="F80">
        <v>10097</v>
      </c>
      <c r="G80" t="s">
        <v>72</v>
      </c>
      <c r="H80">
        <v>2</v>
      </c>
    </row>
    <row r="81" spans="1:8" x14ac:dyDescent="0.3">
      <c r="A81" t="s">
        <v>80</v>
      </c>
      <c r="B81">
        <v>2015</v>
      </c>
      <c r="C81" t="s">
        <v>304</v>
      </c>
      <c r="D81" t="s">
        <v>305</v>
      </c>
      <c r="E81" t="s">
        <v>65</v>
      </c>
      <c r="F81">
        <v>10097</v>
      </c>
      <c r="G81" t="s">
        <v>72</v>
      </c>
      <c r="H81">
        <v>1</v>
      </c>
    </row>
    <row r="82" spans="1:8" x14ac:dyDescent="0.3">
      <c r="A82" t="s">
        <v>80</v>
      </c>
      <c r="B82">
        <v>2016</v>
      </c>
      <c r="C82" t="s">
        <v>304</v>
      </c>
      <c r="D82" t="s">
        <v>305</v>
      </c>
      <c r="E82" t="s">
        <v>65</v>
      </c>
      <c r="F82">
        <v>10097</v>
      </c>
      <c r="G82" t="s">
        <v>72</v>
      </c>
      <c r="H82">
        <v>4</v>
      </c>
    </row>
    <row r="83" spans="1:8" x14ac:dyDescent="0.3">
      <c r="A83" t="s">
        <v>80</v>
      </c>
      <c r="B83">
        <v>2017</v>
      </c>
      <c r="C83" t="s">
        <v>304</v>
      </c>
      <c r="D83" t="s">
        <v>305</v>
      </c>
      <c r="E83" t="s">
        <v>65</v>
      </c>
      <c r="F83">
        <v>10097</v>
      </c>
      <c r="G83" t="s">
        <v>72</v>
      </c>
      <c r="H83">
        <v>2</v>
      </c>
    </row>
    <row r="84" spans="1:8" x14ac:dyDescent="0.3">
      <c r="A84" t="s">
        <v>80</v>
      </c>
      <c r="B84">
        <v>2018</v>
      </c>
      <c r="C84" t="s">
        <v>304</v>
      </c>
      <c r="D84" t="s">
        <v>305</v>
      </c>
      <c r="E84" t="s">
        <v>65</v>
      </c>
      <c r="F84">
        <v>10097</v>
      </c>
      <c r="G84" t="s">
        <v>72</v>
      </c>
      <c r="H84">
        <v>2</v>
      </c>
    </row>
    <row r="85" spans="1:8" x14ac:dyDescent="0.3">
      <c r="A85" t="s">
        <v>80</v>
      </c>
      <c r="B85">
        <v>2019</v>
      </c>
      <c r="C85" t="s">
        <v>304</v>
      </c>
      <c r="D85" t="s">
        <v>305</v>
      </c>
      <c r="E85" t="s">
        <v>65</v>
      </c>
      <c r="F85">
        <v>10097</v>
      </c>
      <c r="G85" t="s">
        <v>72</v>
      </c>
      <c r="H85">
        <v>8</v>
      </c>
    </row>
    <row r="86" spans="1:8" x14ac:dyDescent="0.3">
      <c r="A86" t="s">
        <v>80</v>
      </c>
      <c r="B86">
        <v>2020</v>
      </c>
      <c r="C86" t="s">
        <v>304</v>
      </c>
      <c r="D86" t="s">
        <v>305</v>
      </c>
      <c r="E86" t="s">
        <v>65</v>
      </c>
      <c r="F86">
        <v>10097</v>
      </c>
      <c r="G86" t="s">
        <v>72</v>
      </c>
      <c r="H86">
        <v>1</v>
      </c>
    </row>
    <row r="87" spans="1:8" x14ac:dyDescent="0.3">
      <c r="A87" t="s">
        <v>80</v>
      </c>
      <c r="B87">
        <v>2021</v>
      </c>
      <c r="C87" t="s">
        <v>304</v>
      </c>
      <c r="D87" t="s">
        <v>305</v>
      </c>
      <c r="E87" t="s">
        <v>65</v>
      </c>
      <c r="F87">
        <v>10097</v>
      </c>
      <c r="G87" t="s">
        <v>72</v>
      </c>
      <c r="H87">
        <v>1</v>
      </c>
    </row>
    <row r="88" spans="1:8" x14ac:dyDescent="0.3">
      <c r="A88" t="s">
        <v>81</v>
      </c>
      <c r="B88">
        <v>2017</v>
      </c>
      <c r="C88" t="s">
        <v>304</v>
      </c>
      <c r="D88" t="s">
        <v>305</v>
      </c>
      <c r="E88" t="s">
        <v>65</v>
      </c>
      <c r="F88">
        <v>3325</v>
      </c>
      <c r="G88" t="s">
        <v>66</v>
      </c>
      <c r="H88">
        <v>2</v>
      </c>
    </row>
    <row r="89" spans="1:8" x14ac:dyDescent="0.3">
      <c r="A89" t="s">
        <v>184</v>
      </c>
      <c r="B89">
        <v>2015</v>
      </c>
      <c r="C89" t="s">
        <v>304</v>
      </c>
      <c r="D89" t="s">
        <v>305</v>
      </c>
      <c r="E89" t="s">
        <v>65</v>
      </c>
      <c r="F89">
        <v>1450</v>
      </c>
      <c r="G89" t="s">
        <v>66</v>
      </c>
      <c r="H89">
        <v>1</v>
      </c>
    </row>
    <row r="90" spans="1:8" x14ac:dyDescent="0.3">
      <c r="A90" t="s">
        <v>184</v>
      </c>
      <c r="B90">
        <v>2017</v>
      </c>
      <c r="C90" t="s">
        <v>304</v>
      </c>
      <c r="D90" t="s">
        <v>305</v>
      </c>
      <c r="E90" t="s">
        <v>65</v>
      </c>
      <c r="F90">
        <v>1450</v>
      </c>
      <c r="G90" t="s">
        <v>66</v>
      </c>
      <c r="H90">
        <v>1</v>
      </c>
    </row>
    <row r="91" spans="1:8" x14ac:dyDescent="0.3">
      <c r="A91" t="s">
        <v>184</v>
      </c>
      <c r="B91">
        <v>2020</v>
      </c>
      <c r="C91" t="s">
        <v>304</v>
      </c>
      <c r="D91" t="s">
        <v>305</v>
      </c>
      <c r="E91" t="s">
        <v>65</v>
      </c>
      <c r="F91">
        <v>1450</v>
      </c>
      <c r="G91" t="s">
        <v>66</v>
      </c>
      <c r="H91">
        <v>1</v>
      </c>
    </row>
    <row r="92" spans="1:8" x14ac:dyDescent="0.3">
      <c r="A92" t="s">
        <v>84</v>
      </c>
      <c r="B92">
        <v>2016</v>
      </c>
      <c r="C92" t="s">
        <v>304</v>
      </c>
      <c r="D92" t="s">
        <v>305</v>
      </c>
      <c r="E92" t="s">
        <v>65</v>
      </c>
      <c r="F92">
        <v>1543</v>
      </c>
      <c r="G92" t="s">
        <v>66</v>
      </c>
      <c r="H92">
        <v>1</v>
      </c>
    </row>
    <row r="93" spans="1:8" x14ac:dyDescent="0.3">
      <c r="A93" t="s">
        <v>84</v>
      </c>
      <c r="B93">
        <v>2017</v>
      </c>
      <c r="C93" t="s">
        <v>304</v>
      </c>
      <c r="D93" t="s">
        <v>305</v>
      </c>
      <c r="E93" t="s">
        <v>65</v>
      </c>
      <c r="F93">
        <v>1543</v>
      </c>
      <c r="G93" t="s">
        <v>66</v>
      </c>
      <c r="H93">
        <v>2</v>
      </c>
    </row>
    <row r="94" spans="1:8" x14ac:dyDescent="0.3">
      <c r="A94" t="s">
        <v>84</v>
      </c>
      <c r="B94">
        <v>2018</v>
      </c>
      <c r="C94" t="s">
        <v>304</v>
      </c>
      <c r="D94" t="s">
        <v>305</v>
      </c>
      <c r="E94" t="s">
        <v>65</v>
      </c>
      <c r="F94">
        <v>1543</v>
      </c>
      <c r="G94" t="s">
        <v>66</v>
      </c>
      <c r="H94">
        <v>2</v>
      </c>
    </row>
    <row r="95" spans="1:8" x14ac:dyDescent="0.3">
      <c r="A95" t="s">
        <v>84</v>
      </c>
      <c r="B95">
        <v>2019</v>
      </c>
      <c r="C95" t="s">
        <v>304</v>
      </c>
      <c r="D95" t="s">
        <v>305</v>
      </c>
      <c r="E95" t="s">
        <v>65</v>
      </c>
      <c r="F95">
        <v>1543</v>
      </c>
      <c r="G95" t="s">
        <v>66</v>
      </c>
      <c r="H95">
        <v>3</v>
      </c>
    </row>
    <row r="96" spans="1:8" x14ac:dyDescent="0.3">
      <c r="A96" t="s">
        <v>84</v>
      </c>
      <c r="B96">
        <v>2020</v>
      </c>
      <c r="C96" t="s">
        <v>304</v>
      </c>
      <c r="D96" t="s">
        <v>305</v>
      </c>
      <c r="E96" t="s">
        <v>65</v>
      </c>
      <c r="F96">
        <v>1543</v>
      </c>
      <c r="G96" t="s">
        <v>66</v>
      </c>
      <c r="H96">
        <v>1</v>
      </c>
    </row>
    <row r="97" spans="1:8" x14ac:dyDescent="0.3">
      <c r="A97" t="s">
        <v>85</v>
      </c>
      <c r="B97">
        <v>2016</v>
      </c>
      <c r="C97" t="s">
        <v>304</v>
      </c>
      <c r="D97" t="s">
        <v>305</v>
      </c>
      <c r="E97" t="s">
        <v>65</v>
      </c>
      <c r="F97">
        <v>5732</v>
      </c>
      <c r="G97" t="s">
        <v>66</v>
      </c>
      <c r="H97">
        <v>2</v>
      </c>
    </row>
    <row r="98" spans="1:8" x14ac:dyDescent="0.3">
      <c r="A98" t="s">
        <v>85</v>
      </c>
      <c r="B98">
        <v>2017</v>
      </c>
      <c r="C98" t="s">
        <v>304</v>
      </c>
      <c r="D98" t="s">
        <v>305</v>
      </c>
      <c r="E98" t="s">
        <v>65</v>
      </c>
      <c r="F98">
        <v>5732</v>
      </c>
      <c r="G98" t="s">
        <v>66</v>
      </c>
      <c r="H98">
        <v>1</v>
      </c>
    </row>
    <row r="99" spans="1:8" x14ac:dyDescent="0.3">
      <c r="A99" t="s">
        <v>85</v>
      </c>
      <c r="B99">
        <v>2018</v>
      </c>
      <c r="C99" t="s">
        <v>304</v>
      </c>
      <c r="D99" t="s">
        <v>305</v>
      </c>
      <c r="E99" t="s">
        <v>65</v>
      </c>
      <c r="F99">
        <v>5732</v>
      </c>
      <c r="G99" t="s">
        <v>66</v>
      </c>
      <c r="H99">
        <v>1</v>
      </c>
    </row>
    <row r="100" spans="1:8" x14ac:dyDescent="0.3">
      <c r="A100" t="s">
        <v>86</v>
      </c>
      <c r="B100">
        <v>2014</v>
      </c>
      <c r="C100" t="s">
        <v>304</v>
      </c>
      <c r="D100" t="s">
        <v>305</v>
      </c>
      <c r="E100" t="s">
        <v>65</v>
      </c>
      <c r="F100">
        <v>2450</v>
      </c>
      <c r="G100" t="s">
        <v>66</v>
      </c>
      <c r="H100">
        <v>9</v>
      </c>
    </row>
    <row r="101" spans="1:8" x14ac:dyDescent="0.3">
      <c r="A101" t="s">
        <v>86</v>
      </c>
      <c r="B101">
        <v>2015</v>
      </c>
      <c r="C101" t="s">
        <v>304</v>
      </c>
      <c r="D101" t="s">
        <v>305</v>
      </c>
      <c r="E101" t="s">
        <v>65</v>
      </c>
      <c r="F101">
        <v>2450</v>
      </c>
      <c r="G101" t="s">
        <v>66</v>
      </c>
      <c r="H101">
        <v>19</v>
      </c>
    </row>
    <row r="102" spans="1:8" x14ac:dyDescent="0.3">
      <c r="A102" t="s">
        <v>86</v>
      </c>
      <c r="B102">
        <v>2016</v>
      </c>
      <c r="C102" t="s">
        <v>304</v>
      </c>
      <c r="D102" t="s">
        <v>305</v>
      </c>
      <c r="E102" t="s">
        <v>65</v>
      </c>
      <c r="F102">
        <v>2450</v>
      </c>
      <c r="G102" t="s">
        <v>66</v>
      </c>
      <c r="H102">
        <v>13</v>
      </c>
    </row>
    <row r="103" spans="1:8" x14ac:dyDescent="0.3">
      <c r="A103" t="s">
        <v>86</v>
      </c>
      <c r="B103">
        <v>2017</v>
      </c>
      <c r="C103" t="s">
        <v>304</v>
      </c>
      <c r="D103" t="s">
        <v>305</v>
      </c>
      <c r="E103" t="s">
        <v>65</v>
      </c>
      <c r="F103">
        <v>2450</v>
      </c>
      <c r="G103" t="s">
        <v>66</v>
      </c>
      <c r="H103">
        <v>24</v>
      </c>
    </row>
    <row r="104" spans="1:8" x14ac:dyDescent="0.3">
      <c r="A104" t="s">
        <v>86</v>
      </c>
      <c r="B104">
        <v>2018</v>
      </c>
      <c r="C104" t="s">
        <v>304</v>
      </c>
      <c r="D104" t="s">
        <v>305</v>
      </c>
      <c r="E104" t="s">
        <v>65</v>
      </c>
      <c r="F104">
        <v>2450</v>
      </c>
      <c r="G104" t="s">
        <v>66</v>
      </c>
      <c r="H104">
        <v>26</v>
      </c>
    </row>
    <row r="105" spans="1:8" x14ac:dyDescent="0.3">
      <c r="A105" t="s">
        <v>86</v>
      </c>
      <c r="B105">
        <v>2019</v>
      </c>
      <c r="C105" t="s">
        <v>304</v>
      </c>
      <c r="D105" t="s">
        <v>305</v>
      </c>
      <c r="E105" t="s">
        <v>65</v>
      </c>
      <c r="F105">
        <v>2450</v>
      </c>
      <c r="G105" t="s">
        <v>66</v>
      </c>
      <c r="H105">
        <v>20</v>
      </c>
    </row>
    <row r="106" spans="1:8" x14ac:dyDescent="0.3">
      <c r="A106" t="s">
        <v>86</v>
      </c>
      <c r="B106">
        <v>2020</v>
      </c>
      <c r="C106" t="s">
        <v>304</v>
      </c>
      <c r="D106" t="s">
        <v>305</v>
      </c>
      <c r="E106" t="s">
        <v>65</v>
      </c>
      <c r="F106">
        <v>2450</v>
      </c>
      <c r="G106" t="s">
        <v>66</v>
      </c>
      <c r="H106">
        <v>8</v>
      </c>
    </row>
    <row r="107" spans="1:8" x14ac:dyDescent="0.3">
      <c r="A107" t="s">
        <v>86</v>
      </c>
      <c r="B107">
        <v>2021</v>
      </c>
      <c r="C107" t="s">
        <v>304</v>
      </c>
      <c r="D107" t="s">
        <v>305</v>
      </c>
      <c r="E107" t="s">
        <v>65</v>
      </c>
      <c r="F107">
        <v>2450</v>
      </c>
      <c r="G107" t="s">
        <v>66</v>
      </c>
      <c r="H107">
        <v>9</v>
      </c>
    </row>
    <row r="108" spans="1:8" x14ac:dyDescent="0.3">
      <c r="A108" t="s">
        <v>87</v>
      </c>
      <c r="B108">
        <v>2015</v>
      </c>
      <c r="C108" t="s">
        <v>304</v>
      </c>
      <c r="D108" t="s">
        <v>305</v>
      </c>
      <c r="E108" t="s">
        <v>65</v>
      </c>
      <c r="F108">
        <v>2500</v>
      </c>
      <c r="G108" t="s">
        <v>66</v>
      </c>
      <c r="H108">
        <v>2</v>
      </c>
    </row>
    <row r="109" spans="1:8" x14ac:dyDescent="0.3">
      <c r="A109" t="s">
        <v>87</v>
      </c>
      <c r="B109">
        <v>2016</v>
      </c>
      <c r="C109" t="s">
        <v>304</v>
      </c>
      <c r="D109" t="s">
        <v>305</v>
      </c>
      <c r="E109" t="s">
        <v>65</v>
      </c>
      <c r="F109">
        <v>2500</v>
      </c>
      <c r="G109" t="s">
        <v>66</v>
      </c>
      <c r="H109">
        <v>1</v>
      </c>
    </row>
    <row r="110" spans="1:8" x14ac:dyDescent="0.3">
      <c r="A110" t="s">
        <v>87</v>
      </c>
      <c r="B110">
        <v>2017</v>
      </c>
      <c r="C110" t="s">
        <v>304</v>
      </c>
      <c r="D110" t="s">
        <v>305</v>
      </c>
      <c r="E110" t="s">
        <v>65</v>
      </c>
      <c r="F110">
        <v>2500</v>
      </c>
      <c r="G110" t="s">
        <v>66</v>
      </c>
      <c r="H110">
        <v>1</v>
      </c>
    </row>
    <row r="111" spans="1:8" x14ac:dyDescent="0.3">
      <c r="A111" t="s">
        <v>87</v>
      </c>
      <c r="B111">
        <v>2018</v>
      </c>
      <c r="C111" t="s">
        <v>304</v>
      </c>
      <c r="D111" t="s">
        <v>305</v>
      </c>
      <c r="E111" t="s">
        <v>65</v>
      </c>
      <c r="F111">
        <v>2500</v>
      </c>
      <c r="G111" t="s">
        <v>66</v>
      </c>
      <c r="H111">
        <v>2</v>
      </c>
    </row>
    <row r="112" spans="1:8" x14ac:dyDescent="0.3">
      <c r="A112" t="s">
        <v>87</v>
      </c>
      <c r="B112">
        <v>2019</v>
      </c>
      <c r="C112" t="s">
        <v>304</v>
      </c>
      <c r="D112" t="s">
        <v>305</v>
      </c>
      <c r="E112" t="s">
        <v>65</v>
      </c>
      <c r="F112">
        <v>2500</v>
      </c>
      <c r="G112" t="s">
        <v>66</v>
      </c>
      <c r="H112">
        <v>3</v>
      </c>
    </row>
    <row r="113" spans="1:8" x14ac:dyDescent="0.3">
      <c r="A113" t="s">
        <v>87</v>
      </c>
      <c r="B113">
        <v>2020</v>
      </c>
      <c r="C113" t="s">
        <v>304</v>
      </c>
      <c r="D113" t="s">
        <v>305</v>
      </c>
      <c r="E113" t="s">
        <v>65</v>
      </c>
      <c r="F113">
        <v>2500</v>
      </c>
      <c r="G113" t="s">
        <v>66</v>
      </c>
      <c r="H113">
        <v>3</v>
      </c>
    </row>
    <row r="114" spans="1:8" x14ac:dyDescent="0.3">
      <c r="A114" t="s">
        <v>87</v>
      </c>
      <c r="B114">
        <v>2021</v>
      </c>
      <c r="C114" t="s">
        <v>304</v>
      </c>
      <c r="D114" t="s">
        <v>305</v>
      </c>
      <c r="E114" t="s">
        <v>65</v>
      </c>
      <c r="F114">
        <v>2500</v>
      </c>
      <c r="G114" t="s">
        <v>66</v>
      </c>
      <c r="H114">
        <v>4</v>
      </c>
    </row>
    <row r="115" spans="1:8" x14ac:dyDescent="0.3">
      <c r="A115" t="s">
        <v>88</v>
      </c>
      <c r="B115">
        <v>2014</v>
      </c>
      <c r="C115" t="s">
        <v>304</v>
      </c>
      <c r="D115" t="s">
        <v>305</v>
      </c>
      <c r="E115" t="s">
        <v>65</v>
      </c>
      <c r="F115">
        <v>2550</v>
      </c>
      <c r="G115" t="s">
        <v>66</v>
      </c>
      <c r="H115">
        <v>6</v>
      </c>
    </row>
    <row r="116" spans="1:8" x14ac:dyDescent="0.3">
      <c r="A116" t="s">
        <v>88</v>
      </c>
      <c r="B116">
        <v>2015</v>
      </c>
      <c r="C116" t="s">
        <v>304</v>
      </c>
      <c r="D116" t="s">
        <v>305</v>
      </c>
      <c r="E116" t="s">
        <v>65</v>
      </c>
      <c r="F116">
        <v>2550</v>
      </c>
      <c r="G116" t="s">
        <v>66</v>
      </c>
      <c r="H116">
        <v>10</v>
      </c>
    </row>
    <row r="117" spans="1:8" x14ac:dyDescent="0.3">
      <c r="A117" t="s">
        <v>88</v>
      </c>
      <c r="B117">
        <v>2016</v>
      </c>
      <c r="C117" t="s">
        <v>304</v>
      </c>
      <c r="D117" t="s">
        <v>305</v>
      </c>
      <c r="E117" t="s">
        <v>65</v>
      </c>
      <c r="F117">
        <v>2550</v>
      </c>
      <c r="G117" t="s">
        <v>66</v>
      </c>
      <c r="H117">
        <v>5</v>
      </c>
    </row>
    <row r="118" spans="1:8" x14ac:dyDescent="0.3">
      <c r="A118" t="s">
        <v>88</v>
      </c>
      <c r="B118">
        <v>2017</v>
      </c>
      <c r="C118" t="s">
        <v>304</v>
      </c>
      <c r="D118" t="s">
        <v>305</v>
      </c>
      <c r="E118" t="s">
        <v>65</v>
      </c>
      <c r="F118">
        <v>2550</v>
      </c>
      <c r="G118" t="s">
        <v>66</v>
      </c>
      <c r="H118">
        <v>16</v>
      </c>
    </row>
    <row r="119" spans="1:8" x14ac:dyDescent="0.3">
      <c r="A119" t="s">
        <v>88</v>
      </c>
      <c r="B119">
        <v>2018</v>
      </c>
      <c r="C119" t="s">
        <v>304</v>
      </c>
      <c r="D119" t="s">
        <v>305</v>
      </c>
      <c r="E119" t="s">
        <v>65</v>
      </c>
      <c r="F119">
        <v>2550</v>
      </c>
      <c r="G119" t="s">
        <v>66</v>
      </c>
      <c r="H119">
        <v>11</v>
      </c>
    </row>
    <row r="120" spans="1:8" x14ac:dyDescent="0.3">
      <c r="A120" t="s">
        <v>88</v>
      </c>
      <c r="B120">
        <v>2019</v>
      </c>
      <c r="C120" t="s">
        <v>304</v>
      </c>
      <c r="D120" t="s">
        <v>305</v>
      </c>
      <c r="E120" t="s">
        <v>65</v>
      </c>
      <c r="F120">
        <v>2550</v>
      </c>
      <c r="G120" t="s">
        <v>66</v>
      </c>
      <c r="H120">
        <v>7</v>
      </c>
    </row>
    <row r="121" spans="1:8" x14ac:dyDescent="0.3">
      <c r="A121" t="s">
        <v>88</v>
      </c>
      <c r="B121">
        <v>2020</v>
      </c>
      <c r="C121" t="s">
        <v>304</v>
      </c>
      <c r="D121" t="s">
        <v>305</v>
      </c>
      <c r="E121" t="s">
        <v>65</v>
      </c>
      <c r="F121">
        <v>2550</v>
      </c>
      <c r="G121" t="s">
        <v>66</v>
      </c>
      <c r="H121">
        <v>4</v>
      </c>
    </row>
    <row r="122" spans="1:8" x14ac:dyDescent="0.3">
      <c r="A122" t="s">
        <v>88</v>
      </c>
      <c r="B122">
        <v>2021</v>
      </c>
      <c r="C122" t="s">
        <v>304</v>
      </c>
      <c r="D122" t="s">
        <v>305</v>
      </c>
      <c r="E122" t="s">
        <v>65</v>
      </c>
      <c r="F122">
        <v>2550</v>
      </c>
      <c r="G122" t="s">
        <v>66</v>
      </c>
      <c r="H122">
        <v>4</v>
      </c>
    </row>
    <row r="123" spans="1:8" x14ac:dyDescent="0.3">
      <c r="A123" t="s">
        <v>89</v>
      </c>
      <c r="B123">
        <v>2015</v>
      </c>
      <c r="C123" t="s">
        <v>304</v>
      </c>
      <c r="D123" t="s">
        <v>305</v>
      </c>
      <c r="E123" t="s">
        <v>65</v>
      </c>
      <c r="F123">
        <v>3348</v>
      </c>
      <c r="G123" t="s">
        <v>66</v>
      </c>
      <c r="H123">
        <v>2</v>
      </c>
    </row>
    <row r="124" spans="1:8" x14ac:dyDescent="0.3">
      <c r="A124" t="s">
        <v>89</v>
      </c>
      <c r="B124">
        <v>2016</v>
      </c>
      <c r="C124" t="s">
        <v>304</v>
      </c>
      <c r="D124" t="s">
        <v>305</v>
      </c>
      <c r="E124" t="s">
        <v>65</v>
      </c>
      <c r="F124">
        <v>3348</v>
      </c>
      <c r="G124" t="s">
        <v>66</v>
      </c>
      <c r="H124">
        <v>2</v>
      </c>
    </row>
    <row r="125" spans="1:8" x14ac:dyDescent="0.3">
      <c r="A125" t="s">
        <v>89</v>
      </c>
      <c r="B125">
        <v>2017</v>
      </c>
      <c r="C125" t="s">
        <v>304</v>
      </c>
      <c r="D125" t="s">
        <v>305</v>
      </c>
      <c r="E125" t="s">
        <v>65</v>
      </c>
      <c r="F125">
        <v>3348</v>
      </c>
      <c r="G125" t="s">
        <v>66</v>
      </c>
      <c r="H125">
        <v>1</v>
      </c>
    </row>
    <row r="126" spans="1:8" x14ac:dyDescent="0.3">
      <c r="A126" t="s">
        <v>89</v>
      </c>
      <c r="B126">
        <v>2019</v>
      </c>
      <c r="C126" t="s">
        <v>304</v>
      </c>
      <c r="D126" t="s">
        <v>305</v>
      </c>
      <c r="E126" t="s">
        <v>65</v>
      </c>
      <c r="F126">
        <v>3348</v>
      </c>
      <c r="G126" t="s">
        <v>66</v>
      </c>
      <c r="H126">
        <v>1</v>
      </c>
    </row>
    <row r="127" spans="1:8" x14ac:dyDescent="0.3">
      <c r="A127" t="s">
        <v>89</v>
      </c>
      <c r="B127">
        <v>2021</v>
      </c>
      <c r="C127" t="s">
        <v>304</v>
      </c>
      <c r="D127" t="s">
        <v>305</v>
      </c>
      <c r="E127" t="s">
        <v>65</v>
      </c>
      <c r="F127">
        <v>3348</v>
      </c>
      <c r="G127" t="s">
        <v>66</v>
      </c>
      <c r="H127">
        <v>1</v>
      </c>
    </row>
    <row r="128" spans="1:8" x14ac:dyDescent="0.3">
      <c r="A128" t="s">
        <v>187</v>
      </c>
      <c r="B128">
        <v>2017</v>
      </c>
      <c r="C128" t="s">
        <v>304</v>
      </c>
      <c r="D128" t="s">
        <v>305</v>
      </c>
      <c r="E128" t="s">
        <v>65</v>
      </c>
      <c r="F128">
        <v>3350</v>
      </c>
      <c r="G128" t="s">
        <v>66</v>
      </c>
      <c r="H128">
        <v>1</v>
      </c>
    </row>
    <row r="129" spans="1:8" x14ac:dyDescent="0.3">
      <c r="A129" t="s">
        <v>187</v>
      </c>
      <c r="B129">
        <v>2018</v>
      </c>
      <c r="C129" t="s">
        <v>304</v>
      </c>
      <c r="D129" t="s">
        <v>305</v>
      </c>
      <c r="E129" t="s">
        <v>65</v>
      </c>
      <c r="F129">
        <v>3350</v>
      </c>
      <c r="G129" t="s">
        <v>66</v>
      </c>
      <c r="H129">
        <v>1</v>
      </c>
    </row>
    <row r="130" spans="1:8" x14ac:dyDescent="0.3">
      <c r="A130" t="s">
        <v>187</v>
      </c>
      <c r="B130">
        <v>2019</v>
      </c>
      <c r="C130" t="s">
        <v>304</v>
      </c>
      <c r="D130" t="s">
        <v>305</v>
      </c>
      <c r="E130" t="s">
        <v>65</v>
      </c>
      <c r="F130">
        <v>3350</v>
      </c>
      <c r="G130" t="s">
        <v>66</v>
      </c>
      <c r="H130">
        <v>1</v>
      </c>
    </row>
    <row r="131" spans="1:8" x14ac:dyDescent="0.3">
      <c r="A131" t="s">
        <v>187</v>
      </c>
      <c r="B131">
        <v>2020</v>
      </c>
      <c r="C131" t="s">
        <v>304</v>
      </c>
      <c r="D131" t="s">
        <v>305</v>
      </c>
      <c r="E131" t="s">
        <v>65</v>
      </c>
      <c r="F131">
        <v>3350</v>
      </c>
      <c r="G131" t="s">
        <v>66</v>
      </c>
      <c r="H131">
        <v>2</v>
      </c>
    </row>
    <row r="132" spans="1:8" x14ac:dyDescent="0.3">
      <c r="A132" t="s">
        <v>90</v>
      </c>
      <c r="B132">
        <v>2015</v>
      </c>
      <c r="C132" t="s">
        <v>304</v>
      </c>
      <c r="D132" t="s">
        <v>305</v>
      </c>
      <c r="E132" t="s">
        <v>65</v>
      </c>
      <c r="F132">
        <v>3600</v>
      </c>
      <c r="G132" t="s">
        <v>66</v>
      </c>
      <c r="H132">
        <v>1</v>
      </c>
    </row>
    <row r="133" spans="1:8" x14ac:dyDescent="0.3">
      <c r="A133" t="s">
        <v>90</v>
      </c>
      <c r="B133">
        <v>2016</v>
      </c>
      <c r="C133" t="s">
        <v>304</v>
      </c>
      <c r="D133" t="s">
        <v>305</v>
      </c>
      <c r="E133" t="s">
        <v>65</v>
      </c>
      <c r="F133">
        <v>3600</v>
      </c>
      <c r="G133" t="s">
        <v>66</v>
      </c>
      <c r="H133">
        <v>3</v>
      </c>
    </row>
    <row r="134" spans="1:8" x14ac:dyDescent="0.3">
      <c r="A134" t="s">
        <v>90</v>
      </c>
      <c r="B134">
        <v>2017</v>
      </c>
      <c r="C134" t="s">
        <v>304</v>
      </c>
      <c r="D134" t="s">
        <v>305</v>
      </c>
      <c r="E134" t="s">
        <v>65</v>
      </c>
      <c r="F134">
        <v>3600</v>
      </c>
      <c r="G134" t="s">
        <v>66</v>
      </c>
      <c r="H134">
        <v>1</v>
      </c>
    </row>
    <row r="135" spans="1:8" x14ac:dyDescent="0.3">
      <c r="A135" t="s">
        <v>90</v>
      </c>
      <c r="B135">
        <v>2019</v>
      </c>
      <c r="C135" t="s">
        <v>304</v>
      </c>
      <c r="D135" t="s">
        <v>305</v>
      </c>
      <c r="E135" t="s">
        <v>65</v>
      </c>
      <c r="F135">
        <v>3600</v>
      </c>
      <c r="G135" t="s">
        <v>66</v>
      </c>
      <c r="H135">
        <v>2</v>
      </c>
    </row>
    <row r="136" spans="1:8" x14ac:dyDescent="0.3">
      <c r="A136" t="s">
        <v>90</v>
      </c>
      <c r="B136">
        <v>2020</v>
      </c>
      <c r="C136" t="s">
        <v>304</v>
      </c>
      <c r="D136" t="s">
        <v>305</v>
      </c>
      <c r="E136" t="s">
        <v>65</v>
      </c>
      <c r="F136">
        <v>3600</v>
      </c>
      <c r="G136" t="s">
        <v>66</v>
      </c>
      <c r="H136">
        <v>1</v>
      </c>
    </row>
    <row r="137" spans="1:8" x14ac:dyDescent="0.3">
      <c r="A137" t="s">
        <v>90</v>
      </c>
      <c r="B137">
        <v>2021</v>
      </c>
      <c r="C137" t="s">
        <v>304</v>
      </c>
      <c r="D137" t="s">
        <v>305</v>
      </c>
      <c r="E137" t="s">
        <v>65</v>
      </c>
      <c r="F137">
        <v>3600</v>
      </c>
      <c r="G137" t="s">
        <v>66</v>
      </c>
      <c r="H137">
        <v>3</v>
      </c>
    </row>
    <row r="138" spans="1:8" x14ac:dyDescent="0.3">
      <c r="A138" t="s">
        <v>91</v>
      </c>
      <c r="B138">
        <v>2016</v>
      </c>
      <c r="C138" t="s">
        <v>304</v>
      </c>
      <c r="D138" t="s">
        <v>305</v>
      </c>
      <c r="E138" t="s">
        <v>65</v>
      </c>
      <c r="F138">
        <v>7800</v>
      </c>
      <c r="G138" t="s">
        <v>66</v>
      </c>
      <c r="H138">
        <v>2</v>
      </c>
    </row>
    <row r="139" spans="1:8" x14ac:dyDescent="0.3">
      <c r="A139" t="s">
        <v>91</v>
      </c>
      <c r="B139">
        <v>2017</v>
      </c>
      <c r="C139" t="s">
        <v>304</v>
      </c>
      <c r="D139" t="s">
        <v>305</v>
      </c>
      <c r="E139" t="s">
        <v>65</v>
      </c>
      <c r="F139">
        <v>7800</v>
      </c>
      <c r="G139" t="s">
        <v>66</v>
      </c>
      <c r="H139">
        <v>2</v>
      </c>
    </row>
    <row r="140" spans="1:8" x14ac:dyDescent="0.3">
      <c r="A140" t="s">
        <v>92</v>
      </c>
      <c r="B140">
        <v>2014</v>
      </c>
      <c r="C140" t="s">
        <v>304</v>
      </c>
      <c r="D140" t="s">
        <v>305</v>
      </c>
      <c r="E140" t="s">
        <v>65</v>
      </c>
      <c r="F140">
        <v>3100</v>
      </c>
      <c r="G140" t="s">
        <v>66</v>
      </c>
      <c r="H140">
        <v>1</v>
      </c>
    </row>
    <row r="141" spans="1:8" x14ac:dyDescent="0.3">
      <c r="A141" t="s">
        <v>92</v>
      </c>
      <c r="B141">
        <v>2015</v>
      </c>
      <c r="C141" t="s">
        <v>304</v>
      </c>
      <c r="D141" t="s">
        <v>305</v>
      </c>
      <c r="E141" t="s">
        <v>65</v>
      </c>
      <c r="F141">
        <v>3100</v>
      </c>
      <c r="G141" t="s">
        <v>66</v>
      </c>
      <c r="H141">
        <v>1</v>
      </c>
    </row>
    <row r="142" spans="1:8" x14ac:dyDescent="0.3">
      <c r="A142" t="s">
        <v>92</v>
      </c>
      <c r="B142">
        <v>2016</v>
      </c>
      <c r="C142" t="s">
        <v>304</v>
      </c>
      <c r="D142" t="s">
        <v>305</v>
      </c>
      <c r="E142" t="s">
        <v>65</v>
      </c>
      <c r="F142">
        <v>3100</v>
      </c>
      <c r="G142" t="s">
        <v>66</v>
      </c>
      <c r="H142">
        <v>4</v>
      </c>
    </row>
    <row r="143" spans="1:8" x14ac:dyDescent="0.3">
      <c r="A143" t="s">
        <v>92</v>
      </c>
      <c r="B143">
        <v>2017</v>
      </c>
      <c r="C143" t="s">
        <v>304</v>
      </c>
      <c r="D143" t="s">
        <v>305</v>
      </c>
      <c r="E143" t="s">
        <v>65</v>
      </c>
      <c r="F143">
        <v>3100</v>
      </c>
      <c r="G143" t="s">
        <v>66</v>
      </c>
      <c r="H143">
        <v>4</v>
      </c>
    </row>
    <row r="144" spans="1:8" x14ac:dyDescent="0.3">
      <c r="A144" t="s">
        <v>92</v>
      </c>
      <c r="B144">
        <v>2018</v>
      </c>
      <c r="C144" t="s">
        <v>304</v>
      </c>
      <c r="D144" t="s">
        <v>305</v>
      </c>
      <c r="E144" t="s">
        <v>65</v>
      </c>
      <c r="F144">
        <v>3100</v>
      </c>
      <c r="G144" t="s">
        <v>66</v>
      </c>
      <c r="H144">
        <v>1</v>
      </c>
    </row>
    <row r="145" spans="1:8" x14ac:dyDescent="0.3">
      <c r="A145" t="s">
        <v>188</v>
      </c>
      <c r="B145">
        <v>2018</v>
      </c>
      <c r="C145" t="s">
        <v>304</v>
      </c>
      <c r="D145" t="s">
        <v>305</v>
      </c>
      <c r="E145" t="s">
        <v>65</v>
      </c>
      <c r="F145">
        <v>3600</v>
      </c>
      <c r="G145" t="s">
        <v>66</v>
      </c>
      <c r="H145">
        <v>1</v>
      </c>
    </row>
    <row r="146" spans="1:8" x14ac:dyDescent="0.3">
      <c r="A146" t="s">
        <v>93</v>
      </c>
      <c r="B146">
        <v>2016</v>
      </c>
      <c r="C146" t="s">
        <v>304</v>
      </c>
      <c r="D146" t="s">
        <v>305</v>
      </c>
      <c r="E146" t="s">
        <v>65</v>
      </c>
      <c r="F146">
        <v>12125</v>
      </c>
      <c r="G146" t="s">
        <v>66</v>
      </c>
      <c r="H146">
        <v>1</v>
      </c>
    </row>
    <row r="147" spans="1:8" x14ac:dyDescent="0.3">
      <c r="A147" t="s">
        <v>93</v>
      </c>
      <c r="B147">
        <v>2017</v>
      </c>
      <c r="C147" t="s">
        <v>304</v>
      </c>
      <c r="D147" t="s">
        <v>305</v>
      </c>
      <c r="E147" t="s">
        <v>65</v>
      </c>
      <c r="F147">
        <v>12125</v>
      </c>
      <c r="G147" t="s">
        <v>66</v>
      </c>
      <c r="H147">
        <v>4</v>
      </c>
    </row>
    <row r="148" spans="1:8" x14ac:dyDescent="0.3">
      <c r="A148" t="s">
        <v>93</v>
      </c>
      <c r="B148">
        <v>2018</v>
      </c>
      <c r="C148" t="s">
        <v>304</v>
      </c>
      <c r="D148" t="s">
        <v>305</v>
      </c>
      <c r="E148" t="s">
        <v>65</v>
      </c>
      <c r="F148">
        <v>12125</v>
      </c>
      <c r="G148" t="s">
        <v>66</v>
      </c>
      <c r="H148">
        <v>2</v>
      </c>
    </row>
    <row r="149" spans="1:8" x14ac:dyDescent="0.3">
      <c r="A149" t="s">
        <v>94</v>
      </c>
      <c r="B149">
        <v>2014</v>
      </c>
      <c r="C149" t="s">
        <v>304</v>
      </c>
      <c r="D149" t="s">
        <v>305</v>
      </c>
      <c r="E149" t="s">
        <v>65</v>
      </c>
      <c r="F149">
        <v>13870</v>
      </c>
      <c r="G149" t="s">
        <v>66</v>
      </c>
      <c r="H149">
        <v>1</v>
      </c>
    </row>
    <row r="150" spans="1:8" x14ac:dyDescent="0.3">
      <c r="A150" t="s">
        <v>94</v>
      </c>
      <c r="B150">
        <v>2019</v>
      </c>
      <c r="C150" t="s">
        <v>304</v>
      </c>
      <c r="D150" t="s">
        <v>305</v>
      </c>
      <c r="E150" t="s">
        <v>65</v>
      </c>
      <c r="F150">
        <v>13870</v>
      </c>
      <c r="G150" t="s">
        <v>66</v>
      </c>
      <c r="H150">
        <v>1</v>
      </c>
    </row>
    <row r="151" spans="1:8" x14ac:dyDescent="0.3">
      <c r="A151" t="s">
        <v>189</v>
      </c>
      <c r="B151">
        <v>2017</v>
      </c>
      <c r="C151" t="s">
        <v>304</v>
      </c>
      <c r="D151" t="s">
        <v>305</v>
      </c>
      <c r="E151" t="s">
        <v>65</v>
      </c>
      <c r="F151">
        <v>10361</v>
      </c>
      <c r="G151" t="s">
        <v>66</v>
      </c>
      <c r="H151">
        <v>5</v>
      </c>
    </row>
    <row r="152" spans="1:8" x14ac:dyDescent="0.3">
      <c r="A152" t="s">
        <v>189</v>
      </c>
      <c r="B152">
        <v>2018</v>
      </c>
      <c r="C152" t="s">
        <v>304</v>
      </c>
      <c r="D152" t="s">
        <v>305</v>
      </c>
      <c r="E152" t="s">
        <v>65</v>
      </c>
      <c r="F152">
        <v>10361</v>
      </c>
      <c r="G152" t="s">
        <v>66</v>
      </c>
      <c r="H152">
        <v>2</v>
      </c>
    </row>
    <row r="153" spans="1:8" x14ac:dyDescent="0.3">
      <c r="A153" t="s">
        <v>96</v>
      </c>
      <c r="B153">
        <v>2014</v>
      </c>
      <c r="C153" t="s">
        <v>304</v>
      </c>
      <c r="D153" t="s">
        <v>305</v>
      </c>
      <c r="E153" t="s">
        <v>65</v>
      </c>
      <c r="F153">
        <v>4600</v>
      </c>
      <c r="G153" t="s">
        <v>66</v>
      </c>
      <c r="H153">
        <v>2</v>
      </c>
    </row>
    <row r="154" spans="1:8" x14ac:dyDescent="0.3">
      <c r="A154" t="s">
        <v>96</v>
      </c>
      <c r="B154">
        <v>2015</v>
      </c>
      <c r="C154" t="s">
        <v>304</v>
      </c>
      <c r="D154" t="s">
        <v>305</v>
      </c>
      <c r="E154" t="s">
        <v>65</v>
      </c>
      <c r="F154">
        <v>4600</v>
      </c>
      <c r="G154" t="s">
        <v>66</v>
      </c>
      <c r="H154">
        <v>2</v>
      </c>
    </row>
    <row r="155" spans="1:8" x14ac:dyDescent="0.3">
      <c r="A155" t="s">
        <v>96</v>
      </c>
      <c r="B155">
        <v>2016</v>
      </c>
      <c r="C155" t="s">
        <v>304</v>
      </c>
      <c r="D155" t="s">
        <v>305</v>
      </c>
      <c r="E155" t="s">
        <v>65</v>
      </c>
      <c r="F155">
        <v>4600</v>
      </c>
      <c r="G155" t="s">
        <v>66</v>
      </c>
      <c r="H155">
        <v>2</v>
      </c>
    </row>
    <row r="156" spans="1:8" x14ac:dyDescent="0.3">
      <c r="A156" t="s">
        <v>96</v>
      </c>
      <c r="B156">
        <v>2018</v>
      </c>
      <c r="C156" t="s">
        <v>304</v>
      </c>
      <c r="D156" t="s">
        <v>305</v>
      </c>
      <c r="E156" t="s">
        <v>65</v>
      </c>
      <c r="F156">
        <v>4600</v>
      </c>
      <c r="G156" t="s">
        <v>66</v>
      </c>
      <c r="H156">
        <v>1</v>
      </c>
    </row>
    <row r="157" spans="1:8" x14ac:dyDescent="0.3">
      <c r="A157" t="s">
        <v>96</v>
      </c>
      <c r="B157">
        <v>2019</v>
      </c>
      <c r="C157" t="s">
        <v>304</v>
      </c>
      <c r="D157" t="s">
        <v>305</v>
      </c>
      <c r="E157" t="s">
        <v>65</v>
      </c>
      <c r="F157">
        <v>4600</v>
      </c>
      <c r="G157" t="s">
        <v>66</v>
      </c>
      <c r="H157">
        <v>3</v>
      </c>
    </row>
    <row r="158" spans="1:8" x14ac:dyDescent="0.3">
      <c r="A158" t="s">
        <v>96</v>
      </c>
      <c r="B158">
        <v>2020</v>
      </c>
      <c r="C158" t="s">
        <v>304</v>
      </c>
      <c r="D158" t="s">
        <v>305</v>
      </c>
      <c r="E158" t="s">
        <v>65</v>
      </c>
      <c r="F158">
        <v>4600</v>
      </c>
      <c r="G158" t="s">
        <v>66</v>
      </c>
      <c r="H158">
        <v>1</v>
      </c>
    </row>
    <row r="159" spans="1:8" x14ac:dyDescent="0.3">
      <c r="A159" t="s">
        <v>96</v>
      </c>
      <c r="B159">
        <v>2021</v>
      </c>
      <c r="C159" t="s">
        <v>304</v>
      </c>
      <c r="D159" t="s">
        <v>305</v>
      </c>
      <c r="E159" t="s">
        <v>65</v>
      </c>
      <c r="F159">
        <v>4600</v>
      </c>
      <c r="G159" t="s">
        <v>66</v>
      </c>
      <c r="H159">
        <v>1</v>
      </c>
    </row>
    <row r="160" spans="1:8" x14ac:dyDescent="0.3">
      <c r="A160" t="s">
        <v>192</v>
      </c>
      <c r="B160">
        <v>2018</v>
      </c>
      <c r="C160" t="s">
        <v>304</v>
      </c>
      <c r="D160" t="s">
        <v>305</v>
      </c>
      <c r="E160" t="s">
        <v>65</v>
      </c>
      <c r="F160">
        <v>4850</v>
      </c>
      <c r="G160" t="s">
        <v>66</v>
      </c>
      <c r="H160">
        <v>1</v>
      </c>
    </row>
    <row r="161" spans="1:8" x14ac:dyDescent="0.3">
      <c r="A161" t="s">
        <v>97</v>
      </c>
      <c r="B161">
        <v>2014</v>
      </c>
      <c r="C161" t="s">
        <v>304</v>
      </c>
      <c r="D161" t="s">
        <v>305</v>
      </c>
      <c r="E161" t="s">
        <v>65</v>
      </c>
      <c r="F161">
        <v>5974</v>
      </c>
      <c r="G161" t="s">
        <v>66</v>
      </c>
      <c r="H161">
        <v>1</v>
      </c>
    </row>
    <row r="162" spans="1:8" x14ac:dyDescent="0.3">
      <c r="A162" t="s">
        <v>97</v>
      </c>
      <c r="B162">
        <v>2018</v>
      </c>
      <c r="C162" t="s">
        <v>304</v>
      </c>
      <c r="D162" t="s">
        <v>305</v>
      </c>
      <c r="E162" t="s">
        <v>65</v>
      </c>
      <c r="F162">
        <v>5974</v>
      </c>
      <c r="G162" t="s">
        <v>66</v>
      </c>
      <c r="H162">
        <v>1</v>
      </c>
    </row>
    <row r="163" spans="1:8" x14ac:dyDescent="0.3">
      <c r="A163" t="s">
        <v>97</v>
      </c>
      <c r="B163">
        <v>2019</v>
      </c>
      <c r="C163" t="s">
        <v>304</v>
      </c>
      <c r="D163" t="s">
        <v>305</v>
      </c>
      <c r="E163" t="s">
        <v>65</v>
      </c>
      <c r="F163">
        <v>5974</v>
      </c>
      <c r="G163" t="s">
        <v>66</v>
      </c>
      <c r="H163">
        <v>6</v>
      </c>
    </row>
    <row r="164" spans="1:8" x14ac:dyDescent="0.3">
      <c r="A164" t="s">
        <v>98</v>
      </c>
      <c r="B164">
        <v>2017</v>
      </c>
      <c r="C164" t="s">
        <v>304</v>
      </c>
      <c r="D164" t="s">
        <v>305</v>
      </c>
      <c r="E164" t="s">
        <v>65</v>
      </c>
      <c r="F164">
        <v>6850</v>
      </c>
      <c r="G164" t="s">
        <v>66</v>
      </c>
      <c r="H164">
        <v>1</v>
      </c>
    </row>
    <row r="165" spans="1:8" x14ac:dyDescent="0.3">
      <c r="A165" t="s">
        <v>98</v>
      </c>
      <c r="B165">
        <v>2018</v>
      </c>
      <c r="C165" t="s">
        <v>304</v>
      </c>
      <c r="D165" t="s">
        <v>305</v>
      </c>
      <c r="E165" t="s">
        <v>65</v>
      </c>
      <c r="F165">
        <v>6850</v>
      </c>
      <c r="G165" t="s">
        <v>66</v>
      </c>
      <c r="H165">
        <v>1</v>
      </c>
    </row>
    <row r="166" spans="1:8" x14ac:dyDescent="0.3">
      <c r="A166" t="s">
        <v>98</v>
      </c>
      <c r="B166">
        <v>2019</v>
      </c>
      <c r="C166" t="s">
        <v>304</v>
      </c>
      <c r="D166" t="s">
        <v>305</v>
      </c>
      <c r="E166" t="s">
        <v>65</v>
      </c>
      <c r="F166">
        <v>6850</v>
      </c>
      <c r="G166" t="s">
        <v>66</v>
      </c>
      <c r="H166">
        <v>2</v>
      </c>
    </row>
    <row r="167" spans="1:8" x14ac:dyDescent="0.3">
      <c r="A167" t="s">
        <v>100</v>
      </c>
      <c r="B167">
        <v>2014</v>
      </c>
      <c r="C167" t="s">
        <v>304</v>
      </c>
      <c r="D167" t="s">
        <v>305</v>
      </c>
      <c r="E167" t="s">
        <v>65</v>
      </c>
      <c r="F167">
        <v>6750</v>
      </c>
      <c r="G167" t="s">
        <v>66</v>
      </c>
      <c r="H167">
        <v>5</v>
      </c>
    </row>
    <row r="168" spans="1:8" x14ac:dyDescent="0.3">
      <c r="A168" t="s">
        <v>100</v>
      </c>
      <c r="B168">
        <v>2015</v>
      </c>
      <c r="C168" t="s">
        <v>304</v>
      </c>
      <c r="D168" t="s">
        <v>305</v>
      </c>
      <c r="E168" t="s">
        <v>65</v>
      </c>
      <c r="F168">
        <v>6750</v>
      </c>
      <c r="G168" t="s">
        <v>66</v>
      </c>
      <c r="H168">
        <v>4</v>
      </c>
    </row>
    <row r="169" spans="1:8" x14ac:dyDescent="0.3">
      <c r="A169" t="s">
        <v>100</v>
      </c>
      <c r="B169">
        <v>2016</v>
      </c>
      <c r="C169" t="s">
        <v>304</v>
      </c>
      <c r="D169" t="s">
        <v>305</v>
      </c>
      <c r="E169" t="s">
        <v>65</v>
      </c>
      <c r="F169">
        <v>6750</v>
      </c>
      <c r="G169" t="s">
        <v>66</v>
      </c>
      <c r="H169">
        <v>2</v>
      </c>
    </row>
    <row r="170" spans="1:8" x14ac:dyDescent="0.3">
      <c r="A170" t="s">
        <v>100</v>
      </c>
      <c r="B170">
        <v>2017</v>
      </c>
      <c r="C170" t="s">
        <v>304</v>
      </c>
      <c r="D170" t="s">
        <v>305</v>
      </c>
      <c r="E170" t="s">
        <v>65</v>
      </c>
      <c r="F170">
        <v>6750</v>
      </c>
      <c r="G170" t="s">
        <v>66</v>
      </c>
      <c r="H170">
        <v>1</v>
      </c>
    </row>
    <row r="171" spans="1:8" x14ac:dyDescent="0.3">
      <c r="A171" t="s">
        <v>100</v>
      </c>
      <c r="B171">
        <v>2019</v>
      </c>
      <c r="C171" t="s">
        <v>304</v>
      </c>
      <c r="D171" t="s">
        <v>305</v>
      </c>
      <c r="E171" t="s">
        <v>65</v>
      </c>
      <c r="F171">
        <v>6750</v>
      </c>
      <c r="G171" t="s">
        <v>66</v>
      </c>
      <c r="H171">
        <v>1</v>
      </c>
    </row>
    <row r="172" spans="1:8" x14ac:dyDescent="0.3">
      <c r="A172" t="s">
        <v>101</v>
      </c>
      <c r="B172">
        <v>2014</v>
      </c>
      <c r="C172" t="s">
        <v>304</v>
      </c>
      <c r="D172" t="s">
        <v>305</v>
      </c>
      <c r="E172" t="s">
        <v>65</v>
      </c>
      <c r="F172">
        <v>7450</v>
      </c>
      <c r="G172" t="s">
        <v>66</v>
      </c>
      <c r="H172">
        <v>4</v>
      </c>
    </row>
    <row r="173" spans="1:8" x14ac:dyDescent="0.3">
      <c r="A173" t="s">
        <v>101</v>
      </c>
      <c r="B173">
        <v>2015</v>
      </c>
      <c r="C173" t="s">
        <v>304</v>
      </c>
      <c r="D173" t="s">
        <v>305</v>
      </c>
      <c r="E173" t="s">
        <v>65</v>
      </c>
      <c r="F173">
        <v>7450</v>
      </c>
      <c r="G173" t="s">
        <v>66</v>
      </c>
      <c r="H173">
        <v>4</v>
      </c>
    </row>
    <row r="174" spans="1:8" x14ac:dyDescent="0.3">
      <c r="A174" t="s">
        <v>101</v>
      </c>
      <c r="B174">
        <v>2016</v>
      </c>
      <c r="C174" t="s">
        <v>304</v>
      </c>
      <c r="D174" t="s">
        <v>305</v>
      </c>
      <c r="E174" t="s">
        <v>65</v>
      </c>
      <c r="F174">
        <v>7450</v>
      </c>
      <c r="G174" t="s">
        <v>66</v>
      </c>
      <c r="H174">
        <v>7</v>
      </c>
    </row>
    <row r="175" spans="1:8" x14ac:dyDescent="0.3">
      <c r="A175" t="s">
        <v>101</v>
      </c>
      <c r="B175">
        <v>2017</v>
      </c>
      <c r="C175" t="s">
        <v>304</v>
      </c>
      <c r="D175" t="s">
        <v>305</v>
      </c>
      <c r="E175" t="s">
        <v>65</v>
      </c>
      <c r="F175">
        <v>7450</v>
      </c>
      <c r="G175" t="s">
        <v>66</v>
      </c>
      <c r="H175">
        <v>3</v>
      </c>
    </row>
    <row r="176" spans="1:8" x14ac:dyDescent="0.3">
      <c r="A176" t="s">
        <v>101</v>
      </c>
      <c r="B176">
        <v>2018</v>
      </c>
      <c r="C176" t="s">
        <v>304</v>
      </c>
      <c r="D176" t="s">
        <v>305</v>
      </c>
      <c r="E176" t="s">
        <v>65</v>
      </c>
      <c r="F176">
        <v>7450</v>
      </c>
      <c r="G176" t="s">
        <v>66</v>
      </c>
      <c r="H176">
        <v>1</v>
      </c>
    </row>
    <row r="177" spans="1:8" x14ac:dyDescent="0.3">
      <c r="A177" t="s">
        <v>101</v>
      </c>
      <c r="B177">
        <v>2019</v>
      </c>
      <c r="C177" t="s">
        <v>304</v>
      </c>
      <c r="D177" t="s">
        <v>305</v>
      </c>
      <c r="E177" t="s">
        <v>65</v>
      </c>
      <c r="F177">
        <v>7450</v>
      </c>
      <c r="G177" t="s">
        <v>66</v>
      </c>
      <c r="H177">
        <v>1</v>
      </c>
    </row>
    <row r="178" spans="1:8" x14ac:dyDescent="0.3">
      <c r="A178" t="s">
        <v>101</v>
      </c>
      <c r="B178">
        <v>2020</v>
      </c>
      <c r="C178" t="s">
        <v>304</v>
      </c>
      <c r="D178" t="s">
        <v>305</v>
      </c>
      <c r="E178" t="s">
        <v>65</v>
      </c>
      <c r="F178">
        <v>7450</v>
      </c>
      <c r="G178" t="s">
        <v>66</v>
      </c>
      <c r="H178">
        <v>3</v>
      </c>
    </row>
    <row r="179" spans="1:8" x14ac:dyDescent="0.3">
      <c r="A179" t="s">
        <v>101</v>
      </c>
      <c r="B179">
        <v>2021</v>
      </c>
      <c r="C179" t="s">
        <v>304</v>
      </c>
      <c r="D179" t="s">
        <v>305</v>
      </c>
      <c r="E179" t="s">
        <v>65</v>
      </c>
      <c r="F179">
        <v>7450</v>
      </c>
      <c r="G179" t="s">
        <v>66</v>
      </c>
      <c r="H179">
        <v>1</v>
      </c>
    </row>
    <row r="180" spans="1:8" x14ac:dyDescent="0.3">
      <c r="A180" t="s">
        <v>193</v>
      </c>
      <c r="B180">
        <v>2016</v>
      </c>
      <c r="C180" t="s">
        <v>304</v>
      </c>
      <c r="D180" t="s">
        <v>305</v>
      </c>
      <c r="E180" t="s">
        <v>65</v>
      </c>
      <c r="F180">
        <v>8598</v>
      </c>
      <c r="G180" t="s">
        <v>66</v>
      </c>
      <c r="H180">
        <v>2</v>
      </c>
    </row>
    <row r="181" spans="1:8" x14ac:dyDescent="0.3">
      <c r="A181" t="s">
        <v>193</v>
      </c>
      <c r="B181">
        <v>2017</v>
      </c>
      <c r="C181" t="s">
        <v>304</v>
      </c>
      <c r="D181" t="s">
        <v>305</v>
      </c>
      <c r="E181" t="s">
        <v>65</v>
      </c>
      <c r="F181">
        <v>8598</v>
      </c>
      <c r="G181" t="s">
        <v>66</v>
      </c>
      <c r="H181">
        <v>1</v>
      </c>
    </row>
    <row r="182" spans="1:8" x14ac:dyDescent="0.3">
      <c r="A182" t="s">
        <v>193</v>
      </c>
      <c r="B182">
        <v>2020</v>
      </c>
      <c r="C182" t="s">
        <v>304</v>
      </c>
      <c r="D182" t="s">
        <v>305</v>
      </c>
      <c r="E182" t="s">
        <v>65</v>
      </c>
      <c r="F182">
        <v>8598</v>
      </c>
      <c r="G182" t="s">
        <v>66</v>
      </c>
      <c r="H182">
        <v>1</v>
      </c>
    </row>
    <row r="183" spans="1:8" x14ac:dyDescent="0.3">
      <c r="A183" t="s">
        <v>193</v>
      </c>
      <c r="B183">
        <v>2021</v>
      </c>
      <c r="C183" t="s">
        <v>304</v>
      </c>
      <c r="D183" t="s">
        <v>305</v>
      </c>
      <c r="E183" t="s">
        <v>65</v>
      </c>
      <c r="F183">
        <v>8598</v>
      </c>
      <c r="G183" t="s">
        <v>66</v>
      </c>
      <c r="H183">
        <v>3</v>
      </c>
    </row>
    <row r="184" spans="1:8" x14ac:dyDescent="0.3">
      <c r="A184" t="s">
        <v>102</v>
      </c>
      <c r="B184">
        <v>2014</v>
      </c>
      <c r="C184" t="s">
        <v>304</v>
      </c>
      <c r="D184" t="s">
        <v>305</v>
      </c>
      <c r="E184" t="s">
        <v>65</v>
      </c>
      <c r="F184">
        <v>9850</v>
      </c>
      <c r="G184" t="s">
        <v>66</v>
      </c>
      <c r="H184">
        <v>1</v>
      </c>
    </row>
    <row r="185" spans="1:8" x14ac:dyDescent="0.3">
      <c r="A185" t="s">
        <v>102</v>
      </c>
      <c r="B185">
        <v>2015</v>
      </c>
      <c r="C185" t="s">
        <v>304</v>
      </c>
      <c r="D185" t="s">
        <v>305</v>
      </c>
      <c r="E185" t="s">
        <v>65</v>
      </c>
      <c r="F185">
        <v>9850</v>
      </c>
      <c r="G185" t="s">
        <v>66</v>
      </c>
      <c r="H185">
        <v>1</v>
      </c>
    </row>
    <row r="186" spans="1:8" x14ac:dyDescent="0.3">
      <c r="A186" t="s">
        <v>102</v>
      </c>
      <c r="B186">
        <v>2016</v>
      </c>
      <c r="C186" t="s">
        <v>304</v>
      </c>
      <c r="D186" t="s">
        <v>305</v>
      </c>
      <c r="E186" t="s">
        <v>65</v>
      </c>
      <c r="F186">
        <v>9850</v>
      </c>
      <c r="G186" t="s">
        <v>66</v>
      </c>
      <c r="H186">
        <v>3</v>
      </c>
    </row>
    <row r="187" spans="1:8" x14ac:dyDescent="0.3">
      <c r="A187" t="s">
        <v>102</v>
      </c>
      <c r="B187">
        <v>2017</v>
      </c>
      <c r="C187" t="s">
        <v>304</v>
      </c>
      <c r="D187" t="s">
        <v>305</v>
      </c>
      <c r="E187" t="s">
        <v>65</v>
      </c>
      <c r="F187">
        <v>9850</v>
      </c>
      <c r="G187" t="s">
        <v>66</v>
      </c>
      <c r="H187">
        <v>2</v>
      </c>
    </row>
    <row r="188" spans="1:8" x14ac:dyDescent="0.3">
      <c r="A188" t="s">
        <v>102</v>
      </c>
      <c r="B188">
        <v>2019</v>
      </c>
      <c r="C188" t="s">
        <v>304</v>
      </c>
      <c r="D188" t="s">
        <v>305</v>
      </c>
      <c r="E188" t="s">
        <v>65</v>
      </c>
      <c r="F188">
        <v>9850</v>
      </c>
      <c r="G188" t="s">
        <v>66</v>
      </c>
      <c r="H188">
        <v>1</v>
      </c>
    </row>
    <row r="189" spans="1:8" x14ac:dyDescent="0.3">
      <c r="A189" t="s">
        <v>195</v>
      </c>
      <c r="B189">
        <v>2016</v>
      </c>
      <c r="C189" t="s">
        <v>304</v>
      </c>
      <c r="D189" t="s">
        <v>305</v>
      </c>
      <c r="E189" t="s">
        <v>65</v>
      </c>
      <c r="F189">
        <v>13227</v>
      </c>
      <c r="G189" t="s">
        <v>66</v>
      </c>
      <c r="H189">
        <v>1</v>
      </c>
    </row>
    <row r="190" spans="1:8" x14ac:dyDescent="0.3">
      <c r="A190" t="s">
        <v>195</v>
      </c>
      <c r="B190">
        <v>2017</v>
      </c>
      <c r="C190" t="s">
        <v>304</v>
      </c>
      <c r="D190" t="s">
        <v>305</v>
      </c>
      <c r="E190" t="s">
        <v>65</v>
      </c>
      <c r="F190">
        <v>13227</v>
      </c>
      <c r="G190" t="s">
        <v>66</v>
      </c>
      <c r="H190">
        <v>1</v>
      </c>
    </row>
    <row r="191" spans="1:8" x14ac:dyDescent="0.3">
      <c r="A191" t="s">
        <v>195</v>
      </c>
      <c r="B191">
        <v>2020</v>
      </c>
      <c r="C191" t="s">
        <v>304</v>
      </c>
      <c r="D191" t="s">
        <v>305</v>
      </c>
      <c r="E191" t="s">
        <v>65</v>
      </c>
      <c r="F191">
        <v>13227</v>
      </c>
      <c r="G191" t="s">
        <v>66</v>
      </c>
      <c r="H191">
        <v>1</v>
      </c>
    </row>
    <row r="192" spans="1:8" x14ac:dyDescent="0.3">
      <c r="A192" t="s">
        <v>196</v>
      </c>
      <c r="B192">
        <v>2019</v>
      </c>
      <c r="C192" t="s">
        <v>304</v>
      </c>
      <c r="D192" t="s">
        <v>305</v>
      </c>
      <c r="E192" t="s">
        <v>65</v>
      </c>
      <c r="F192">
        <v>7716</v>
      </c>
      <c r="G192" t="s">
        <v>66</v>
      </c>
      <c r="H192">
        <v>1</v>
      </c>
    </row>
    <row r="193" spans="1:8" x14ac:dyDescent="0.3">
      <c r="A193" t="s">
        <v>103</v>
      </c>
      <c r="B193">
        <v>2014</v>
      </c>
      <c r="C193" t="s">
        <v>304</v>
      </c>
      <c r="D193" t="s">
        <v>305</v>
      </c>
      <c r="E193" t="s">
        <v>65</v>
      </c>
      <c r="F193">
        <v>10700</v>
      </c>
      <c r="G193" t="s">
        <v>66</v>
      </c>
      <c r="H193">
        <v>3</v>
      </c>
    </row>
    <row r="194" spans="1:8" x14ac:dyDescent="0.3">
      <c r="A194" t="s">
        <v>103</v>
      </c>
      <c r="B194">
        <v>2015</v>
      </c>
      <c r="C194" t="s">
        <v>304</v>
      </c>
      <c r="D194" t="s">
        <v>305</v>
      </c>
      <c r="E194" t="s">
        <v>65</v>
      </c>
      <c r="F194">
        <v>10700</v>
      </c>
      <c r="G194" t="s">
        <v>66</v>
      </c>
      <c r="H194">
        <v>9</v>
      </c>
    </row>
    <row r="195" spans="1:8" x14ac:dyDescent="0.3">
      <c r="A195" t="s">
        <v>103</v>
      </c>
      <c r="B195">
        <v>2016</v>
      </c>
      <c r="C195" t="s">
        <v>304</v>
      </c>
      <c r="D195" t="s">
        <v>305</v>
      </c>
      <c r="E195" t="s">
        <v>65</v>
      </c>
      <c r="F195">
        <v>10700</v>
      </c>
      <c r="G195" t="s">
        <v>66</v>
      </c>
      <c r="H195">
        <v>7</v>
      </c>
    </row>
    <row r="196" spans="1:8" x14ac:dyDescent="0.3">
      <c r="A196" t="s">
        <v>103</v>
      </c>
      <c r="B196">
        <v>2017</v>
      </c>
      <c r="C196" t="s">
        <v>304</v>
      </c>
      <c r="D196" t="s">
        <v>305</v>
      </c>
      <c r="E196" t="s">
        <v>65</v>
      </c>
      <c r="F196">
        <v>10700</v>
      </c>
      <c r="G196" t="s">
        <v>66</v>
      </c>
      <c r="H196">
        <v>6</v>
      </c>
    </row>
    <row r="197" spans="1:8" x14ac:dyDescent="0.3">
      <c r="A197" t="s">
        <v>103</v>
      </c>
      <c r="B197">
        <v>2018</v>
      </c>
      <c r="C197" t="s">
        <v>304</v>
      </c>
      <c r="D197" t="s">
        <v>305</v>
      </c>
      <c r="E197" t="s">
        <v>65</v>
      </c>
      <c r="F197">
        <v>10700</v>
      </c>
      <c r="G197" t="s">
        <v>66</v>
      </c>
      <c r="H197">
        <v>3</v>
      </c>
    </row>
    <row r="198" spans="1:8" x14ac:dyDescent="0.3">
      <c r="A198" t="s">
        <v>103</v>
      </c>
      <c r="B198">
        <v>2019</v>
      </c>
      <c r="C198" t="s">
        <v>304</v>
      </c>
      <c r="D198" t="s">
        <v>305</v>
      </c>
      <c r="E198" t="s">
        <v>65</v>
      </c>
      <c r="F198">
        <v>10700</v>
      </c>
      <c r="G198" t="s">
        <v>66</v>
      </c>
      <c r="H198">
        <v>9</v>
      </c>
    </row>
    <row r="199" spans="1:8" x14ac:dyDescent="0.3">
      <c r="A199" t="s">
        <v>103</v>
      </c>
      <c r="B199">
        <v>2020</v>
      </c>
      <c r="C199" t="s">
        <v>304</v>
      </c>
      <c r="D199" t="s">
        <v>305</v>
      </c>
      <c r="E199" t="s">
        <v>65</v>
      </c>
      <c r="F199">
        <v>10700</v>
      </c>
      <c r="G199" t="s">
        <v>66</v>
      </c>
      <c r="H199">
        <v>9</v>
      </c>
    </row>
    <row r="200" spans="1:8" x14ac:dyDescent="0.3">
      <c r="A200" t="s">
        <v>103</v>
      </c>
      <c r="B200">
        <v>2021</v>
      </c>
      <c r="C200" t="s">
        <v>304</v>
      </c>
      <c r="D200" t="s">
        <v>305</v>
      </c>
      <c r="E200" t="s">
        <v>65</v>
      </c>
      <c r="F200">
        <v>10700</v>
      </c>
      <c r="G200" t="s">
        <v>66</v>
      </c>
      <c r="H200">
        <v>1</v>
      </c>
    </row>
    <row r="201" spans="1:8" x14ac:dyDescent="0.3">
      <c r="A201" t="s">
        <v>104</v>
      </c>
      <c r="B201">
        <v>2014</v>
      </c>
      <c r="C201" t="s">
        <v>304</v>
      </c>
      <c r="D201" t="s">
        <v>305</v>
      </c>
      <c r="E201" t="s">
        <v>65</v>
      </c>
      <c r="F201">
        <v>14800</v>
      </c>
      <c r="G201" t="s">
        <v>66</v>
      </c>
      <c r="H201">
        <v>5</v>
      </c>
    </row>
    <row r="202" spans="1:8" x14ac:dyDescent="0.3">
      <c r="A202" t="s">
        <v>104</v>
      </c>
      <c r="B202">
        <v>2015</v>
      </c>
      <c r="C202" t="s">
        <v>304</v>
      </c>
      <c r="D202" t="s">
        <v>305</v>
      </c>
      <c r="E202" t="s">
        <v>65</v>
      </c>
      <c r="F202">
        <v>14800</v>
      </c>
      <c r="G202" t="s">
        <v>66</v>
      </c>
      <c r="H202">
        <v>15</v>
      </c>
    </row>
    <row r="203" spans="1:8" x14ac:dyDescent="0.3">
      <c r="A203" t="s">
        <v>104</v>
      </c>
      <c r="B203">
        <v>2016</v>
      </c>
      <c r="C203" t="s">
        <v>304</v>
      </c>
      <c r="D203" t="s">
        <v>305</v>
      </c>
      <c r="E203" t="s">
        <v>65</v>
      </c>
      <c r="F203">
        <v>14800</v>
      </c>
      <c r="G203" t="s">
        <v>66</v>
      </c>
      <c r="H203">
        <v>13</v>
      </c>
    </row>
    <row r="204" spans="1:8" x14ac:dyDescent="0.3">
      <c r="A204" t="s">
        <v>104</v>
      </c>
      <c r="B204">
        <v>2017</v>
      </c>
      <c r="C204" t="s">
        <v>304</v>
      </c>
      <c r="D204" t="s">
        <v>305</v>
      </c>
      <c r="E204" t="s">
        <v>65</v>
      </c>
      <c r="F204">
        <v>14800</v>
      </c>
      <c r="G204" t="s">
        <v>66</v>
      </c>
      <c r="H204">
        <v>25</v>
      </c>
    </row>
    <row r="205" spans="1:8" x14ac:dyDescent="0.3">
      <c r="A205" t="s">
        <v>104</v>
      </c>
      <c r="B205">
        <v>2018</v>
      </c>
      <c r="C205" t="s">
        <v>304</v>
      </c>
      <c r="D205" t="s">
        <v>305</v>
      </c>
      <c r="E205" t="s">
        <v>65</v>
      </c>
      <c r="F205">
        <v>14800</v>
      </c>
      <c r="G205" t="s">
        <v>66</v>
      </c>
      <c r="H205">
        <v>14</v>
      </c>
    </row>
    <row r="206" spans="1:8" x14ac:dyDescent="0.3">
      <c r="A206" t="s">
        <v>105</v>
      </c>
      <c r="B206">
        <v>2015</v>
      </c>
      <c r="C206" t="s">
        <v>304</v>
      </c>
      <c r="D206" t="s">
        <v>305</v>
      </c>
      <c r="E206" t="s">
        <v>65</v>
      </c>
      <c r="F206">
        <v>16300</v>
      </c>
      <c r="G206" t="s">
        <v>66</v>
      </c>
      <c r="H206">
        <v>1</v>
      </c>
    </row>
    <row r="207" spans="1:8" x14ac:dyDescent="0.3">
      <c r="A207" t="s">
        <v>105</v>
      </c>
      <c r="B207">
        <v>2016</v>
      </c>
      <c r="C207" t="s">
        <v>304</v>
      </c>
      <c r="D207" t="s">
        <v>305</v>
      </c>
      <c r="E207" t="s">
        <v>65</v>
      </c>
      <c r="F207">
        <v>16300</v>
      </c>
      <c r="G207" t="s">
        <v>66</v>
      </c>
      <c r="H207">
        <v>3</v>
      </c>
    </row>
    <row r="208" spans="1:8" x14ac:dyDescent="0.3">
      <c r="A208" t="s">
        <v>105</v>
      </c>
      <c r="B208">
        <v>2017</v>
      </c>
      <c r="C208" t="s">
        <v>304</v>
      </c>
      <c r="D208" t="s">
        <v>305</v>
      </c>
      <c r="E208" t="s">
        <v>65</v>
      </c>
      <c r="F208">
        <v>16300</v>
      </c>
      <c r="G208" t="s">
        <v>66</v>
      </c>
      <c r="H208">
        <v>1</v>
      </c>
    </row>
    <row r="209" spans="1:8" x14ac:dyDescent="0.3">
      <c r="A209" t="s">
        <v>105</v>
      </c>
      <c r="B209">
        <v>2018</v>
      </c>
      <c r="C209" t="s">
        <v>304</v>
      </c>
      <c r="D209" t="s">
        <v>305</v>
      </c>
      <c r="E209" t="s">
        <v>65</v>
      </c>
      <c r="F209">
        <v>16300</v>
      </c>
      <c r="G209" t="s">
        <v>66</v>
      </c>
      <c r="H209">
        <v>2</v>
      </c>
    </row>
    <row r="210" spans="1:8" x14ac:dyDescent="0.3">
      <c r="A210" t="s">
        <v>105</v>
      </c>
      <c r="B210">
        <v>2019</v>
      </c>
      <c r="C210" t="s">
        <v>304</v>
      </c>
      <c r="D210" t="s">
        <v>305</v>
      </c>
      <c r="E210" t="s">
        <v>65</v>
      </c>
      <c r="F210">
        <v>16300</v>
      </c>
      <c r="G210" t="s">
        <v>66</v>
      </c>
      <c r="H210">
        <v>1</v>
      </c>
    </row>
    <row r="211" spans="1:8" x14ac:dyDescent="0.3">
      <c r="A211" t="s">
        <v>105</v>
      </c>
      <c r="B211">
        <v>2021</v>
      </c>
      <c r="C211" t="s">
        <v>304</v>
      </c>
      <c r="D211" t="s">
        <v>305</v>
      </c>
      <c r="E211" t="s">
        <v>65</v>
      </c>
      <c r="F211">
        <v>16300</v>
      </c>
      <c r="G211" t="s">
        <v>66</v>
      </c>
      <c r="H211">
        <v>4</v>
      </c>
    </row>
    <row r="212" spans="1:8" x14ac:dyDescent="0.3">
      <c r="A212" t="s">
        <v>106</v>
      </c>
      <c r="B212">
        <v>2014</v>
      </c>
      <c r="C212" t="s">
        <v>304</v>
      </c>
      <c r="D212" t="s">
        <v>305</v>
      </c>
      <c r="E212" t="s">
        <v>65</v>
      </c>
      <c r="F212">
        <v>15000</v>
      </c>
      <c r="G212" t="s">
        <v>66</v>
      </c>
      <c r="H212">
        <v>4</v>
      </c>
    </row>
    <row r="213" spans="1:8" x14ac:dyDescent="0.3">
      <c r="A213" t="s">
        <v>106</v>
      </c>
      <c r="B213">
        <v>2015</v>
      </c>
      <c r="C213" t="s">
        <v>304</v>
      </c>
      <c r="D213" t="s">
        <v>305</v>
      </c>
      <c r="E213" t="s">
        <v>65</v>
      </c>
      <c r="F213">
        <v>15000</v>
      </c>
      <c r="G213" t="s">
        <v>66</v>
      </c>
      <c r="H213">
        <v>9</v>
      </c>
    </row>
    <row r="214" spans="1:8" x14ac:dyDescent="0.3">
      <c r="A214" t="s">
        <v>106</v>
      </c>
      <c r="B214">
        <v>2016</v>
      </c>
      <c r="C214" t="s">
        <v>304</v>
      </c>
      <c r="D214" t="s">
        <v>305</v>
      </c>
      <c r="E214" t="s">
        <v>65</v>
      </c>
      <c r="F214">
        <v>15000</v>
      </c>
      <c r="G214" t="s">
        <v>66</v>
      </c>
      <c r="H214">
        <v>2</v>
      </c>
    </row>
    <row r="215" spans="1:8" x14ac:dyDescent="0.3">
      <c r="A215" t="s">
        <v>106</v>
      </c>
      <c r="B215">
        <v>2017</v>
      </c>
      <c r="C215" t="s">
        <v>304</v>
      </c>
      <c r="D215" t="s">
        <v>305</v>
      </c>
      <c r="E215" t="s">
        <v>65</v>
      </c>
      <c r="F215">
        <v>15000</v>
      </c>
      <c r="G215" t="s">
        <v>66</v>
      </c>
      <c r="H215">
        <v>3</v>
      </c>
    </row>
    <row r="216" spans="1:8" x14ac:dyDescent="0.3">
      <c r="A216" t="s">
        <v>106</v>
      </c>
      <c r="B216">
        <v>2019</v>
      </c>
      <c r="C216" t="s">
        <v>304</v>
      </c>
      <c r="D216" t="s">
        <v>305</v>
      </c>
      <c r="E216" t="s">
        <v>65</v>
      </c>
      <c r="F216">
        <v>15000</v>
      </c>
      <c r="G216" t="s">
        <v>66</v>
      </c>
      <c r="H216">
        <v>3</v>
      </c>
    </row>
    <row r="217" spans="1:8" x14ac:dyDescent="0.3">
      <c r="A217" t="s">
        <v>107</v>
      </c>
      <c r="B217">
        <v>2018</v>
      </c>
      <c r="C217" t="s">
        <v>304</v>
      </c>
      <c r="D217" t="s">
        <v>305</v>
      </c>
      <c r="E217" t="s">
        <v>65</v>
      </c>
      <c r="F217">
        <v>22002</v>
      </c>
      <c r="G217" t="s">
        <v>72</v>
      </c>
      <c r="H217">
        <v>2</v>
      </c>
    </row>
    <row r="218" spans="1:8" x14ac:dyDescent="0.3">
      <c r="A218" t="s">
        <v>198</v>
      </c>
      <c r="B218">
        <v>2017</v>
      </c>
      <c r="C218" t="s">
        <v>304</v>
      </c>
      <c r="D218" t="s">
        <v>305</v>
      </c>
      <c r="E218" t="s">
        <v>65</v>
      </c>
      <c r="F218">
        <v>30000</v>
      </c>
      <c r="G218" t="s">
        <v>72</v>
      </c>
      <c r="H218">
        <v>4</v>
      </c>
    </row>
    <row r="219" spans="1:8" x14ac:dyDescent="0.3">
      <c r="A219" t="s">
        <v>198</v>
      </c>
      <c r="B219">
        <v>2019</v>
      </c>
      <c r="C219" t="s">
        <v>304</v>
      </c>
      <c r="D219" t="s">
        <v>305</v>
      </c>
      <c r="E219" t="s">
        <v>65</v>
      </c>
      <c r="F219">
        <v>30000</v>
      </c>
      <c r="G219" t="s">
        <v>72</v>
      </c>
      <c r="H219">
        <v>24</v>
      </c>
    </row>
    <row r="220" spans="1:8" x14ac:dyDescent="0.3">
      <c r="A220" t="s">
        <v>198</v>
      </c>
      <c r="B220">
        <v>2020</v>
      </c>
      <c r="C220" t="s">
        <v>304</v>
      </c>
      <c r="D220" t="s">
        <v>305</v>
      </c>
      <c r="E220" t="s">
        <v>65</v>
      </c>
      <c r="F220">
        <v>30000</v>
      </c>
      <c r="G220" t="s">
        <v>72</v>
      </c>
      <c r="H220">
        <v>2</v>
      </c>
    </row>
    <row r="221" spans="1:8" x14ac:dyDescent="0.3">
      <c r="A221" t="s">
        <v>198</v>
      </c>
      <c r="B221">
        <v>2021</v>
      </c>
      <c r="C221" t="s">
        <v>304</v>
      </c>
      <c r="D221" t="s">
        <v>305</v>
      </c>
      <c r="E221" t="s">
        <v>65</v>
      </c>
      <c r="F221">
        <v>30000</v>
      </c>
      <c r="G221" t="s">
        <v>72</v>
      </c>
      <c r="H221">
        <v>1</v>
      </c>
    </row>
    <row r="222" spans="1:8" x14ac:dyDescent="0.3">
      <c r="A222" t="s">
        <v>199</v>
      </c>
      <c r="B222">
        <v>2018</v>
      </c>
      <c r="C222" t="s">
        <v>304</v>
      </c>
      <c r="D222" t="s">
        <v>305</v>
      </c>
      <c r="E222" t="s">
        <v>65</v>
      </c>
      <c r="F222">
        <v>30800</v>
      </c>
      <c r="G222" t="s">
        <v>72</v>
      </c>
      <c r="H222">
        <v>1</v>
      </c>
    </row>
    <row r="223" spans="1:8" x14ac:dyDescent="0.3">
      <c r="A223" t="s">
        <v>199</v>
      </c>
      <c r="B223">
        <v>2020</v>
      </c>
      <c r="C223" t="s">
        <v>304</v>
      </c>
      <c r="D223" t="s">
        <v>305</v>
      </c>
      <c r="E223" t="s">
        <v>65</v>
      </c>
      <c r="F223">
        <v>30800</v>
      </c>
      <c r="G223" t="s">
        <v>72</v>
      </c>
      <c r="H223">
        <v>1</v>
      </c>
    </row>
    <row r="224" spans="1:8" x14ac:dyDescent="0.3">
      <c r="A224" t="s">
        <v>108</v>
      </c>
      <c r="B224">
        <v>2014</v>
      </c>
      <c r="C224" t="s">
        <v>304</v>
      </c>
      <c r="D224" t="s">
        <v>305</v>
      </c>
      <c r="E224" t="s">
        <v>65</v>
      </c>
      <c r="F224">
        <v>37478</v>
      </c>
      <c r="G224" t="s">
        <v>72</v>
      </c>
      <c r="H224">
        <v>1</v>
      </c>
    </row>
    <row r="225" spans="1:8" x14ac:dyDescent="0.3">
      <c r="A225" t="s">
        <v>108</v>
      </c>
      <c r="B225">
        <v>2016</v>
      </c>
      <c r="C225" t="s">
        <v>304</v>
      </c>
      <c r="D225" t="s">
        <v>305</v>
      </c>
      <c r="E225" t="s">
        <v>65</v>
      </c>
      <c r="F225">
        <v>37478</v>
      </c>
      <c r="G225" t="s">
        <v>72</v>
      </c>
      <c r="H225">
        <v>1</v>
      </c>
    </row>
    <row r="226" spans="1:8" x14ac:dyDescent="0.3">
      <c r="A226" t="s">
        <v>108</v>
      </c>
      <c r="B226">
        <v>2017</v>
      </c>
      <c r="C226" t="s">
        <v>304</v>
      </c>
      <c r="D226" t="s">
        <v>305</v>
      </c>
      <c r="E226" t="s">
        <v>65</v>
      </c>
      <c r="F226">
        <v>37478</v>
      </c>
      <c r="G226" t="s">
        <v>72</v>
      </c>
      <c r="H226">
        <v>1</v>
      </c>
    </row>
    <row r="227" spans="1:8" x14ac:dyDescent="0.3">
      <c r="A227" t="s">
        <v>108</v>
      </c>
      <c r="B227">
        <v>2021</v>
      </c>
      <c r="C227" t="s">
        <v>304</v>
      </c>
      <c r="D227" t="s">
        <v>305</v>
      </c>
      <c r="E227" t="s">
        <v>65</v>
      </c>
      <c r="F227">
        <v>37478</v>
      </c>
      <c r="G227" t="s">
        <v>72</v>
      </c>
      <c r="H227">
        <v>1</v>
      </c>
    </row>
    <row r="228" spans="1:8" x14ac:dyDescent="0.3">
      <c r="A228" t="s">
        <v>202</v>
      </c>
      <c r="B228">
        <v>2021</v>
      </c>
      <c r="C228" t="s">
        <v>304</v>
      </c>
      <c r="D228" t="s">
        <v>305</v>
      </c>
      <c r="E228" t="s">
        <v>65</v>
      </c>
      <c r="F228">
        <v>40600</v>
      </c>
      <c r="G228" t="s">
        <v>72</v>
      </c>
      <c r="H228">
        <v>1</v>
      </c>
    </row>
    <row r="229" spans="1:8" x14ac:dyDescent="0.3">
      <c r="A229" t="s">
        <v>109</v>
      </c>
      <c r="B229">
        <v>2014</v>
      </c>
      <c r="C229" t="s">
        <v>304</v>
      </c>
      <c r="D229" t="s">
        <v>305</v>
      </c>
      <c r="E229" t="s">
        <v>65</v>
      </c>
      <c r="F229">
        <v>3600</v>
      </c>
      <c r="G229" t="s">
        <v>66</v>
      </c>
      <c r="H229">
        <v>5</v>
      </c>
    </row>
    <row r="230" spans="1:8" x14ac:dyDescent="0.3">
      <c r="A230" t="s">
        <v>109</v>
      </c>
      <c r="B230">
        <v>2015</v>
      </c>
      <c r="C230" t="s">
        <v>304</v>
      </c>
      <c r="D230" t="s">
        <v>305</v>
      </c>
      <c r="E230" t="s">
        <v>65</v>
      </c>
      <c r="F230">
        <v>3600</v>
      </c>
      <c r="G230" t="s">
        <v>66</v>
      </c>
      <c r="H230">
        <v>12</v>
      </c>
    </row>
    <row r="231" spans="1:8" x14ac:dyDescent="0.3">
      <c r="A231" t="s">
        <v>109</v>
      </c>
      <c r="B231">
        <v>2016</v>
      </c>
      <c r="C231" t="s">
        <v>304</v>
      </c>
      <c r="D231" t="s">
        <v>305</v>
      </c>
      <c r="E231" t="s">
        <v>65</v>
      </c>
      <c r="F231">
        <v>3600</v>
      </c>
      <c r="G231" t="s">
        <v>66</v>
      </c>
      <c r="H231">
        <v>9</v>
      </c>
    </row>
    <row r="232" spans="1:8" x14ac:dyDescent="0.3">
      <c r="A232" t="s">
        <v>109</v>
      </c>
      <c r="B232">
        <v>2017</v>
      </c>
      <c r="C232" t="s">
        <v>304</v>
      </c>
      <c r="D232" t="s">
        <v>305</v>
      </c>
      <c r="E232" t="s">
        <v>65</v>
      </c>
      <c r="F232">
        <v>3600</v>
      </c>
      <c r="G232" t="s">
        <v>66</v>
      </c>
      <c r="H232">
        <v>1</v>
      </c>
    </row>
    <row r="233" spans="1:8" x14ac:dyDescent="0.3">
      <c r="A233" t="s">
        <v>109</v>
      </c>
      <c r="B233">
        <v>2020</v>
      </c>
      <c r="C233" t="s">
        <v>304</v>
      </c>
      <c r="D233" t="s">
        <v>305</v>
      </c>
      <c r="E233" t="s">
        <v>65</v>
      </c>
      <c r="F233">
        <v>3600</v>
      </c>
      <c r="G233" t="s">
        <v>66</v>
      </c>
      <c r="H233">
        <v>1</v>
      </c>
    </row>
    <row r="234" spans="1:8" x14ac:dyDescent="0.3">
      <c r="A234" t="s">
        <v>112</v>
      </c>
      <c r="B234">
        <v>2020</v>
      </c>
      <c r="C234" t="s">
        <v>304</v>
      </c>
      <c r="D234" t="s">
        <v>305</v>
      </c>
      <c r="E234" t="s">
        <v>65</v>
      </c>
      <c r="F234">
        <v>2888</v>
      </c>
      <c r="G234" t="s">
        <v>66</v>
      </c>
      <c r="H234">
        <v>1</v>
      </c>
    </row>
    <row r="235" spans="1:8" x14ac:dyDescent="0.3">
      <c r="A235" t="s">
        <v>112</v>
      </c>
      <c r="B235">
        <v>2021</v>
      </c>
      <c r="C235" t="s">
        <v>304</v>
      </c>
      <c r="D235" t="s">
        <v>305</v>
      </c>
      <c r="E235" t="s">
        <v>65</v>
      </c>
      <c r="F235">
        <v>2888</v>
      </c>
      <c r="G235" t="s">
        <v>66</v>
      </c>
      <c r="H235">
        <v>1</v>
      </c>
    </row>
    <row r="236" spans="1:8" x14ac:dyDescent="0.3">
      <c r="A236" t="s">
        <v>113</v>
      </c>
      <c r="B236">
        <v>2020</v>
      </c>
      <c r="C236" t="s">
        <v>304</v>
      </c>
      <c r="D236" t="s">
        <v>305</v>
      </c>
      <c r="E236" t="s">
        <v>65</v>
      </c>
      <c r="F236">
        <v>4407</v>
      </c>
      <c r="G236" t="s">
        <v>66</v>
      </c>
      <c r="H236">
        <v>1</v>
      </c>
    </row>
    <row r="237" spans="1:8" x14ac:dyDescent="0.3">
      <c r="A237" t="s">
        <v>113</v>
      </c>
      <c r="B237">
        <v>2021</v>
      </c>
      <c r="C237" t="s">
        <v>304</v>
      </c>
      <c r="D237" t="s">
        <v>305</v>
      </c>
      <c r="E237" t="s">
        <v>65</v>
      </c>
      <c r="F237">
        <v>4407</v>
      </c>
      <c r="G237" t="s">
        <v>66</v>
      </c>
      <c r="H237">
        <v>3</v>
      </c>
    </row>
    <row r="238" spans="1:8" x14ac:dyDescent="0.3">
      <c r="A238" t="s">
        <v>295</v>
      </c>
      <c r="B238">
        <v>2014</v>
      </c>
      <c r="C238" t="s">
        <v>304</v>
      </c>
      <c r="D238" t="s">
        <v>305</v>
      </c>
      <c r="E238" t="s">
        <v>65</v>
      </c>
      <c r="F238">
        <v>4350</v>
      </c>
      <c r="G238" t="s">
        <v>66</v>
      </c>
      <c r="H238">
        <v>1</v>
      </c>
    </row>
    <row r="239" spans="1:8" x14ac:dyDescent="0.3">
      <c r="A239" t="s">
        <v>295</v>
      </c>
      <c r="B239">
        <v>2016</v>
      </c>
      <c r="C239" t="s">
        <v>304</v>
      </c>
      <c r="D239" t="s">
        <v>305</v>
      </c>
      <c r="E239" t="s">
        <v>65</v>
      </c>
      <c r="F239">
        <v>4350</v>
      </c>
      <c r="G239" t="s">
        <v>66</v>
      </c>
      <c r="H239">
        <v>1</v>
      </c>
    </row>
    <row r="240" spans="1:8" x14ac:dyDescent="0.3">
      <c r="A240" t="s">
        <v>116</v>
      </c>
      <c r="B240">
        <v>2015</v>
      </c>
      <c r="C240" t="s">
        <v>304</v>
      </c>
      <c r="D240" t="s">
        <v>305</v>
      </c>
      <c r="E240" t="s">
        <v>65</v>
      </c>
      <c r="F240">
        <v>10471</v>
      </c>
      <c r="G240" t="s">
        <v>66</v>
      </c>
      <c r="H240">
        <v>2</v>
      </c>
    </row>
    <row r="241" spans="1:8" x14ac:dyDescent="0.3">
      <c r="A241" t="s">
        <v>116</v>
      </c>
      <c r="B241">
        <v>2017</v>
      </c>
      <c r="C241" t="s">
        <v>304</v>
      </c>
      <c r="D241" t="s">
        <v>305</v>
      </c>
      <c r="E241" t="s">
        <v>65</v>
      </c>
      <c r="F241">
        <v>10471</v>
      </c>
      <c r="G241" t="s">
        <v>66</v>
      </c>
      <c r="H241">
        <v>1</v>
      </c>
    </row>
    <row r="242" spans="1:8" x14ac:dyDescent="0.3">
      <c r="A242" t="s">
        <v>116</v>
      </c>
      <c r="B242">
        <v>2019</v>
      </c>
      <c r="C242" t="s">
        <v>304</v>
      </c>
      <c r="D242" t="s">
        <v>305</v>
      </c>
      <c r="E242" t="s">
        <v>65</v>
      </c>
      <c r="F242">
        <v>10471</v>
      </c>
      <c r="G242" t="s">
        <v>66</v>
      </c>
      <c r="H242">
        <v>1</v>
      </c>
    </row>
    <row r="243" spans="1:8" x14ac:dyDescent="0.3">
      <c r="A243" t="s">
        <v>218</v>
      </c>
      <c r="B243">
        <v>2015</v>
      </c>
      <c r="C243" t="s">
        <v>304</v>
      </c>
      <c r="D243" t="s">
        <v>305</v>
      </c>
      <c r="E243" t="s">
        <v>65</v>
      </c>
      <c r="F243">
        <v>17528</v>
      </c>
      <c r="G243" t="s">
        <v>66</v>
      </c>
      <c r="H243">
        <v>1</v>
      </c>
    </row>
    <row r="244" spans="1:8" x14ac:dyDescent="0.3">
      <c r="A244" t="s">
        <v>218</v>
      </c>
      <c r="B244">
        <v>2018</v>
      </c>
      <c r="C244" t="s">
        <v>304</v>
      </c>
      <c r="D244" t="s">
        <v>305</v>
      </c>
      <c r="E244" t="s">
        <v>65</v>
      </c>
      <c r="F244">
        <v>17528</v>
      </c>
      <c r="G244" t="s">
        <v>66</v>
      </c>
      <c r="H244">
        <v>1</v>
      </c>
    </row>
    <row r="245" spans="1:8" x14ac:dyDescent="0.3">
      <c r="A245" t="s">
        <v>218</v>
      </c>
      <c r="B245">
        <v>2019</v>
      </c>
      <c r="C245" t="s">
        <v>304</v>
      </c>
      <c r="D245" t="s">
        <v>305</v>
      </c>
      <c r="E245" t="s">
        <v>65</v>
      </c>
      <c r="F245">
        <v>17528</v>
      </c>
      <c r="G245" t="s">
        <v>66</v>
      </c>
      <c r="H245">
        <v>4</v>
      </c>
    </row>
    <row r="246" spans="1:8" x14ac:dyDescent="0.3">
      <c r="A246" t="s">
        <v>117</v>
      </c>
      <c r="B246">
        <v>2017</v>
      </c>
      <c r="C246" t="s">
        <v>304</v>
      </c>
      <c r="D246" t="s">
        <v>305</v>
      </c>
      <c r="E246" t="s">
        <v>65</v>
      </c>
      <c r="F246">
        <v>39595</v>
      </c>
      <c r="G246" t="s">
        <v>66</v>
      </c>
      <c r="H246">
        <v>1</v>
      </c>
    </row>
    <row r="247" spans="1:8" x14ac:dyDescent="0.3">
      <c r="A247" t="s">
        <v>117</v>
      </c>
      <c r="B247">
        <v>2018</v>
      </c>
      <c r="C247" t="s">
        <v>304</v>
      </c>
      <c r="D247" t="s">
        <v>305</v>
      </c>
      <c r="E247" t="s">
        <v>65</v>
      </c>
      <c r="F247">
        <v>39595</v>
      </c>
      <c r="G247" t="s">
        <v>66</v>
      </c>
      <c r="H247">
        <v>1</v>
      </c>
    </row>
    <row r="248" spans="1:8" x14ac:dyDescent="0.3">
      <c r="A248" t="s">
        <v>117</v>
      </c>
      <c r="B248">
        <v>2019</v>
      </c>
      <c r="C248" t="s">
        <v>304</v>
      </c>
      <c r="D248" t="s">
        <v>305</v>
      </c>
      <c r="E248" t="s">
        <v>65</v>
      </c>
      <c r="F248">
        <v>39595</v>
      </c>
      <c r="G248" t="s">
        <v>66</v>
      </c>
      <c r="H248">
        <v>1</v>
      </c>
    </row>
    <row r="249" spans="1:8" x14ac:dyDescent="0.3">
      <c r="A249" t="s">
        <v>117</v>
      </c>
      <c r="B249">
        <v>2020</v>
      </c>
      <c r="C249" t="s">
        <v>304</v>
      </c>
      <c r="D249" t="s">
        <v>305</v>
      </c>
      <c r="E249" t="s">
        <v>65</v>
      </c>
      <c r="F249">
        <v>39595</v>
      </c>
      <c r="G249" t="s">
        <v>66</v>
      </c>
      <c r="H249">
        <v>1</v>
      </c>
    </row>
    <row r="250" spans="1:8" x14ac:dyDescent="0.3">
      <c r="A250" t="s">
        <v>117</v>
      </c>
      <c r="B250">
        <v>2021</v>
      </c>
      <c r="C250" t="s">
        <v>304</v>
      </c>
      <c r="D250" t="s">
        <v>305</v>
      </c>
      <c r="E250" t="s">
        <v>65</v>
      </c>
      <c r="F250">
        <v>39595</v>
      </c>
      <c r="G250" t="s">
        <v>66</v>
      </c>
      <c r="H250">
        <v>1</v>
      </c>
    </row>
    <row r="251" spans="1:8" x14ac:dyDescent="0.3">
      <c r="A251" t="s">
        <v>306</v>
      </c>
      <c r="B251">
        <v>2021</v>
      </c>
      <c r="C251" t="s">
        <v>304</v>
      </c>
      <c r="D251" t="s">
        <v>305</v>
      </c>
      <c r="E251" t="s">
        <v>65</v>
      </c>
      <c r="F251">
        <v>1261</v>
      </c>
      <c r="G251" t="s">
        <v>66</v>
      </c>
      <c r="H251">
        <v>1</v>
      </c>
    </row>
    <row r="252" spans="1:8" x14ac:dyDescent="0.3">
      <c r="A252" t="s">
        <v>119</v>
      </c>
      <c r="B252">
        <v>2015</v>
      </c>
      <c r="C252" t="s">
        <v>304</v>
      </c>
      <c r="D252" t="s">
        <v>305</v>
      </c>
      <c r="E252" t="s">
        <v>65</v>
      </c>
      <c r="F252">
        <v>34833</v>
      </c>
      <c r="G252" t="s">
        <v>72</v>
      </c>
      <c r="H252">
        <v>1</v>
      </c>
    </row>
    <row r="253" spans="1:8" x14ac:dyDescent="0.3">
      <c r="A253" t="s">
        <v>226</v>
      </c>
      <c r="B253">
        <v>2015</v>
      </c>
      <c r="C253" t="s">
        <v>304</v>
      </c>
      <c r="D253" t="s">
        <v>305</v>
      </c>
      <c r="E253" t="s">
        <v>65</v>
      </c>
      <c r="F253">
        <v>38801</v>
      </c>
      <c r="G253" t="s">
        <v>66</v>
      </c>
      <c r="H253">
        <v>1</v>
      </c>
    </row>
    <row r="254" spans="1:8" x14ac:dyDescent="0.3">
      <c r="A254" t="s">
        <v>228</v>
      </c>
      <c r="B254">
        <v>2020</v>
      </c>
      <c r="C254" t="s">
        <v>304</v>
      </c>
      <c r="D254" t="s">
        <v>305</v>
      </c>
      <c r="E254" t="s">
        <v>65</v>
      </c>
      <c r="F254">
        <v>26100</v>
      </c>
      <c r="G254" t="s">
        <v>72</v>
      </c>
      <c r="H254">
        <v>1</v>
      </c>
    </row>
    <row r="255" spans="1:8" x14ac:dyDescent="0.3">
      <c r="A255" t="s">
        <v>230</v>
      </c>
      <c r="B255">
        <v>2014</v>
      </c>
      <c r="C255" t="s">
        <v>304</v>
      </c>
      <c r="D255" t="s">
        <v>305</v>
      </c>
      <c r="E255" t="s">
        <v>65</v>
      </c>
      <c r="F255">
        <v>33289</v>
      </c>
      <c r="G255" t="s">
        <v>72</v>
      </c>
      <c r="H255">
        <v>4</v>
      </c>
    </row>
    <row r="256" spans="1:8" x14ac:dyDescent="0.3">
      <c r="A256" t="s">
        <v>230</v>
      </c>
      <c r="B256">
        <v>2015</v>
      </c>
      <c r="C256" t="s">
        <v>304</v>
      </c>
      <c r="D256" t="s">
        <v>305</v>
      </c>
      <c r="E256" t="s">
        <v>65</v>
      </c>
      <c r="F256">
        <v>33289</v>
      </c>
      <c r="G256" t="s">
        <v>72</v>
      </c>
      <c r="H256">
        <v>12</v>
      </c>
    </row>
    <row r="257" spans="1:8" x14ac:dyDescent="0.3">
      <c r="A257" t="s">
        <v>230</v>
      </c>
      <c r="B257">
        <v>2016</v>
      </c>
      <c r="C257" t="s">
        <v>304</v>
      </c>
      <c r="D257" t="s">
        <v>305</v>
      </c>
      <c r="E257" t="s">
        <v>65</v>
      </c>
      <c r="F257">
        <v>33289</v>
      </c>
      <c r="G257" t="s">
        <v>72</v>
      </c>
      <c r="H257">
        <v>8</v>
      </c>
    </row>
    <row r="258" spans="1:8" x14ac:dyDescent="0.3">
      <c r="A258" t="s">
        <v>230</v>
      </c>
      <c r="B258">
        <v>2017</v>
      </c>
      <c r="C258" t="s">
        <v>304</v>
      </c>
      <c r="D258" t="s">
        <v>305</v>
      </c>
      <c r="E258" t="s">
        <v>65</v>
      </c>
      <c r="F258">
        <v>33289</v>
      </c>
      <c r="G258" t="s">
        <v>72</v>
      </c>
      <c r="H258">
        <v>59</v>
      </c>
    </row>
    <row r="259" spans="1:8" x14ac:dyDescent="0.3">
      <c r="A259" t="s">
        <v>230</v>
      </c>
      <c r="B259">
        <v>2018</v>
      </c>
      <c r="C259" t="s">
        <v>304</v>
      </c>
      <c r="D259" t="s">
        <v>305</v>
      </c>
      <c r="E259" t="s">
        <v>65</v>
      </c>
      <c r="F259">
        <v>33289</v>
      </c>
      <c r="G259" t="s">
        <v>72</v>
      </c>
      <c r="H259">
        <v>53</v>
      </c>
    </row>
    <row r="260" spans="1:8" x14ac:dyDescent="0.3">
      <c r="A260" t="s">
        <v>230</v>
      </c>
      <c r="B260">
        <v>2019</v>
      </c>
      <c r="C260" t="s">
        <v>304</v>
      </c>
      <c r="D260" t="s">
        <v>305</v>
      </c>
      <c r="E260" t="s">
        <v>65</v>
      </c>
      <c r="F260">
        <v>33289</v>
      </c>
      <c r="G260" t="s">
        <v>72</v>
      </c>
      <c r="H260">
        <v>6</v>
      </c>
    </row>
    <row r="261" spans="1:8" x14ac:dyDescent="0.3">
      <c r="A261" t="s">
        <v>230</v>
      </c>
      <c r="B261">
        <v>2021</v>
      </c>
      <c r="C261" t="s">
        <v>304</v>
      </c>
      <c r="D261" t="s">
        <v>305</v>
      </c>
      <c r="E261" t="s">
        <v>65</v>
      </c>
      <c r="F261">
        <v>33289</v>
      </c>
      <c r="G261" t="s">
        <v>72</v>
      </c>
      <c r="H261">
        <v>1</v>
      </c>
    </row>
    <row r="262" spans="1:8" x14ac:dyDescent="0.3">
      <c r="A262" t="s">
        <v>120</v>
      </c>
      <c r="B262">
        <v>2015</v>
      </c>
      <c r="C262" t="s">
        <v>304</v>
      </c>
      <c r="D262" t="s">
        <v>305</v>
      </c>
      <c r="E262" t="s">
        <v>65</v>
      </c>
      <c r="F262">
        <v>28000</v>
      </c>
      <c r="G262" t="s">
        <v>72</v>
      </c>
      <c r="H262">
        <v>2</v>
      </c>
    </row>
    <row r="263" spans="1:8" x14ac:dyDescent="0.3">
      <c r="A263" t="s">
        <v>120</v>
      </c>
      <c r="B263">
        <v>2016</v>
      </c>
      <c r="C263" t="s">
        <v>304</v>
      </c>
      <c r="D263" t="s">
        <v>305</v>
      </c>
      <c r="E263" t="s">
        <v>65</v>
      </c>
      <c r="F263">
        <v>28000</v>
      </c>
      <c r="G263" t="s">
        <v>72</v>
      </c>
      <c r="H263">
        <v>3</v>
      </c>
    </row>
    <row r="264" spans="1:8" x14ac:dyDescent="0.3">
      <c r="A264" t="s">
        <v>120</v>
      </c>
      <c r="B264">
        <v>2017</v>
      </c>
      <c r="C264" t="s">
        <v>304</v>
      </c>
      <c r="D264" t="s">
        <v>305</v>
      </c>
      <c r="E264" t="s">
        <v>65</v>
      </c>
      <c r="F264">
        <v>28000</v>
      </c>
      <c r="G264" t="s">
        <v>72</v>
      </c>
      <c r="H264">
        <v>5</v>
      </c>
    </row>
    <row r="265" spans="1:8" x14ac:dyDescent="0.3">
      <c r="A265" t="s">
        <v>120</v>
      </c>
      <c r="B265">
        <v>2018</v>
      </c>
      <c r="C265" t="s">
        <v>304</v>
      </c>
      <c r="D265" t="s">
        <v>305</v>
      </c>
      <c r="E265" t="s">
        <v>65</v>
      </c>
      <c r="F265">
        <v>28000</v>
      </c>
      <c r="G265" t="s">
        <v>72</v>
      </c>
      <c r="H265">
        <v>5</v>
      </c>
    </row>
    <row r="266" spans="1:8" x14ac:dyDescent="0.3">
      <c r="A266" t="s">
        <v>120</v>
      </c>
      <c r="B266">
        <v>2020</v>
      </c>
      <c r="C266" t="s">
        <v>304</v>
      </c>
      <c r="D266" t="s">
        <v>305</v>
      </c>
      <c r="E266" t="s">
        <v>65</v>
      </c>
      <c r="F266">
        <v>28000</v>
      </c>
      <c r="G266" t="s">
        <v>72</v>
      </c>
      <c r="H266">
        <v>1</v>
      </c>
    </row>
    <row r="267" spans="1:8" x14ac:dyDescent="0.3">
      <c r="A267" t="s">
        <v>120</v>
      </c>
      <c r="B267">
        <v>2021</v>
      </c>
      <c r="C267" t="s">
        <v>304</v>
      </c>
      <c r="D267" t="s">
        <v>305</v>
      </c>
      <c r="E267" t="s">
        <v>65</v>
      </c>
      <c r="F267">
        <v>28000</v>
      </c>
      <c r="G267" t="s">
        <v>72</v>
      </c>
      <c r="H267">
        <v>1</v>
      </c>
    </row>
    <row r="268" spans="1:8" x14ac:dyDescent="0.3">
      <c r="A268" t="s">
        <v>236</v>
      </c>
      <c r="B268">
        <v>2019</v>
      </c>
      <c r="C268" t="s">
        <v>304</v>
      </c>
      <c r="D268" t="s">
        <v>305</v>
      </c>
      <c r="E268" t="s">
        <v>65</v>
      </c>
      <c r="F268">
        <v>9963</v>
      </c>
      <c r="G268" t="s">
        <v>66</v>
      </c>
      <c r="H268">
        <v>2</v>
      </c>
    </row>
    <row r="269" spans="1:8" x14ac:dyDescent="0.3">
      <c r="A269" t="s">
        <v>242</v>
      </c>
      <c r="B269">
        <v>2017</v>
      </c>
      <c r="C269" t="s">
        <v>304</v>
      </c>
      <c r="D269" t="s">
        <v>305</v>
      </c>
      <c r="E269" t="s">
        <v>65</v>
      </c>
      <c r="F269">
        <v>18000</v>
      </c>
      <c r="G269" t="s">
        <v>72</v>
      </c>
      <c r="H269">
        <v>2</v>
      </c>
    </row>
    <row r="270" spans="1:8" x14ac:dyDescent="0.3">
      <c r="A270" t="s">
        <v>242</v>
      </c>
      <c r="B270">
        <v>2018</v>
      </c>
      <c r="C270" t="s">
        <v>304</v>
      </c>
      <c r="D270" t="s">
        <v>305</v>
      </c>
      <c r="E270" t="s">
        <v>65</v>
      </c>
      <c r="F270">
        <v>18000</v>
      </c>
      <c r="G270" t="s">
        <v>72</v>
      </c>
      <c r="H270">
        <v>1</v>
      </c>
    </row>
    <row r="271" spans="1:8" x14ac:dyDescent="0.3">
      <c r="A271" t="s">
        <v>121</v>
      </c>
      <c r="B271">
        <v>2017</v>
      </c>
      <c r="C271" t="s">
        <v>304</v>
      </c>
      <c r="D271" t="s">
        <v>305</v>
      </c>
      <c r="E271" t="s">
        <v>65</v>
      </c>
      <c r="F271">
        <v>21500</v>
      </c>
      <c r="G271" t="s">
        <v>72</v>
      </c>
      <c r="H271">
        <v>1</v>
      </c>
    </row>
    <row r="272" spans="1:8" x14ac:dyDescent="0.3">
      <c r="A272" t="s">
        <v>121</v>
      </c>
      <c r="B272">
        <v>2018</v>
      </c>
      <c r="C272" t="s">
        <v>304</v>
      </c>
      <c r="D272" t="s">
        <v>305</v>
      </c>
      <c r="E272" t="s">
        <v>65</v>
      </c>
      <c r="F272">
        <v>21500</v>
      </c>
      <c r="G272" t="s">
        <v>72</v>
      </c>
      <c r="H272">
        <v>1</v>
      </c>
    </row>
    <row r="273" spans="1:8" x14ac:dyDescent="0.3">
      <c r="A273" t="s">
        <v>243</v>
      </c>
      <c r="B273">
        <v>2015</v>
      </c>
      <c r="C273" t="s">
        <v>304</v>
      </c>
      <c r="D273" t="s">
        <v>305</v>
      </c>
      <c r="E273" t="s">
        <v>65</v>
      </c>
      <c r="F273">
        <v>23500</v>
      </c>
      <c r="G273" t="s">
        <v>72</v>
      </c>
      <c r="H273">
        <v>1</v>
      </c>
    </row>
    <row r="274" spans="1:8" x14ac:dyDescent="0.3">
      <c r="A274" t="s">
        <v>243</v>
      </c>
      <c r="B274">
        <v>2017</v>
      </c>
      <c r="C274" t="s">
        <v>304</v>
      </c>
      <c r="D274" t="s">
        <v>305</v>
      </c>
      <c r="E274" t="s">
        <v>65</v>
      </c>
      <c r="F274">
        <v>23500</v>
      </c>
      <c r="G274" t="s">
        <v>72</v>
      </c>
      <c r="H274">
        <v>1</v>
      </c>
    </row>
    <row r="275" spans="1:8" x14ac:dyDescent="0.3">
      <c r="A275" t="s">
        <v>243</v>
      </c>
      <c r="B275">
        <v>2018</v>
      </c>
      <c r="C275" t="s">
        <v>304</v>
      </c>
      <c r="D275" t="s">
        <v>305</v>
      </c>
      <c r="E275" t="s">
        <v>65</v>
      </c>
      <c r="F275">
        <v>23500</v>
      </c>
      <c r="G275" t="s">
        <v>72</v>
      </c>
      <c r="H275">
        <v>2</v>
      </c>
    </row>
    <row r="276" spans="1:8" x14ac:dyDescent="0.3">
      <c r="A276" t="s">
        <v>122</v>
      </c>
      <c r="B276">
        <v>2016</v>
      </c>
      <c r="C276" t="s">
        <v>304</v>
      </c>
      <c r="D276" t="s">
        <v>305</v>
      </c>
      <c r="E276" t="s">
        <v>65</v>
      </c>
      <c r="F276">
        <v>3086</v>
      </c>
      <c r="G276" t="s">
        <v>66</v>
      </c>
      <c r="H276">
        <v>1</v>
      </c>
    </row>
    <row r="277" spans="1:8" x14ac:dyDescent="0.3">
      <c r="A277" t="s">
        <v>123</v>
      </c>
      <c r="B277">
        <v>2015</v>
      </c>
      <c r="C277" t="s">
        <v>304</v>
      </c>
      <c r="D277" t="s">
        <v>305</v>
      </c>
      <c r="E277" t="s">
        <v>65</v>
      </c>
      <c r="F277">
        <v>2579</v>
      </c>
      <c r="G277" t="s">
        <v>66</v>
      </c>
      <c r="H277">
        <v>3</v>
      </c>
    </row>
    <row r="278" spans="1:8" x14ac:dyDescent="0.3">
      <c r="A278" t="s">
        <v>123</v>
      </c>
      <c r="B278">
        <v>2016</v>
      </c>
      <c r="C278" t="s">
        <v>304</v>
      </c>
      <c r="D278" t="s">
        <v>305</v>
      </c>
      <c r="E278" t="s">
        <v>65</v>
      </c>
      <c r="F278">
        <v>2579</v>
      </c>
      <c r="G278" t="s">
        <v>66</v>
      </c>
      <c r="H278">
        <v>1</v>
      </c>
    </row>
    <row r="279" spans="1:8" x14ac:dyDescent="0.3">
      <c r="A279" t="s">
        <v>123</v>
      </c>
      <c r="B279">
        <v>2017</v>
      </c>
      <c r="C279" t="s">
        <v>304</v>
      </c>
      <c r="D279" t="s">
        <v>305</v>
      </c>
      <c r="E279" t="s">
        <v>65</v>
      </c>
      <c r="F279">
        <v>2579</v>
      </c>
      <c r="G279" t="s">
        <v>66</v>
      </c>
      <c r="H279">
        <v>2</v>
      </c>
    </row>
    <row r="280" spans="1:8" x14ac:dyDescent="0.3">
      <c r="A280" t="s">
        <v>123</v>
      </c>
      <c r="B280">
        <v>2018</v>
      </c>
      <c r="C280" t="s">
        <v>304</v>
      </c>
      <c r="D280" t="s">
        <v>305</v>
      </c>
      <c r="E280" t="s">
        <v>65</v>
      </c>
      <c r="F280">
        <v>2579</v>
      </c>
      <c r="G280" t="s">
        <v>66</v>
      </c>
      <c r="H280">
        <v>3</v>
      </c>
    </row>
    <row r="281" spans="1:8" x14ac:dyDescent="0.3">
      <c r="A281" t="s">
        <v>123</v>
      </c>
      <c r="B281">
        <v>2019</v>
      </c>
      <c r="C281" t="s">
        <v>304</v>
      </c>
      <c r="D281" t="s">
        <v>305</v>
      </c>
      <c r="E281" t="s">
        <v>65</v>
      </c>
      <c r="F281">
        <v>2579</v>
      </c>
      <c r="G281" t="s">
        <v>66</v>
      </c>
      <c r="H281">
        <v>1</v>
      </c>
    </row>
    <row r="282" spans="1:8" x14ac:dyDescent="0.3">
      <c r="A282" t="s">
        <v>123</v>
      </c>
      <c r="B282">
        <v>2020</v>
      </c>
      <c r="C282" t="s">
        <v>304</v>
      </c>
      <c r="D282" t="s">
        <v>305</v>
      </c>
      <c r="E282" t="s">
        <v>65</v>
      </c>
      <c r="F282">
        <v>2579</v>
      </c>
      <c r="G282" t="s">
        <v>66</v>
      </c>
      <c r="H282">
        <v>1</v>
      </c>
    </row>
    <row r="283" spans="1:8" x14ac:dyDescent="0.3">
      <c r="A283" t="s">
        <v>123</v>
      </c>
      <c r="B283">
        <v>2021</v>
      </c>
      <c r="C283" t="s">
        <v>304</v>
      </c>
      <c r="D283" t="s">
        <v>305</v>
      </c>
      <c r="E283" t="s">
        <v>65</v>
      </c>
      <c r="F283">
        <v>2579</v>
      </c>
      <c r="G283" t="s">
        <v>66</v>
      </c>
      <c r="H283">
        <v>1</v>
      </c>
    </row>
    <row r="284" spans="1:8" x14ac:dyDescent="0.3">
      <c r="A284" t="s">
        <v>124</v>
      </c>
      <c r="B284">
        <v>2016</v>
      </c>
      <c r="C284" t="s">
        <v>304</v>
      </c>
      <c r="D284" t="s">
        <v>305</v>
      </c>
      <c r="E284" t="s">
        <v>65</v>
      </c>
      <c r="F284">
        <v>12500</v>
      </c>
      <c r="G284" t="s">
        <v>66</v>
      </c>
      <c r="H284">
        <v>1</v>
      </c>
    </row>
    <row r="285" spans="1:8" x14ac:dyDescent="0.3">
      <c r="A285" t="s">
        <v>124</v>
      </c>
      <c r="B285">
        <v>2017</v>
      </c>
      <c r="C285" t="s">
        <v>304</v>
      </c>
      <c r="D285" t="s">
        <v>305</v>
      </c>
      <c r="E285" t="s">
        <v>65</v>
      </c>
      <c r="F285">
        <v>12500</v>
      </c>
      <c r="G285" t="s">
        <v>66</v>
      </c>
      <c r="H285">
        <v>1</v>
      </c>
    </row>
    <row r="286" spans="1:8" x14ac:dyDescent="0.3">
      <c r="A286" t="s">
        <v>248</v>
      </c>
      <c r="B286">
        <v>2017</v>
      </c>
      <c r="C286" t="s">
        <v>304</v>
      </c>
      <c r="D286" t="s">
        <v>305</v>
      </c>
      <c r="E286" t="s">
        <v>65</v>
      </c>
      <c r="F286">
        <v>11799</v>
      </c>
      <c r="G286" t="s">
        <v>66</v>
      </c>
      <c r="H286">
        <v>1</v>
      </c>
    </row>
    <row r="287" spans="1:8" x14ac:dyDescent="0.3">
      <c r="A287" t="s">
        <v>249</v>
      </c>
      <c r="B287">
        <v>2017</v>
      </c>
      <c r="C287" t="s">
        <v>304</v>
      </c>
      <c r="D287" t="s">
        <v>305</v>
      </c>
      <c r="E287" t="s">
        <v>65</v>
      </c>
      <c r="F287">
        <v>11574</v>
      </c>
      <c r="G287" t="s">
        <v>66</v>
      </c>
      <c r="H287">
        <v>1</v>
      </c>
    </row>
    <row r="288" spans="1:8" x14ac:dyDescent="0.3">
      <c r="A288" t="s">
        <v>249</v>
      </c>
      <c r="B288">
        <v>2021</v>
      </c>
      <c r="C288" t="s">
        <v>304</v>
      </c>
      <c r="D288" t="s">
        <v>305</v>
      </c>
      <c r="E288" t="s">
        <v>65</v>
      </c>
      <c r="F288">
        <v>11574</v>
      </c>
      <c r="G288" t="s">
        <v>66</v>
      </c>
      <c r="H288">
        <v>1</v>
      </c>
    </row>
    <row r="289" spans="1:8" x14ac:dyDescent="0.3">
      <c r="A289" t="s">
        <v>125</v>
      </c>
      <c r="B289">
        <v>2018</v>
      </c>
      <c r="C289" t="s">
        <v>304</v>
      </c>
      <c r="D289" t="s">
        <v>305</v>
      </c>
      <c r="E289" t="s">
        <v>65</v>
      </c>
      <c r="F289">
        <v>12100</v>
      </c>
      <c r="G289" t="s">
        <v>66</v>
      </c>
      <c r="H289">
        <v>2</v>
      </c>
    </row>
    <row r="290" spans="1:8" x14ac:dyDescent="0.3">
      <c r="A290" t="s">
        <v>126</v>
      </c>
      <c r="B290">
        <v>2014</v>
      </c>
      <c r="C290" t="s">
        <v>304</v>
      </c>
      <c r="D290" t="s">
        <v>305</v>
      </c>
      <c r="E290" t="s">
        <v>65</v>
      </c>
      <c r="F290">
        <v>2548</v>
      </c>
      <c r="G290" t="s">
        <v>66</v>
      </c>
      <c r="H290">
        <v>3</v>
      </c>
    </row>
    <row r="291" spans="1:8" x14ac:dyDescent="0.3">
      <c r="A291" t="s">
        <v>126</v>
      </c>
      <c r="B291">
        <v>2015</v>
      </c>
      <c r="C291" t="s">
        <v>304</v>
      </c>
      <c r="D291" t="s">
        <v>305</v>
      </c>
      <c r="E291" t="s">
        <v>65</v>
      </c>
      <c r="F291">
        <v>2548</v>
      </c>
      <c r="G291" t="s">
        <v>66</v>
      </c>
      <c r="H291">
        <v>12</v>
      </c>
    </row>
    <row r="292" spans="1:8" x14ac:dyDescent="0.3">
      <c r="A292" t="s">
        <v>126</v>
      </c>
      <c r="B292">
        <v>2016</v>
      </c>
      <c r="C292" t="s">
        <v>304</v>
      </c>
      <c r="D292" t="s">
        <v>305</v>
      </c>
      <c r="E292" t="s">
        <v>65</v>
      </c>
      <c r="F292">
        <v>2548</v>
      </c>
      <c r="G292" t="s">
        <v>66</v>
      </c>
      <c r="H292">
        <v>18</v>
      </c>
    </row>
    <row r="293" spans="1:8" x14ac:dyDescent="0.3">
      <c r="A293" t="s">
        <v>126</v>
      </c>
      <c r="B293">
        <v>2017</v>
      </c>
      <c r="C293" t="s">
        <v>304</v>
      </c>
      <c r="D293" t="s">
        <v>305</v>
      </c>
      <c r="E293" t="s">
        <v>65</v>
      </c>
      <c r="F293">
        <v>2548</v>
      </c>
      <c r="G293" t="s">
        <v>66</v>
      </c>
      <c r="H293">
        <v>30</v>
      </c>
    </row>
    <row r="294" spans="1:8" x14ac:dyDescent="0.3">
      <c r="A294" t="s">
        <v>126</v>
      </c>
      <c r="B294">
        <v>2018</v>
      </c>
      <c r="C294" t="s">
        <v>304</v>
      </c>
      <c r="D294" t="s">
        <v>305</v>
      </c>
      <c r="E294" t="s">
        <v>65</v>
      </c>
      <c r="F294">
        <v>2548</v>
      </c>
      <c r="G294" t="s">
        <v>66</v>
      </c>
      <c r="H294">
        <v>22</v>
      </c>
    </row>
    <row r="295" spans="1:8" x14ac:dyDescent="0.3">
      <c r="A295" t="s">
        <v>126</v>
      </c>
      <c r="B295">
        <v>2019</v>
      </c>
      <c r="C295" t="s">
        <v>304</v>
      </c>
      <c r="D295" t="s">
        <v>305</v>
      </c>
      <c r="E295" t="s">
        <v>65</v>
      </c>
      <c r="F295">
        <v>2548</v>
      </c>
      <c r="G295" t="s">
        <v>66</v>
      </c>
      <c r="H295">
        <v>29</v>
      </c>
    </row>
    <row r="296" spans="1:8" x14ac:dyDescent="0.3">
      <c r="A296" t="s">
        <v>126</v>
      </c>
      <c r="B296">
        <v>2020</v>
      </c>
      <c r="C296" t="s">
        <v>304</v>
      </c>
      <c r="D296" t="s">
        <v>305</v>
      </c>
      <c r="E296" t="s">
        <v>65</v>
      </c>
      <c r="F296">
        <v>2548</v>
      </c>
      <c r="G296" t="s">
        <v>66</v>
      </c>
      <c r="H296">
        <v>32</v>
      </c>
    </row>
    <row r="297" spans="1:8" x14ac:dyDescent="0.3">
      <c r="A297" t="s">
        <v>126</v>
      </c>
      <c r="B297">
        <v>2021</v>
      </c>
      <c r="C297" t="s">
        <v>304</v>
      </c>
      <c r="D297" t="s">
        <v>305</v>
      </c>
      <c r="E297" t="s">
        <v>65</v>
      </c>
      <c r="F297">
        <v>2548</v>
      </c>
      <c r="G297" t="s">
        <v>66</v>
      </c>
      <c r="H297">
        <v>25</v>
      </c>
    </row>
    <row r="298" spans="1:8" x14ac:dyDescent="0.3">
      <c r="A298" t="s">
        <v>127</v>
      </c>
      <c r="B298">
        <v>2017</v>
      </c>
      <c r="C298" t="s">
        <v>304</v>
      </c>
      <c r="D298" t="s">
        <v>305</v>
      </c>
      <c r="E298" t="s">
        <v>65</v>
      </c>
      <c r="F298">
        <v>2150</v>
      </c>
      <c r="G298" t="s">
        <v>66</v>
      </c>
      <c r="H298">
        <v>2</v>
      </c>
    </row>
    <row r="299" spans="1:8" x14ac:dyDescent="0.3">
      <c r="A299" t="s">
        <v>127</v>
      </c>
      <c r="B299">
        <v>2019</v>
      </c>
      <c r="C299" t="s">
        <v>304</v>
      </c>
      <c r="D299" t="s">
        <v>305</v>
      </c>
      <c r="E299" t="s">
        <v>65</v>
      </c>
      <c r="F299">
        <v>2150</v>
      </c>
      <c r="G299" t="s">
        <v>66</v>
      </c>
      <c r="H299">
        <v>1</v>
      </c>
    </row>
    <row r="300" spans="1:8" x14ac:dyDescent="0.3">
      <c r="A300" t="s">
        <v>128</v>
      </c>
      <c r="B300">
        <v>2015</v>
      </c>
      <c r="C300" t="s">
        <v>304</v>
      </c>
      <c r="D300" t="s">
        <v>305</v>
      </c>
      <c r="E300" t="s">
        <v>65</v>
      </c>
      <c r="F300">
        <v>2866</v>
      </c>
      <c r="G300" t="s">
        <v>66</v>
      </c>
      <c r="H300">
        <v>1</v>
      </c>
    </row>
    <row r="301" spans="1:8" x14ac:dyDescent="0.3">
      <c r="A301" t="s">
        <v>128</v>
      </c>
      <c r="B301">
        <v>2016</v>
      </c>
      <c r="C301" t="s">
        <v>304</v>
      </c>
      <c r="D301" t="s">
        <v>305</v>
      </c>
      <c r="E301" t="s">
        <v>65</v>
      </c>
      <c r="F301">
        <v>2866</v>
      </c>
      <c r="G301" t="s">
        <v>66</v>
      </c>
      <c r="H301">
        <v>1</v>
      </c>
    </row>
    <row r="302" spans="1:8" x14ac:dyDescent="0.3">
      <c r="A302" t="s">
        <v>128</v>
      </c>
      <c r="B302">
        <v>2017</v>
      </c>
      <c r="C302" t="s">
        <v>304</v>
      </c>
      <c r="D302" t="s">
        <v>305</v>
      </c>
      <c r="E302" t="s">
        <v>65</v>
      </c>
      <c r="F302">
        <v>2866</v>
      </c>
      <c r="G302" t="s">
        <v>66</v>
      </c>
      <c r="H302">
        <v>2</v>
      </c>
    </row>
    <row r="303" spans="1:8" x14ac:dyDescent="0.3">
      <c r="A303" t="s">
        <v>128</v>
      </c>
      <c r="B303">
        <v>2018</v>
      </c>
      <c r="C303" t="s">
        <v>304</v>
      </c>
      <c r="D303" t="s">
        <v>305</v>
      </c>
      <c r="E303" t="s">
        <v>65</v>
      </c>
      <c r="F303">
        <v>2866</v>
      </c>
      <c r="G303" t="s">
        <v>66</v>
      </c>
      <c r="H303">
        <v>1</v>
      </c>
    </row>
    <row r="304" spans="1:8" x14ac:dyDescent="0.3">
      <c r="A304" t="s">
        <v>128</v>
      </c>
      <c r="B304">
        <v>2019</v>
      </c>
      <c r="C304" t="s">
        <v>304</v>
      </c>
      <c r="D304" t="s">
        <v>305</v>
      </c>
      <c r="E304" t="s">
        <v>65</v>
      </c>
      <c r="F304">
        <v>2866</v>
      </c>
      <c r="G304" t="s">
        <v>66</v>
      </c>
      <c r="H304">
        <v>5</v>
      </c>
    </row>
    <row r="305" spans="1:8" x14ac:dyDescent="0.3">
      <c r="A305" t="s">
        <v>128</v>
      </c>
      <c r="B305">
        <v>2020</v>
      </c>
      <c r="C305" t="s">
        <v>304</v>
      </c>
      <c r="D305" t="s">
        <v>305</v>
      </c>
      <c r="E305" t="s">
        <v>65</v>
      </c>
      <c r="F305">
        <v>2866</v>
      </c>
      <c r="G305" t="s">
        <v>66</v>
      </c>
      <c r="H305">
        <v>4</v>
      </c>
    </row>
    <row r="306" spans="1:8" x14ac:dyDescent="0.3">
      <c r="A306" t="s">
        <v>128</v>
      </c>
      <c r="B306">
        <v>2021</v>
      </c>
      <c r="C306" t="s">
        <v>304</v>
      </c>
      <c r="D306" t="s">
        <v>305</v>
      </c>
      <c r="E306" t="s">
        <v>65</v>
      </c>
      <c r="F306">
        <v>2866</v>
      </c>
      <c r="G306" t="s">
        <v>66</v>
      </c>
      <c r="H306">
        <v>2</v>
      </c>
    </row>
    <row r="307" spans="1:8" x14ac:dyDescent="0.3">
      <c r="A307" t="s">
        <v>129</v>
      </c>
      <c r="B307">
        <v>2015</v>
      </c>
      <c r="C307" t="s">
        <v>304</v>
      </c>
      <c r="D307" t="s">
        <v>305</v>
      </c>
      <c r="E307" t="s">
        <v>65</v>
      </c>
      <c r="F307">
        <v>3615</v>
      </c>
      <c r="G307" t="s">
        <v>66</v>
      </c>
      <c r="H307">
        <v>2</v>
      </c>
    </row>
    <row r="308" spans="1:8" x14ac:dyDescent="0.3">
      <c r="A308" t="s">
        <v>129</v>
      </c>
      <c r="B308">
        <v>2016</v>
      </c>
      <c r="C308" t="s">
        <v>304</v>
      </c>
      <c r="D308" t="s">
        <v>305</v>
      </c>
      <c r="E308" t="s">
        <v>65</v>
      </c>
      <c r="F308">
        <v>3615</v>
      </c>
      <c r="G308" t="s">
        <v>66</v>
      </c>
      <c r="H308">
        <v>4</v>
      </c>
    </row>
    <row r="309" spans="1:8" x14ac:dyDescent="0.3">
      <c r="A309" t="s">
        <v>129</v>
      </c>
      <c r="B309">
        <v>2017</v>
      </c>
      <c r="C309" t="s">
        <v>304</v>
      </c>
      <c r="D309" t="s">
        <v>305</v>
      </c>
      <c r="E309" t="s">
        <v>65</v>
      </c>
      <c r="F309">
        <v>3615</v>
      </c>
      <c r="G309" t="s">
        <v>66</v>
      </c>
      <c r="H309">
        <v>2</v>
      </c>
    </row>
    <row r="310" spans="1:8" x14ac:dyDescent="0.3">
      <c r="A310" t="s">
        <v>129</v>
      </c>
      <c r="B310">
        <v>2019</v>
      </c>
      <c r="C310" t="s">
        <v>304</v>
      </c>
      <c r="D310" t="s">
        <v>305</v>
      </c>
      <c r="E310" t="s">
        <v>65</v>
      </c>
      <c r="F310">
        <v>3615</v>
      </c>
      <c r="G310" t="s">
        <v>66</v>
      </c>
      <c r="H310">
        <v>2</v>
      </c>
    </row>
    <row r="311" spans="1:8" x14ac:dyDescent="0.3">
      <c r="A311" t="s">
        <v>130</v>
      </c>
      <c r="B311">
        <v>2014</v>
      </c>
      <c r="C311" t="s">
        <v>304</v>
      </c>
      <c r="D311" t="s">
        <v>305</v>
      </c>
      <c r="E311" t="s">
        <v>65</v>
      </c>
      <c r="F311">
        <v>4850</v>
      </c>
      <c r="G311" t="s">
        <v>66</v>
      </c>
      <c r="H311">
        <v>1</v>
      </c>
    </row>
    <row r="312" spans="1:8" x14ac:dyDescent="0.3">
      <c r="A312" t="s">
        <v>130</v>
      </c>
      <c r="B312">
        <v>2016</v>
      </c>
      <c r="C312" t="s">
        <v>304</v>
      </c>
      <c r="D312" t="s">
        <v>305</v>
      </c>
      <c r="E312" t="s">
        <v>65</v>
      </c>
      <c r="F312">
        <v>4850</v>
      </c>
      <c r="G312" t="s">
        <v>66</v>
      </c>
      <c r="H312">
        <v>2</v>
      </c>
    </row>
    <row r="313" spans="1:8" x14ac:dyDescent="0.3">
      <c r="A313" t="s">
        <v>130</v>
      </c>
      <c r="B313">
        <v>2017</v>
      </c>
      <c r="C313" t="s">
        <v>304</v>
      </c>
      <c r="D313" t="s">
        <v>305</v>
      </c>
      <c r="E313" t="s">
        <v>65</v>
      </c>
      <c r="F313">
        <v>4850</v>
      </c>
      <c r="G313" t="s">
        <v>66</v>
      </c>
      <c r="H313">
        <v>3</v>
      </c>
    </row>
    <row r="314" spans="1:8" x14ac:dyDescent="0.3">
      <c r="A314" t="s">
        <v>130</v>
      </c>
      <c r="B314">
        <v>2018</v>
      </c>
      <c r="C314" t="s">
        <v>304</v>
      </c>
      <c r="D314" t="s">
        <v>305</v>
      </c>
      <c r="E314" t="s">
        <v>65</v>
      </c>
      <c r="F314">
        <v>4850</v>
      </c>
      <c r="G314" t="s">
        <v>66</v>
      </c>
      <c r="H314">
        <v>2</v>
      </c>
    </row>
    <row r="315" spans="1:8" x14ac:dyDescent="0.3">
      <c r="A315" t="s">
        <v>130</v>
      </c>
      <c r="B315">
        <v>2019</v>
      </c>
      <c r="C315" t="s">
        <v>304</v>
      </c>
      <c r="D315" t="s">
        <v>305</v>
      </c>
      <c r="E315" t="s">
        <v>65</v>
      </c>
      <c r="F315">
        <v>4850</v>
      </c>
      <c r="G315" t="s">
        <v>66</v>
      </c>
      <c r="H315">
        <v>2</v>
      </c>
    </row>
    <row r="316" spans="1:8" x14ac:dyDescent="0.3">
      <c r="A316" t="s">
        <v>130</v>
      </c>
      <c r="B316">
        <v>2021</v>
      </c>
      <c r="C316" t="s">
        <v>304</v>
      </c>
      <c r="D316" t="s">
        <v>305</v>
      </c>
      <c r="E316" t="s">
        <v>65</v>
      </c>
      <c r="F316">
        <v>4850</v>
      </c>
      <c r="G316" t="s">
        <v>66</v>
      </c>
      <c r="H316">
        <v>1</v>
      </c>
    </row>
    <row r="317" spans="1:8" x14ac:dyDescent="0.3">
      <c r="A317" t="s">
        <v>132</v>
      </c>
      <c r="B317">
        <v>2015</v>
      </c>
      <c r="C317" t="s">
        <v>304</v>
      </c>
      <c r="D317" t="s">
        <v>305</v>
      </c>
      <c r="E317" t="s">
        <v>65</v>
      </c>
      <c r="F317">
        <v>3200</v>
      </c>
      <c r="G317" t="s">
        <v>66</v>
      </c>
      <c r="H317">
        <v>1</v>
      </c>
    </row>
    <row r="318" spans="1:8" x14ac:dyDescent="0.3">
      <c r="A318" t="s">
        <v>132</v>
      </c>
      <c r="B318">
        <v>2017</v>
      </c>
      <c r="C318" t="s">
        <v>304</v>
      </c>
      <c r="D318" t="s">
        <v>305</v>
      </c>
      <c r="E318" t="s">
        <v>65</v>
      </c>
      <c r="F318">
        <v>3200</v>
      </c>
      <c r="G318" t="s">
        <v>66</v>
      </c>
      <c r="H318">
        <v>2</v>
      </c>
    </row>
    <row r="319" spans="1:8" x14ac:dyDescent="0.3">
      <c r="A319" t="s">
        <v>132</v>
      </c>
      <c r="B319">
        <v>2018</v>
      </c>
      <c r="C319" t="s">
        <v>304</v>
      </c>
      <c r="D319" t="s">
        <v>305</v>
      </c>
      <c r="E319" t="s">
        <v>65</v>
      </c>
      <c r="F319">
        <v>3200</v>
      </c>
      <c r="G319" t="s">
        <v>66</v>
      </c>
      <c r="H319">
        <v>2</v>
      </c>
    </row>
    <row r="320" spans="1:8" x14ac:dyDescent="0.3">
      <c r="A320" t="s">
        <v>132</v>
      </c>
      <c r="B320">
        <v>2020</v>
      </c>
      <c r="C320" t="s">
        <v>304</v>
      </c>
      <c r="D320" t="s">
        <v>305</v>
      </c>
      <c r="E320" t="s">
        <v>65</v>
      </c>
      <c r="F320">
        <v>3200</v>
      </c>
      <c r="G320" t="s">
        <v>66</v>
      </c>
      <c r="H320">
        <v>1</v>
      </c>
    </row>
    <row r="321" spans="1:8" x14ac:dyDescent="0.3">
      <c r="A321" t="s">
        <v>132</v>
      </c>
      <c r="B321">
        <v>2021</v>
      </c>
      <c r="C321" t="s">
        <v>304</v>
      </c>
      <c r="D321" t="s">
        <v>305</v>
      </c>
      <c r="E321" t="s">
        <v>65</v>
      </c>
      <c r="F321">
        <v>3200</v>
      </c>
      <c r="G321" t="s">
        <v>66</v>
      </c>
      <c r="H321">
        <v>1</v>
      </c>
    </row>
    <row r="322" spans="1:8" x14ac:dyDescent="0.3">
      <c r="A322" t="s">
        <v>251</v>
      </c>
      <c r="B322">
        <v>2019</v>
      </c>
      <c r="C322" t="s">
        <v>304</v>
      </c>
      <c r="D322" t="s">
        <v>305</v>
      </c>
      <c r="E322" t="s">
        <v>65</v>
      </c>
      <c r="F322">
        <v>5200</v>
      </c>
      <c r="G322" t="s">
        <v>66</v>
      </c>
      <c r="H322">
        <v>2</v>
      </c>
    </row>
    <row r="323" spans="1:8" x14ac:dyDescent="0.3">
      <c r="A323" t="s">
        <v>251</v>
      </c>
      <c r="B323">
        <v>2020</v>
      </c>
      <c r="C323" t="s">
        <v>304</v>
      </c>
      <c r="D323" t="s">
        <v>305</v>
      </c>
      <c r="E323" t="s">
        <v>65</v>
      </c>
      <c r="F323">
        <v>5200</v>
      </c>
      <c r="G323" t="s">
        <v>66</v>
      </c>
      <c r="H323">
        <v>2</v>
      </c>
    </row>
    <row r="324" spans="1:8" x14ac:dyDescent="0.3">
      <c r="A324" t="s">
        <v>133</v>
      </c>
      <c r="B324">
        <v>2014</v>
      </c>
      <c r="C324" t="s">
        <v>304</v>
      </c>
      <c r="D324" t="s">
        <v>305</v>
      </c>
      <c r="E324" t="s">
        <v>65</v>
      </c>
      <c r="F324">
        <v>2150</v>
      </c>
      <c r="G324" t="s">
        <v>66</v>
      </c>
      <c r="H324">
        <v>4</v>
      </c>
    </row>
    <row r="325" spans="1:8" x14ac:dyDescent="0.3">
      <c r="A325" t="s">
        <v>133</v>
      </c>
      <c r="B325">
        <v>2015</v>
      </c>
      <c r="C325" t="s">
        <v>304</v>
      </c>
      <c r="D325" t="s">
        <v>305</v>
      </c>
      <c r="E325" t="s">
        <v>65</v>
      </c>
      <c r="F325">
        <v>2150</v>
      </c>
      <c r="G325" t="s">
        <v>66</v>
      </c>
      <c r="H325">
        <v>4</v>
      </c>
    </row>
    <row r="326" spans="1:8" x14ac:dyDescent="0.3">
      <c r="A326" t="s">
        <v>133</v>
      </c>
      <c r="B326">
        <v>2016</v>
      </c>
      <c r="C326" t="s">
        <v>304</v>
      </c>
      <c r="D326" t="s">
        <v>305</v>
      </c>
      <c r="E326" t="s">
        <v>65</v>
      </c>
      <c r="F326">
        <v>2150</v>
      </c>
      <c r="G326" t="s">
        <v>66</v>
      </c>
      <c r="H326">
        <v>9</v>
      </c>
    </row>
    <row r="327" spans="1:8" x14ac:dyDescent="0.3">
      <c r="A327" t="s">
        <v>133</v>
      </c>
      <c r="B327">
        <v>2017</v>
      </c>
      <c r="C327" t="s">
        <v>304</v>
      </c>
      <c r="D327" t="s">
        <v>305</v>
      </c>
      <c r="E327" t="s">
        <v>65</v>
      </c>
      <c r="F327">
        <v>2150</v>
      </c>
      <c r="G327" t="s">
        <v>66</v>
      </c>
      <c r="H327">
        <v>6</v>
      </c>
    </row>
    <row r="328" spans="1:8" x14ac:dyDescent="0.3">
      <c r="A328" t="s">
        <v>133</v>
      </c>
      <c r="B328">
        <v>2018</v>
      </c>
      <c r="C328" t="s">
        <v>304</v>
      </c>
      <c r="D328" t="s">
        <v>305</v>
      </c>
      <c r="E328" t="s">
        <v>65</v>
      </c>
      <c r="F328">
        <v>2150</v>
      </c>
      <c r="G328" t="s">
        <v>66</v>
      </c>
      <c r="H328">
        <v>11</v>
      </c>
    </row>
    <row r="329" spans="1:8" x14ac:dyDescent="0.3">
      <c r="A329" t="s">
        <v>133</v>
      </c>
      <c r="B329">
        <v>2019</v>
      </c>
      <c r="C329" t="s">
        <v>304</v>
      </c>
      <c r="D329" t="s">
        <v>305</v>
      </c>
      <c r="E329" t="s">
        <v>65</v>
      </c>
      <c r="F329">
        <v>2150</v>
      </c>
      <c r="G329" t="s">
        <v>66</v>
      </c>
      <c r="H329">
        <v>12</v>
      </c>
    </row>
    <row r="330" spans="1:8" x14ac:dyDescent="0.3">
      <c r="A330" t="s">
        <v>133</v>
      </c>
      <c r="B330">
        <v>2020</v>
      </c>
      <c r="C330" t="s">
        <v>304</v>
      </c>
      <c r="D330" t="s">
        <v>305</v>
      </c>
      <c r="E330" t="s">
        <v>65</v>
      </c>
      <c r="F330">
        <v>2150</v>
      </c>
      <c r="G330" t="s">
        <v>66</v>
      </c>
      <c r="H330">
        <v>20</v>
      </c>
    </row>
    <row r="331" spans="1:8" x14ac:dyDescent="0.3">
      <c r="A331" t="s">
        <v>133</v>
      </c>
      <c r="B331">
        <v>2021</v>
      </c>
      <c r="C331" t="s">
        <v>304</v>
      </c>
      <c r="D331" t="s">
        <v>305</v>
      </c>
      <c r="E331" t="s">
        <v>65</v>
      </c>
      <c r="F331">
        <v>2150</v>
      </c>
      <c r="G331" t="s">
        <v>66</v>
      </c>
      <c r="H331">
        <v>12</v>
      </c>
    </row>
    <row r="332" spans="1:8" x14ac:dyDescent="0.3">
      <c r="A332" t="s">
        <v>134</v>
      </c>
      <c r="B332">
        <v>2015</v>
      </c>
      <c r="C332" t="s">
        <v>304</v>
      </c>
      <c r="D332" t="s">
        <v>305</v>
      </c>
      <c r="E332" t="s">
        <v>65</v>
      </c>
      <c r="F332">
        <v>3725</v>
      </c>
      <c r="G332" t="s">
        <v>66</v>
      </c>
      <c r="H332">
        <v>1</v>
      </c>
    </row>
    <row r="333" spans="1:8" x14ac:dyDescent="0.3">
      <c r="A333" t="s">
        <v>134</v>
      </c>
      <c r="B333">
        <v>2017</v>
      </c>
      <c r="C333" t="s">
        <v>304</v>
      </c>
      <c r="D333" t="s">
        <v>305</v>
      </c>
      <c r="E333" t="s">
        <v>65</v>
      </c>
      <c r="F333">
        <v>3725</v>
      </c>
      <c r="G333" t="s">
        <v>66</v>
      </c>
      <c r="H333">
        <v>1</v>
      </c>
    </row>
    <row r="334" spans="1:8" x14ac:dyDescent="0.3">
      <c r="A334" t="s">
        <v>134</v>
      </c>
      <c r="B334">
        <v>2020</v>
      </c>
      <c r="C334" t="s">
        <v>304</v>
      </c>
      <c r="D334" t="s">
        <v>305</v>
      </c>
      <c r="E334" t="s">
        <v>65</v>
      </c>
      <c r="F334">
        <v>3725</v>
      </c>
      <c r="G334" t="s">
        <v>66</v>
      </c>
      <c r="H334">
        <v>1</v>
      </c>
    </row>
    <row r="335" spans="1:8" x14ac:dyDescent="0.3">
      <c r="A335" t="s">
        <v>252</v>
      </c>
      <c r="B335">
        <v>2014</v>
      </c>
      <c r="C335" t="s">
        <v>304</v>
      </c>
      <c r="D335" t="s">
        <v>305</v>
      </c>
      <c r="E335" t="s">
        <v>65</v>
      </c>
      <c r="F335">
        <v>6500</v>
      </c>
      <c r="G335" t="s">
        <v>66</v>
      </c>
      <c r="H335">
        <v>2</v>
      </c>
    </row>
    <row r="336" spans="1:8" x14ac:dyDescent="0.3">
      <c r="A336" t="s">
        <v>252</v>
      </c>
      <c r="B336">
        <v>2015</v>
      </c>
      <c r="C336" t="s">
        <v>304</v>
      </c>
      <c r="D336" t="s">
        <v>305</v>
      </c>
      <c r="E336" t="s">
        <v>65</v>
      </c>
      <c r="F336">
        <v>6500</v>
      </c>
      <c r="G336" t="s">
        <v>66</v>
      </c>
      <c r="H336">
        <v>2</v>
      </c>
    </row>
    <row r="337" spans="1:8" x14ac:dyDescent="0.3">
      <c r="A337" t="s">
        <v>252</v>
      </c>
      <c r="B337">
        <v>2017</v>
      </c>
      <c r="C337" t="s">
        <v>304</v>
      </c>
      <c r="D337" t="s">
        <v>305</v>
      </c>
      <c r="E337" t="s">
        <v>65</v>
      </c>
      <c r="F337">
        <v>6500</v>
      </c>
      <c r="G337" t="s">
        <v>66</v>
      </c>
      <c r="H337">
        <v>1</v>
      </c>
    </row>
    <row r="338" spans="1:8" x14ac:dyDescent="0.3">
      <c r="A338" t="s">
        <v>135</v>
      </c>
      <c r="B338">
        <v>2014</v>
      </c>
      <c r="C338" t="s">
        <v>304</v>
      </c>
      <c r="D338" t="s">
        <v>305</v>
      </c>
      <c r="E338" t="s">
        <v>65</v>
      </c>
      <c r="F338">
        <v>3400</v>
      </c>
      <c r="G338" t="s">
        <v>66</v>
      </c>
      <c r="H338">
        <v>1</v>
      </c>
    </row>
    <row r="339" spans="1:8" x14ac:dyDescent="0.3">
      <c r="A339" t="s">
        <v>135</v>
      </c>
      <c r="B339">
        <v>2015</v>
      </c>
      <c r="C339" t="s">
        <v>304</v>
      </c>
      <c r="D339" t="s">
        <v>305</v>
      </c>
      <c r="E339" t="s">
        <v>65</v>
      </c>
      <c r="F339">
        <v>3400</v>
      </c>
      <c r="G339" t="s">
        <v>66</v>
      </c>
      <c r="H339">
        <v>2</v>
      </c>
    </row>
    <row r="340" spans="1:8" x14ac:dyDescent="0.3">
      <c r="A340" t="s">
        <v>135</v>
      </c>
      <c r="B340">
        <v>2016</v>
      </c>
      <c r="C340" t="s">
        <v>304</v>
      </c>
      <c r="D340" t="s">
        <v>305</v>
      </c>
      <c r="E340" t="s">
        <v>65</v>
      </c>
      <c r="F340">
        <v>3400</v>
      </c>
      <c r="G340" t="s">
        <v>66</v>
      </c>
      <c r="H340">
        <v>1</v>
      </c>
    </row>
    <row r="341" spans="1:8" x14ac:dyDescent="0.3">
      <c r="A341" t="s">
        <v>135</v>
      </c>
      <c r="B341">
        <v>2017</v>
      </c>
      <c r="C341" t="s">
        <v>304</v>
      </c>
      <c r="D341" t="s">
        <v>305</v>
      </c>
      <c r="E341" t="s">
        <v>65</v>
      </c>
      <c r="F341">
        <v>3400</v>
      </c>
      <c r="G341" t="s">
        <v>66</v>
      </c>
      <c r="H341">
        <v>2</v>
      </c>
    </row>
    <row r="342" spans="1:8" x14ac:dyDescent="0.3">
      <c r="A342" t="s">
        <v>135</v>
      </c>
      <c r="B342">
        <v>2018</v>
      </c>
      <c r="C342" t="s">
        <v>304</v>
      </c>
      <c r="D342" t="s">
        <v>305</v>
      </c>
      <c r="E342" t="s">
        <v>65</v>
      </c>
      <c r="F342">
        <v>3400</v>
      </c>
      <c r="G342" t="s">
        <v>66</v>
      </c>
      <c r="H342">
        <v>2</v>
      </c>
    </row>
    <row r="343" spans="1:8" x14ac:dyDescent="0.3">
      <c r="A343" t="s">
        <v>135</v>
      </c>
      <c r="B343">
        <v>2019</v>
      </c>
      <c r="C343" t="s">
        <v>304</v>
      </c>
      <c r="D343" t="s">
        <v>305</v>
      </c>
      <c r="E343" t="s">
        <v>65</v>
      </c>
      <c r="F343">
        <v>3400</v>
      </c>
      <c r="G343" t="s">
        <v>66</v>
      </c>
      <c r="H343">
        <v>3</v>
      </c>
    </row>
    <row r="344" spans="1:8" x14ac:dyDescent="0.3">
      <c r="A344" t="s">
        <v>135</v>
      </c>
      <c r="B344">
        <v>2020</v>
      </c>
      <c r="C344" t="s">
        <v>304</v>
      </c>
      <c r="D344" t="s">
        <v>305</v>
      </c>
      <c r="E344" t="s">
        <v>65</v>
      </c>
      <c r="F344">
        <v>3400</v>
      </c>
      <c r="G344" t="s">
        <v>66</v>
      </c>
      <c r="H344">
        <v>1</v>
      </c>
    </row>
    <row r="345" spans="1:8" x14ac:dyDescent="0.3">
      <c r="A345" t="s">
        <v>135</v>
      </c>
      <c r="B345">
        <v>2021</v>
      </c>
      <c r="C345" t="s">
        <v>304</v>
      </c>
      <c r="D345" t="s">
        <v>305</v>
      </c>
      <c r="E345" t="s">
        <v>65</v>
      </c>
      <c r="F345">
        <v>3400</v>
      </c>
      <c r="G345" t="s">
        <v>66</v>
      </c>
      <c r="H345">
        <v>1</v>
      </c>
    </row>
    <row r="346" spans="1:8" x14ac:dyDescent="0.3">
      <c r="A346" t="s">
        <v>136</v>
      </c>
      <c r="B346">
        <v>2014</v>
      </c>
      <c r="C346" t="s">
        <v>304</v>
      </c>
      <c r="D346" t="s">
        <v>305</v>
      </c>
      <c r="E346" t="s">
        <v>65</v>
      </c>
      <c r="F346">
        <v>4629</v>
      </c>
      <c r="G346" t="s">
        <v>66</v>
      </c>
      <c r="H346">
        <v>1</v>
      </c>
    </row>
    <row r="347" spans="1:8" x14ac:dyDescent="0.3">
      <c r="A347" t="s">
        <v>136</v>
      </c>
      <c r="B347">
        <v>2019</v>
      </c>
      <c r="C347" t="s">
        <v>304</v>
      </c>
      <c r="D347" t="s">
        <v>305</v>
      </c>
      <c r="E347" t="s">
        <v>65</v>
      </c>
      <c r="F347">
        <v>4629</v>
      </c>
      <c r="G347" t="s">
        <v>66</v>
      </c>
      <c r="H347">
        <v>1</v>
      </c>
    </row>
    <row r="348" spans="1:8" x14ac:dyDescent="0.3">
      <c r="A348" t="s">
        <v>136</v>
      </c>
      <c r="B348">
        <v>2021</v>
      </c>
      <c r="C348" t="s">
        <v>304</v>
      </c>
      <c r="D348" t="s">
        <v>305</v>
      </c>
      <c r="E348" t="s">
        <v>65</v>
      </c>
      <c r="F348">
        <v>4629</v>
      </c>
      <c r="G348" t="s">
        <v>66</v>
      </c>
      <c r="H348">
        <v>1</v>
      </c>
    </row>
    <row r="349" spans="1:8" x14ac:dyDescent="0.3">
      <c r="A349" t="s">
        <v>253</v>
      </c>
      <c r="B349">
        <v>2017</v>
      </c>
      <c r="C349" t="s">
        <v>304</v>
      </c>
      <c r="D349" t="s">
        <v>305</v>
      </c>
      <c r="E349" t="s">
        <v>65</v>
      </c>
      <c r="F349">
        <v>3798</v>
      </c>
      <c r="G349" t="s">
        <v>66</v>
      </c>
      <c r="H349">
        <v>1</v>
      </c>
    </row>
    <row r="350" spans="1:8" x14ac:dyDescent="0.3">
      <c r="A350" t="s">
        <v>137</v>
      </c>
      <c r="B350">
        <v>2014</v>
      </c>
      <c r="C350" t="s">
        <v>304</v>
      </c>
      <c r="D350" t="s">
        <v>305</v>
      </c>
      <c r="E350" t="s">
        <v>65</v>
      </c>
      <c r="F350">
        <v>4299</v>
      </c>
      <c r="G350" t="s">
        <v>66</v>
      </c>
      <c r="H350">
        <v>2</v>
      </c>
    </row>
    <row r="351" spans="1:8" x14ac:dyDescent="0.3">
      <c r="A351" t="s">
        <v>137</v>
      </c>
      <c r="B351">
        <v>2016</v>
      </c>
      <c r="C351" t="s">
        <v>304</v>
      </c>
      <c r="D351" t="s">
        <v>305</v>
      </c>
      <c r="E351" t="s">
        <v>65</v>
      </c>
      <c r="F351">
        <v>4299</v>
      </c>
      <c r="G351" t="s">
        <v>66</v>
      </c>
      <c r="H351">
        <v>3</v>
      </c>
    </row>
    <row r="352" spans="1:8" x14ac:dyDescent="0.3">
      <c r="A352" t="s">
        <v>137</v>
      </c>
      <c r="B352">
        <v>2017</v>
      </c>
      <c r="C352" t="s">
        <v>304</v>
      </c>
      <c r="D352" t="s">
        <v>305</v>
      </c>
      <c r="E352" t="s">
        <v>65</v>
      </c>
      <c r="F352">
        <v>4299</v>
      </c>
      <c r="G352" t="s">
        <v>66</v>
      </c>
      <c r="H352">
        <v>4</v>
      </c>
    </row>
    <row r="353" spans="1:8" x14ac:dyDescent="0.3">
      <c r="A353" t="s">
        <v>137</v>
      </c>
      <c r="B353">
        <v>2018</v>
      </c>
      <c r="C353" t="s">
        <v>304</v>
      </c>
      <c r="D353" t="s">
        <v>305</v>
      </c>
      <c r="E353" t="s">
        <v>65</v>
      </c>
      <c r="F353">
        <v>4299</v>
      </c>
      <c r="G353" t="s">
        <v>66</v>
      </c>
      <c r="H353">
        <v>2</v>
      </c>
    </row>
    <row r="354" spans="1:8" x14ac:dyDescent="0.3">
      <c r="A354" t="s">
        <v>137</v>
      </c>
      <c r="B354">
        <v>2019</v>
      </c>
      <c r="C354" t="s">
        <v>304</v>
      </c>
      <c r="D354" t="s">
        <v>305</v>
      </c>
      <c r="E354" t="s">
        <v>65</v>
      </c>
      <c r="F354">
        <v>4299</v>
      </c>
      <c r="G354" t="s">
        <v>66</v>
      </c>
      <c r="H354">
        <v>17</v>
      </c>
    </row>
    <row r="355" spans="1:8" x14ac:dyDescent="0.3">
      <c r="A355" t="s">
        <v>137</v>
      </c>
      <c r="B355">
        <v>2020</v>
      </c>
      <c r="C355" t="s">
        <v>304</v>
      </c>
      <c r="D355" t="s">
        <v>305</v>
      </c>
      <c r="E355" t="s">
        <v>65</v>
      </c>
      <c r="F355">
        <v>4299</v>
      </c>
      <c r="G355" t="s">
        <v>66</v>
      </c>
      <c r="H355">
        <v>6</v>
      </c>
    </row>
    <row r="356" spans="1:8" x14ac:dyDescent="0.3">
      <c r="A356" t="s">
        <v>137</v>
      </c>
      <c r="B356">
        <v>2021</v>
      </c>
      <c r="C356" t="s">
        <v>304</v>
      </c>
      <c r="D356" t="s">
        <v>305</v>
      </c>
      <c r="E356" t="s">
        <v>65</v>
      </c>
      <c r="F356">
        <v>4299</v>
      </c>
      <c r="G356" t="s">
        <v>66</v>
      </c>
      <c r="H356">
        <v>1</v>
      </c>
    </row>
    <row r="357" spans="1:8" x14ac:dyDescent="0.3">
      <c r="A357" t="s">
        <v>254</v>
      </c>
      <c r="B357">
        <v>2019</v>
      </c>
      <c r="C357" t="s">
        <v>304</v>
      </c>
      <c r="D357" t="s">
        <v>305</v>
      </c>
      <c r="E357" t="s">
        <v>65</v>
      </c>
      <c r="F357">
        <v>8699</v>
      </c>
      <c r="G357" t="s">
        <v>66</v>
      </c>
      <c r="H357">
        <v>3</v>
      </c>
    </row>
    <row r="358" spans="1:8" x14ac:dyDescent="0.3">
      <c r="A358" t="s">
        <v>138</v>
      </c>
      <c r="B358">
        <v>2019</v>
      </c>
      <c r="C358" t="s">
        <v>304</v>
      </c>
      <c r="D358" t="s">
        <v>305</v>
      </c>
      <c r="E358" t="s">
        <v>65</v>
      </c>
      <c r="F358">
        <v>9479</v>
      </c>
      <c r="G358" t="s">
        <v>66</v>
      </c>
      <c r="H358">
        <v>2</v>
      </c>
    </row>
    <row r="359" spans="1:8" x14ac:dyDescent="0.3">
      <c r="A359" t="s">
        <v>139</v>
      </c>
      <c r="B359">
        <v>2014</v>
      </c>
      <c r="C359" t="s">
        <v>304</v>
      </c>
      <c r="D359" t="s">
        <v>305</v>
      </c>
      <c r="E359" t="s">
        <v>65</v>
      </c>
      <c r="F359">
        <v>9039</v>
      </c>
      <c r="G359" t="s">
        <v>66</v>
      </c>
      <c r="H359">
        <v>1</v>
      </c>
    </row>
    <row r="360" spans="1:8" x14ac:dyDescent="0.3">
      <c r="A360" t="s">
        <v>139</v>
      </c>
      <c r="B360">
        <v>2016</v>
      </c>
      <c r="C360" t="s">
        <v>304</v>
      </c>
      <c r="D360" t="s">
        <v>305</v>
      </c>
      <c r="E360" t="s">
        <v>65</v>
      </c>
      <c r="F360">
        <v>9039</v>
      </c>
      <c r="G360" t="s">
        <v>66</v>
      </c>
      <c r="H360">
        <v>2</v>
      </c>
    </row>
    <row r="361" spans="1:8" x14ac:dyDescent="0.3">
      <c r="A361" t="s">
        <v>139</v>
      </c>
      <c r="B361">
        <v>2017</v>
      </c>
      <c r="C361" t="s">
        <v>304</v>
      </c>
      <c r="D361" t="s">
        <v>305</v>
      </c>
      <c r="E361" t="s">
        <v>65</v>
      </c>
      <c r="F361">
        <v>9039</v>
      </c>
      <c r="G361" t="s">
        <v>66</v>
      </c>
      <c r="H361">
        <v>5</v>
      </c>
    </row>
    <row r="362" spans="1:8" x14ac:dyDescent="0.3">
      <c r="A362" t="s">
        <v>139</v>
      </c>
      <c r="B362">
        <v>2018</v>
      </c>
      <c r="C362" t="s">
        <v>304</v>
      </c>
      <c r="D362" t="s">
        <v>305</v>
      </c>
      <c r="E362" t="s">
        <v>65</v>
      </c>
      <c r="F362">
        <v>9039</v>
      </c>
      <c r="G362" t="s">
        <v>66</v>
      </c>
      <c r="H362">
        <v>1</v>
      </c>
    </row>
    <row r="363" spans="1:8" x14ac:dyDescent="0.3">
      <c r="A363" t="s">
        <v>139</v>
      </c>
      <c r="B363">
        <v>2019</v>
      </c>
      <c r="C363" t="s">
        <v>304</v>
      </c>
      <c r="D363" t="s">
        <v>305</v>
      </c>
      <c r="E363" t="s">
        <v>65</v>
      </c>
      <c r="F363">
        <v>9039</v>
      </c>
      <c r="G363" t="s">
        <v>66</v>
      </c>
      <c r="H363">
        <v>6</v>
      </c>
    </row>
    <row r="364" spans="1:8" x14ac:dyDescent="0.3">
      <c r="A364" t="s">
        <v>139</v>
      </c>
      <c r="B364">
        <v>2021</v>
      </c>
      <c r="C364" t="s">
        <v>304</v>
      </c>
      <c r="D364" t="s">
        <v>305</v>
      </c>
      <c r="E364" t="s">
        <v>65</v>
      </c>
      <c r="F364">
        <v>9039</v>
      </c>
      <c r="G364" t="s">
        <v>66</v>
      </c>
      <c r="H364">
        <v>2</v>
      </c>
    </row>
    <row r="365" spans="1:8" x14ac:dyDescent="0.3">
      <c r="A365" t="s">
        <v>256</v>
      </c>
      <c r="B365">
        <v>2015</v>
      </c>
      <c r="C365" t="s">
        <v>304</v>
      </c>
      <c r="D365" t="s">
        <v>305</v>
      </c>
      <c r="E365" t="s">
        <v>65</v>
      </c>
      <c r="F365">
        <v>8800</v>
      </c>
      <c r="G365" t="s">
        <v>66</v>
      </c>
      <c r="H365">
        <v>2</v>
      </c>
    </row>
    <row r="366" spans="1:8" x14ac:dyDescent="0.3">
      <c r="A366" t="s">
        <v>256</v>
      </c>
      <c r="B366">
        <v>2017</v>
      </c>
      <c r="C366" t="s">
        <v>304</v>
      </c>
      <c r="D366" t="s">
        <v>305</v>
      </c>
      <c r="E366" t="s">
        <v>65</v>
      </c>
      <c r="F366">
        <v>8800</v>
      </c>
      <c r="G366" t="s">
        <v>66</v>
      </c>
      <c r="H366">
        <v>1</v>
      </c>
    </row>
    <row r="367" spans="1:8" x14ac:dyDescent="0.3">
      <c r="A367" t="s">
        <v>256</v>
      </c>
      <c r="B367">
        <v>2018</v>
      </c>
      <c r="C367" t="s">
        <v>304</v>
      </c>
      <c r="D367" t="s">
        <v>305</v>
      </c>
      <c r="E367" t="s">
        <v>65</v>
      </c>
      <c r="F367">
        <v>8800</v>
      </c>
      <c r="G367" t="s">
        <v>66</v>
      </c>
      <c r="H367">
        <v>2</v>
      </c>
    </row>
    <row r="368" spans="1:8" x14ac:dyDescent="0.3">
      <c r="A368" t="s">
        <v>257</v>
      </c>
      <c r="B368">
        <v>2019</v>
      </c>
      <c r="C368" t="s">
        <v>304</v>
      </c>
      <c r="D368" t="s">
        <v>305</v>
      </c>
      <c r="E368" t="s">
        <v>65</v>
      </c>
      <c r="F368">
        <v>321874</v>
      </c>
      <c r="G368" t="s">
        <v>83</v>
      </c>
      <c r="H368">
        <v>1</v>
      </c>
    </row>
    <row r="369" spans="1:8" x14ac:dyDescent="0.3">
      <c r="A369" t="s">
        <v>259</v>
      </c>
      <c r="B369">
        <v>2015</v>
      </c>
      <c r="C369" t="s">
        <v>304</v>
      </c>
      <c r="D369" t="s">
        <v>305</v>
      </c>
      <c r="E369" t="s">
        <v>65</v>
      </c>
      <c r="F369">
        <v>2700</v>
      </c>
      <c r="G369" t="s">
        <v>66</v>
      </c>
      <c r="H369">
        <v>1</v>
      </c>
    </row>
    <row r="370" spans="1:8" x14ac:dyDescent="0.3">
      <c r="A370" t="s">
        <v>140</v>
      </c>
      <c r="B370">
        <v>2021</v>
      </c>
      <c r="C370" t="s">
        <v>304</v>
      </c>
      <c r="D370" t="s">
        <v>305</v>
      </c>
      <c r="E370" t="s">
        <v>65</v>
      </c>
      <c r="F370">
        <v>1650</v>
      </c>
      <c r="G370" t="s">
        <v>66</v>
      </c>
      <c r="H370">
        <v>2</v>
      </c>
    </row>
    <row r="371" spans="1:8" x14ac:dyDescent="0.3">
      <c r="A371" t="s">
        <v>141</v>
      </c>
      <c r="B371">
        <v>2016</v>
      </c>
      <c r="C371" t="s">
        <v>304</v>
      </c>
      <c r="D371" t="s">
        <v>305</v>
      </c>
      <c r="E371" t="s">
        <v>65</v>
      </c>
      <c r="F371">
        <v>1600</v>
      </c>
      <c r="G371" t="s">
        <v>66</v>
      </c>
      <c r="H371">
        <v>1</v>
      </c>
    </row>
    <row r="372" spans="1:8" x14ac:dyDescent="0.3">
      <c r="A372" t="s">
        <v>141</v>
      </c>
      <c r="B372">
        <v>2017</v>
      </c>
      <c r="C372" t="s">
        <v>304</v>
      </c>
      <c r="D372" t="s">
        <v>305</v>
      </c>
      <c r="E372" t="s">
        <v>65</v>
      </c>
      <c r="F372">
        <v>1600</v>
      </c>
      <c r="G372" t="s">
        <v>66</v>
      </c>
      <c r="H372">
        <v>1</v>
      </c>
    </row>
    <row r="373" spans="1:8" x14ac:dyDescent="0.3">
      <c r="A373" t="s">
        <v>141</v>
      </c>
      <c r="B373">
        <v>2020</v>
      </c>
      <c r="C373" t="s">
        <v>304</v>
      </c>
      <c r="D373" t="s">
        <v>305</v>
      </c>
      <c r="E373" t="s">
        <v>65</v>
      </c>
      <c r="F373">
        <v>1600</v>
      </c>
      <c r="G373" t="s">
        <v>66</v>
      </c>
      <c r="H373">
        <v>1</v>
      </c>
    </row>
    <row r="374" spans="1:8" x14ac:dyDescent="0.3">
      <c r="A374" t="s">
        <v>261</v>
      </c>
      <c r="B374">
        <v>2018</v>
      </c>
      <c r="C374" t="s">
        <v>304</v>
      </c>
      <c r="D374" t="s">
        <v>305</v>
      </c>
      <c r="E374" t="s">
        <v>65</v>
      </c>
      <c r="F374">
        <v>15100</v>
      </c>
      <c r="G374" t="s">
        <v>66</v>
      </c>
      <c r="H374">
        <v>10</v>
      </c>
    </row>
    <row r="375" spans="1:8" x14ac:dyDescent="0.3">
      <c r="A375" t="s">
        <v>261</v>
      </c>
      <c r="B375">
        <v>2019</v>
      </c>
      <c r="C375" t="s">
        <v>304</v>
      </c>
      <c r="D375" t="s">
        <v>305</v>
      </c>
      <c r="E375" t="s">
        <v>65</v>
      </c>
      <c r="F375">
        <v>15100</v>
      </c>
      <c r="G375" t="s">
        <v>66</v>
      </c>
      <c r="H375">
        <v>1</v>
      </c>
    </row>
    <row r="376" spans="1:8" x14ac:dyDescent="0.3">
      <c r="A376" t="s">
        <v>261</v>
      </c>
      <c r="B376">
        <v>2021</v>
      </c>
      <c r="C376" t="s">
        <v>304</v>
      </c>
      <c r="D376" t="s">
        <v>305</v>
      </c>
      <c r="E376" t="s">
        <v>65</v>
      </c>
      <c r="F376">
        <v>15100</v>
      </c>
      <c r="G376" t="s">
        <v>66</v>
      </c>
      <c r="H376">
        <v>1</v>
      </c>
    </row>
    <row r="377" spans="1:8" x14ac:dyDescent="0.3">
      <c r="A377" t="s">
        <v>264</v>
      </c>
      <c r="B377">
        <v>2015</v>
      </c>
      <c r="C377" t="s">
        <v>304</v>
      </c>
      <c r="D377" t="s">
        <v>305</v>
      </c>
      <c r="E377" t="s">
        <v>65</v>
      </c>
      <c r="F377">
        <v>27099</v>
      </c>
      <c r="G377" t="s">
        <v>66</v>
      </c>
      <c r="H377">
        <v>1</v>
      </c>
    </row>
    <row r="378" spans="1:8" x14ac:dyDescent="0.3">
      <c r="A378" t="s">
        <v>142</v>
      </c>
      <c r="B378">
        <v>2016</v>
      </c>
      <c r="C378" t="s">
        <v>304</v>
      </c>
      <c r="D378" t="s">
        <v>305</v>
      </c>
      <c r="E378" t="s">
        <v>65</v>
      </c>
      <c r="F378">
        <v>3000</v>
      </c>
      <c r="G378" t="s">
        <v>66</v>
      </c>
      <c r="H378">
        <v>2</v>
      </c>
    </row>
    <row r="379" spans="1:8" x14ac:dyDescent="0.3">
      <c r="A379" t="s">
        <v>142</v>
      </c>
      <c r="B379">
        <v>2018</v>
      </c>
      <c r="C379" t="s">
        <v>304</v>
      </c>
      <c r="D379" t="s">
        <v>305</v>
      </c>
      <c r="E379" t="s">
        <v>65</v>
      </c>
      <c r="F379">
        <v>3000</v>
      </c>
      <c r="G379" t="s">
        <v>66</v>
      </c>
      <c r="H379">
        <v>2</v>
      </c>
    </row>
    <row r="380" spans="1:8" x14ac:dyDescent="0.3">
      <c r="A380" t="s">
        <v>142</v>
      </c>
      <c r="B380">
        <v>2019</v>
      </c>
      <c r="C380" t="s">
        <v>304</v>
      </c>
      <c r="D380" t="s">
        <v>305</v>
      </c>
      <c r="E380" t="s">
        <v>65</v>
      </c>
      <c r="F380">
        <v>3000</v>
      </c>
      <c r="G380" t="s">
        <v>66</v>
      </c>
      <c r="H380">
        <v>10</v>
      </c>
    </row>
    <row r="381" spans="1:8" x14ac:dyDescent="0.3">
      <c r="A381" t="s">
        <v>142</v>
      </c>
      <c r="B381">
        <v>2021</v>
      </c>
      <c r="C381" t="s">
        <v>304</v>
      </c>
      <c r="D381" t="s">
        <v>305</v>
      </c>
      <c r="E381" t="s">
        <v>65</v>
      </c>
      <c r="F381">
        <v>3000</v>
      </c>
      <c r="G381" t="s">
        <v>66</v>
      </c>
      <c r="H381">
        <v>2</v>
      </c>
    </row>
    <row r="382" spans="1:8" x14ac:dyDescent="0.3">
      <c r="A382" t="s">
        <v>145</v>
      </c>
      <c r="B382">
        <v>2015</v>
      </c>
      <c r="C382" t="s">
        <v>304</v>
      </c>
      <c r="D382" t="s">
        <v>305</v>
      </c>
      <c r="E382" t="s">
        <v>65</v>
      </c>
      <c r="F382">
        <v>6613</v>
      </c>
      <c r="G382" t="s">
        <v>66</v>
      </c>
      <c r="H382">
        <v>1</v>
      </c>
    </row>
    <row r="383" spans="1:8" x14ac:dyDescent="0.3">
      <c r="A383" t="s">
        <v>145</v>
      </c>
      <c r="B383">
        <v>2019</v>
      </c>
      <c r="C383" t="s">
        <v>304</v>
      </c>
      <c r="D383" t="s">
        <v>305</v>
      </c>
      <c r="E383" t="s">
        <v>65</v>
      </c>
      <c r="F383">
        <v>6613</v>
      </c>
      <c r="G383" t="s">
        <v>66</v>
      </c>
      <c r="H383">
        <v>2</v>
      </c>
    </row>
    <row r="384" spans="1:8" x14ac:dyDescent="0.3">
      <c r="A384" t="s">
        <v>146</v>
      </c>
      <c r="B384">
        <v>2017</v>
      </c>
      <c r="C384" t="s">
        <v>304</v>
      </c>
      <c r="D384" t="s">
        <v>305</v>
      </c>
      <c r="E384" t="s">
        <v>65</v>
      </c>
      <c r="F384">
        <v>7495</v>
      </c>
      <c r="G384" t="s">
        <v>66</v>
      </c>
      <c r="H384">
        <v>2</v>
      </c>
    </row>
    <row r="385" spans="1:8" x14ac:dyDescent="0.3">
      <c r="A385" t="s">
        <v>146</v>
      </c>
      <c r="B385">
        <v>2020</v>
      </c>
      <c r="C385" t="s">
        <v>304</v>
      </c>
      <c r="D385" t="s">
        <v>305</v>
      </c>
      <c r="E385" t="s">
        <v>65</v>
      </c>
      <c r="F385">
        <v>7495</v>
      </c>
      <c r="G385" t="s">
        <v>66</v>
      </c>
      <c r="H385">
        <v>1</v>
      </c>
    </row>
    <row r="386" spans="1:8" x14ac:dyDescent="0.3">
      <c r="A386" t="s">
        <v>146</v>
      </c>
      <c r="B386">
        <v>2021</v>
      </c>
      <c r="C386" t="s">
        <v>304</v>
      </c>
      <c r="D386" t="s">
        <v>305</v>
      </c>
      <c r="E386" t="s">
        <v>65</v>
      </c>
      <c r="F386">
        <v>7495</v>
      </c>
      <c r="G386" t="s">
        <v>66</v>
      </c>
      <c r="H386">
        <v>8</v>
      </c>
    </row>
    <row r="387" spans="1:8" x14ac:dyDescent="0.3">
      <c r="A387" t="s">
        <v>268</v>
      </c>
      <c r="B387">
        <v>2019</v>
      </c>
      <c r="C387" t="s">
        <v>304</v>
      </c>
      <c r="D387" t="s">
        <v>305</v>
      </c>
      <c r="E387" t="s">
        <v>65</v>
      </c>
      <c r="F387">
        <v>7394</v>
      </c>
      <c r="G387" t="s">
        <v>66</v>
      </c>
      <c r="H387">
        <v>2</v>
      </c>
    </row>
    <row r="388" spans="1:8" x14ac:dyDescent="0.3">
      <c r="A388" t="s">
        <v>268</v>
      </c>
      <c r="B388">
        <v>2020</v>
      </c>
      <c r="C388" t="s">
        <v>304</v>
      </c>
      <c r="D388" t="s">
        <v>305</v>
      </c>
      <c r="E388" t="s">
        <v>65</v>
      </c>
      <c r="F388">
        <v>7394</v>
      </c>
      <c r="G388" t="s">
        <v>66</v>
      </c>
      <c r="H388">
        <v>1</v>
      </c>
    </row>
    <row r="389" spans="1:8" x14ac:dyDescent="0.3">
      <c r="A389" t="s">
        <v>270</v>
      </c>
      <c r="B389">
        <v>2014</v>
      </c>
      <c r="C389" t="s">
        <v>304</v>
      </c>
      <c r="D389" t="s">
        <v>305</v>
      </c>
      <c r="E389" t="s">
        <v>65</v>
      </c>
      <c r="F389">
        <v>-1</v>
      </c>
      <c r="G389" t="s">
        <v>270</v>
      </c>
      <c r="H389">
        <v>28</v>
      </c>
    </row>
    <row r="390" spans="1:8" x14ac:dyDescent="0.3">
      <c r="A390" t="s">
        <v>270</v>
      </c>
      <c r="B390">
        <v>2015</v>
      </c>
      <c r="C390" t="s">
        <v>304</v>
      </c>
      <c r="D390" t="s">
        <v>305</v>
      </c>
      <c r="E390" t="s">
        <v>65</v>
      </c>
      <c r="F390">
        <v>-1</v>
      </c>
      <c r="G390" t="s">
        <v>270</v>
      </c>
      <c r="H390">
        <v>62</v>
      </c>
    </row>
    <row r="391" spans="1:8" x14ac:dyDescent="0.3">
      <c r="A391" t="s">
        <v>270</v>
      </c>
      <c r="B391">
        <v>2016</v>
      </c>
      <c r="C391" t="s">
        <v>304</v>
      </c>
      <c r="D391" t="s">
        <v>305</v>
      </c>
      <c r="E391" t="s">
        <v>65</v>
      </c>
      <c r="F391">
        <v>-1</v>
      </c>
      <c r="G391" t="s">
        <v>270</v>
      </c>
      <c r="H391">
        <v>57</v>
      </c>
    </row>
    <row r="392" spans="1:8" x14ac:dyDescent="0.3">
      <c r="A392" t="s">
        <v>270</v>
      </c>
      <c r="B392">
        <v>2017</v>
      </c>
      <c r="C392" t="s">
        <v>304</v>
      </c>
      <c r="D392" t="s">
        <v>305</v>
      </c>
      <c r="E392" t="s">
        <v>65</v>
      </c>
      <c r="F392">
        <v>-1</v>
      </c>
      <c r="G392" t="s">
        <v>270</v>
      </c>
      <c r="H392">
        <v>217</v>
      </c>
    </row>
    <row r="393" spans="1:8" x14ac:dyDescent="0.3">
      <c r="A393" t="s">
        <v>270</v>
      </c>
      <c r="B393">
        <v>2018</v>
      </c>
      <c r="C393" t="s">
        <v>304</v>
      </c>
      <c r="D393" t="s">
        <v>305</v>
      </c>
      <c r="E393" t="s">
        <v>65</v>
      </c>
      <c r="F393">
        <v>-1</v>
      </c>
      <c r="G393" t="s">
        <v>270</v>
      </c>
      <c r="H393">
        <v>289</v>
      </c>
    </row>
    <row r="394" spans="1:8" x14ac:dyDescent="0.3">
      <c r="A394" t="s">
        <v>270</v>
      </c>
      <c r="B394">
        <v>2019</v>
      </c>
      <c r="C394" t="s">
        <v>304</v>
      </c>
      <c r="D394" t="s">
        <v>305</v>
      </c>
      <c r="E394" t="s">
        <v>65</v>
      </c>
      <c r="F394">
        <v>-1</v>
      </c>
      <c r="G394" t="s">
        <v>270</v>
      </c>
      <c r="H394">
        <v>521</v>
      </c>
    </row>
    <row r="395" spans="1:8" x14ac:dyDescent="0.3">
      <c r="A395" t="s">
        <v>270</v>
      </c>
      <c r="B395">
        <v>2020</v>
      </c>
      <c r="C395" t="s">
        <v>304</v>
      </c>
      <c r="D395" t="s">
        <v>305</v>
      </c>
      <c r="E395" t="s">
        <v>65</v>
      </c>
      <c r="F395">
        <v>-1</v>
      </c>
      <c r="G395" t="s">
        <v>270</v>
      </c>
      <c r="H395">
        <v>571</v>
      </c>
    </row>
    <row r="396" spans="1:8" x14ac:dyDescent="0.3">
      <c r="A396" t="s">
        <v>270</v>
      </c>
      <c r="B396">
        <v>2021</v>
      </c>
      <c r="C396" t="s">
        <v>304</v>
      </c>
      <c r="D396" t="s">
        <v>305</v>
      </c>
      <c r="E396" t="s">
        <v>65</v>
      </c>
      <c r="F396">
        <v>-1</v>
      </c>
      <c r="G396" t="s">
        <v>270</v>
      </c>
      <c r="H396">
        <v>483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A146D-FBA2-46F2-9397-6953734BC0C0}">
  <dimension ref="A1:H2294"/>
  <sheetViews>
    <sheetView workbookViewId="0">
      <selection activeCell="J10" sqref="J10"/>
    </sheetView>
  </sheetViews>
  <sheetFormatPr defaultRowHeight="14.4" x14ac:dyDescent="0.3"/>
  <sheetData>
    <row r="1" spans="1:8" x14ac:dyDescent="0.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x14ac:dyDescent="0.3">
      <c r="A2" t="s">
        <v>62</v>
      </c>
      <c r="B2">
        <v>2021</v>
      </c>
      <c r="C2" t="s">
        <v>271</v>
      </c>
      <c r="D2" t="s">
        <v>272</v>
      </c>
      <c r="E2" t="s">
        <v>65</v>
      </c>
      <c r="F2">
        <v>50044</v>
      </c>
      <c r="G2" t="s">
        <v>66</v>
      </c>
      <c r="H2">
        <v>1</v>
      </c>
    </row>
    <row r="3" spans="1:8" x14ac:dyDescent="0.3">
      <c r="A3" t="s">
        <v>273</v>
      </c>
      <c r="B3">
        <v>2021</v>
      </c>
      <c r="C3" t="s">
        <v>271</v>
      </c>
      <c r="D3" t="s">
        <v>272</v>
      </c>
      <c r="E3" t="s">
        <v>65</v>
      </c>
      <c r="F3">
        <v>886258</v>
      </c>
      <c r="G3" t="s">
        <v>274</v>
      </c>
      <c r="H3">
        <v>1</v>
      </c>
    </row>
    <row r="4" spans="1:8" x14ac:dyDescent="0.3">
      <c r="A4" t="s">
        <v>275</v>
      </c>
      <c r="B4">
        <v>2017</v>
      </c>
      <c r="C4" t="s">
        <v>271</v>
      </c>
      <c r="D4" t="s">
        <v>272</v>
      </c>
      <c r="E4" t="s">
        <v>65</v>
      </c>
      <c r="F4">
        <v>310852</v>
      </c>
      <c r="G4" t="s">
        <v>276</v>
      </c>
      <c r="H4">
        <v>3</v>
      </c>
    </row>
    <row r="5" spans="1:8" x14ac:dyDescent="0.3">
      <c r="A5" t="s">
        <v>67</v>
      </c>
      <c r="B5">
        <v>2015</v>
      </c>
      <c r="C5" t="s">
        <v>271</v>
      </c>
      <c r="D5" t="s">
        <v>272</v>
      </c>
      <c r="E5" t="s">
        <v>65</v>
      </c>
      <c r="F5">
        <v>2400</v>
      </c>
      <c r="G5" t="s">
        <v>66</v>
      </c>
      <c r="H5">
        <v>2</v>
      </c>
    </row>
    <row r="6" spans="1:8" x14ac:dyDescent="0.3">
      <c r="A6" t="s">
        <v>67</v>
      </c>
      <c r="B6">
        <v>2016</v>
      </c>
      <c r="C6" t="s">
        <v>271</v>
      </c>
      <c r="D6" t="s">
        <v>272</v>
      </c>
      <c r="E6" t="s">
        <v>65</v>
      </c>
      <c r="F6">
        <v>2400</v>
      </c>
      <c r="G6" t="s">
        <v>66</v>
      </c>
      <c r="H6">
        <v>3</v>
      </c>
    </row>
    <row r="7" spans="1:8" x14ac:dyDescent="0.3">
      <c r="A7" t="s">
        <v>67</v>
      </c>
      <c r="B7">
        <v>2018</v>
      </c>
      <c r="C7" t="s">
        <v>271</v>
      </c>
      <c r="D7" t="s">
        <v>272</v>
      </c>
      <c r="E7" t="s">
        <v>65</v>
      </c>
      <c r="F7">
        <v>2400</v>
      </c>
      <c r="G7" t="s">
        <v>66</v>
      </c>
      <c r="H7">
        <v>2</v>
      </c>
    </row>
    <row r="8" spans="1:8" x14ac:dyDescent="0.3">
      <c r="A8" t="s">
        <v>67</v>
      </c>
      <c r="B8">
        <v>2019</v>
      </c>
      <c r="C8" t="s">
        <v>271</v>
      </c>
      <c r="D8" t="s">
        <v>272</v>
      </c>
      <c r="E8" t="s">
        <v>65</v>
      </c>
      <c r="F8">
        <v>2400</v>
      </c>
      <c r="G8" t="s">
        <v>66</v>
      </c>
      <c r="H8">
        <v>4</v>
      </c>
    </row>
    <row r="9" spans="1:8" x14ac:dyDescent="0.3">
      <c r="A9" t="s">
        <v>67</v>
      </c>
      <c r="B9">
        <v>2020</v>
      </c>
      <c r="C9" t="s">
        <v>271</v>
      </c>
      <c r="D9" t="s">
        <v>272</v>
      </c>
      <c r="E9" t="s">
        <v>65</v>
      </c>
      <c r="F9">
        <v>2400</v>
      </c>
      <c r="G9" t="s">
        <v>66</v>
      </c>
      <c r="H9">
        <v>1</v>
      </c>
    </row>
    <row r="10" spans="1:8" x14ac:dyDescent="0.3">
      <c r="A10" t="s">
        <v>67</v>
      </c>
      <c r="B10">
        <v>2021</v>
      </c>
      <c r="C10" t="s">
        <v>271</v>
      </c>
      <c r="D10" t="s">
        <v>272</v>
      </c>
      <c r="E10" t="s">
        <v>65</v>
      </c>
      <c r="F10">
        <v>2400</v>
      </c>
      <c r="G10" t="s">
        <v>66</v>
      </c>
      <c r="H10">
        <v>1</v>
      </c>
    </row>
    <row r="11" spans="1:8" x14ac:dyDescent="0.3">
      <c r="A11" t="s">
        <v>152</v>
      </c>
      <c r="B11">
        <v>2015</v>
      </c>
      <c r="C11" t="s">
        <v>271</v>
      </c>
      <c r="D11" t="s">
        <v>272</v>
      </c>
      <c r="E11" t="s">
        <v>65</v>
      </c>
      <c r="F11">
        <v>6750</v>
      </c>
      <c r="G11" t="s">
        <v>66</v>
      </c>
      <c r="H11">
        <v>1</v>
      </c>
    </row>
    <row r="12" spans="1:8" x14ac:dyDescent="0.3">
      <c r="A12" t="s">
        <v>152</v>
      </c>
      <c r="B12">
        <v>2016</v>
      </c>
      <c r="C12" t="s">
        <v>271</v>
      </c>
      <c r="D12" t="s">
        <v>272</v>
      </c>
      <c r="E12" t="s">
        <v>65</v>
      </c>
      <c r="F12">
        <v>6750</v>
      </c>
      <c r="G12" t="s">
        <v>66</v>
      </c>
      <c r="H12">
        <v>2</v>
      </c>
    </row>
    <row r="13" spans="1:8" x14ac:dyDescent="0.3">
      <c r="A13" t="s">
        <v>152</v>
      </c>
      <c r="B13">
        <v>2018</v>
      </c>
      <c r="C13" t="s">
        <v>271</v>
      </c>
      <c r="D13" t="s">
        <v>272</v>
      </c>
      <c r="E13" t="s">
        <v>65</v>
      </c>
      <c r="F13">
        <v>6750</v>
      </c>
      <c r="G13" t="s">
        <v>66</v>
      </c>
      <c r="H13">
        <v>3</v>
      </c>
    </row>
    <row r="14" spans="1:8" x14ac:dyDescent="0.3">
      <c r="A14" t="s">
        <v>152</v>
      </c>
      <c r="B14">
        <v>2019</v>
      </c>
      <c r="C14" t="s">
        <v>271</v>
      </c>
      <c r="D14" t="s">
        <v>272</v>
      </c>
      <c r="E14" t="s">
        <v>65</v>
      </c>
      <c r="F14">
        <v>6750</v>
      </c>
      <c r="G14" t="s">
        <v>66</v>
      </c>
      <c r="H14">
        <v>1</v>
      </c>
    </row>
    <row r="15" spans="1:8" x14ac:dyDescent="0.3">
      <c r="A15" t="s">
        <v>152</v>
      </c>
      <c r="B15">
        <v>2020</v>
      </c>
      <c r="C15" t="s">
        <v>271</v>
      </c>
      <c r="D15" t="s">
        <v>272</v>
      </c>
      <c r="E15" t="s">
        <v>65</v>
      </c>
      <c r="F15">
        <v>6750</v>
      </c>
      <c r="G15" t="s">
        <v>66</v>
      </c>
      <c r="H15">
        <v>4</v>
      </c>
    </row>
    <row r="16" spans="1:8" x14ac:dyDescent="0.3">
      <c r="A16" t="s">
        <v>69</v>
      </c>
      <c r="B16">
        <v>2014</v>
      </c>
      <c r="C16" t="s">
        <v>271</v>
      </c>
      <c r="D16" t="s">
        <v>272</v>
      </c>
      <c r="E16" t="s">
        <v>65</v>
      </c>
      <c r="F16">
        <v>10700</v>
      </c>
      <c r="G16" t="s">
        <v>66</v>
      </c>
      <c r="H16">
        <v>14</v>
      </c>
    </row>
    <row r="17" spans="1:8" x14ac:dyDescent="0.3">
      <c r="A17" t="s">
        <v>69</v>
      </c>
      <c r="B17">
        <v>2015</v>
      </c>
      <c r="C17" t="s">
        <v>271</v>
      </c>
      <c r="D17" t="s">
        <v>272</v>
      </c>
      <c r="E17" t="s">
        <v>65</v>
      </c>
      <c r="F17">
        <v>10700</v>
      </c>
      <c r="G17" t="s">
        <v>66</v>
      </c>
      <c r="H17">
        <v>12</v>
      </c>
    </row>
    <row r="18" spans="1:8" x14ac:dyDescent="0.3">
      <c r="A18" t="s">
        <v>69</v>
      </c>
      <c r="B18">
        <v>2016</v>
      </c>
      <c r="C18" t="s">
        <v>271</v>
      </c>
      <c r="D18" t="s">
        <v>272</v>
      </c>
      <c r="E18" t="s">
        <v>65</v>
      </c>
      <c r="F18">
        <v>10700</v>
      </c>
      <c r="G18" t="s">
        <v>66</v>
      </c>
      <c r="H18">
        <v>2</v>
      </c>
    </row>
    <row r="19" spans="1:8" x14ac:dyDescent="0.3">
      <c r="A19" t="s">
        <v>69</v>
      </c>
      <c r="B19">
        <v>2017</v>
      </c>
      <c r="C19" t="s">
        <v>271</v>
      </c>
      <c r="D19" t="s">
        <v>272</v>
      </c>
      <c r="E19" t="s">
        <v>65</v>
      </c>
      <c r="F19">
        <v>10700</v>
      </c>
      <c r="G19" t="s">
        <v>66</v>
      </c>
      <c r="H19">
        <v>4</v>
      </c>
    </row>
    <row r="20" spans="1:8" x14ac:dyDescent="0.3">
      <c r="A20" t="s">
        <v>69</v>
      </c>
      <c r="B20">
        <v>2018</v>
      </c>
      <c r="C20" t="s">
        <v>271</v>
      </c>
      <c r="D20" t="s">
        <v>272</v>
      </c>
      <c r="E20" t="s">
        <v>65</v>
      </c>
      <c r="F20">
        <v>10700</v>
      </c>
      <c r="G20" t="s">
        <v>66</v>
      </c>
      <c r="H20">
        <v>3</v>
      </c>
    </row>
    <row r="21" spans="1:8" x14ac:dyDescent="0.3">
      <c r="A21" t="s">
        <v>69</v>
      </c>
      <c r="B21">
        <v>2019</v>
      </c>
      <c r="C21" t="s">
        <v>271</v>
      </c>
      <c r="D21" t="s">
        <v>272</v>
      </c>
      <c r="E21" t="s">
        <v>65</v>
      </c>
      <c r="F21">
        <v>10700</v>
      </c>
      <c r="G21" t="s">
        <v>66</v>
      </c>
      <c r="H21">
        <v>1</v>
      </c>
    </row>
    <row r="22" spans="1:8" x14ac:dyDescent="0.3">
      <c r="A22" t="s">
        <v>69</v>
      </c>
      <c r="B22">
        <v>2020</v>
      </c>
      <c r="C22" t="s">
        <v>271</v>
      </c>
      <c r="D22" t="s">
        <v>272</v>
      </c>
      <c r="E22" t="s">
        <v>65</v>
      </c>
      <c r="F22">
        <v>10700</v>
      </c>
      <c r="G22" t="s">
        <v>66</v>
      </c>
      <c r="H22">
        <v>10</v>
      </c>
    </row>
    <row r="23" spans="1:8" x14ac:dyDescent="0.3">
      <c r="A23" t="s">
        <v>69</v>
      </c>
      <c r="B23">
        <v>2021</v>
      </c>
      <c r="C23" t="s">
        <v>271</v>
      </c>
      <c r="D23" t="s">
        <v>272</v>
      </c>
      <c r="E23" t="s">
        <v>65</v>
      </c>
      <c r="F23">
        <v>10700</v>
      </c>
      <c r="G23" t="s">
        <v>66</v>
      </c>
      <c r="H23">
        <v>10</v>
      </c>
    </row>
    <row r="24" spans="1:8" x14ac:dyDescent="0.3">
      <c r="A24" t="s">
        <v>155</v>
      </c>
      <c r="B24">
        <v>2014</v>
      </c>
      <c r="C24" t="s">
        <v>271</v>
      </c>
      <c r="D24" t="s">
        <v>272</v>
      </c>
      <c r="E24" t="s">
        <v>65</v>
      </c>
      <c r="F24">
        <v>11750</v>
      </c>
      <c r="G24" t="s">
        <v>66</v>
      </c>
      <c r="H24">
        <v>2</v>
      </c>
    </row>
    <row r="25" spans="1:8" x14ac:dyDescent="0.3">
      <c r="A25" t="s">
        <v>155</v>
      </c>
      <c r="B25">
        <v>2017</v>
      </c>
      <c r="C25" t="s">
        <v>271</v>
      </c>
      <c r="D25" t="s">
        <v>272</v>
      </c>
      <c r="E25" t="s">
        <v>65</v>
      </c>
      <c r="F25">
        <v>11750</v>
      </c>
      <c r="G25" t="s">
        <v>66</v>
      </c>
      <c r="H25">
        <v>1</v>
      </c>
    </row>
    <row r="26" spans="1:8" x14ac:dyDescent="0.3">
      <c r="A26" t="s">
        <v>155</v>
      </c>
      <c r="B26">
        <v>2018</v>
      </c>
      <c r="C26" t="s">
        <v>271</v>
      </c>
      <c r="D26" t="s">
        <v>272</v>
      </c>
      <c r="E26" t="s">
        <v>65</v>
      </c>
      <c r="F26">
        <v>11750</v>
      </c>
      <c r="G26" t="s">
        <v>66</v>
      </c>
      <c r="H26">
        <v>2</v>
      </c>
    </row>
    <row r="27" spans="1:8" x14ac:dyDescent="0.3">
      <c r="A27" t="s">
        <v>155</v>
      </c>
      <c r="B27">
        <v>2021</v>
      </c>
      <c r="C27" t="s">
        <v>271</v>
      </c>
      <c r="D27" t="s">
        <v>272</v>
      </c>
      <c r="E27" t="s">
        <v>65</v>
      </c>
      <c r="F27">
        <v>11750</v>
      </c>
      <c r="G27" t="s">
        <v>66</v>
      </c>
      <c r="H27">
        <v>1</v>
      </c>
    </row>
    <row r="28" spans="1:8" x14ac:dyDescent="0.3">
      <c r="A28" t="s">
        <v>70</v>
      </c>
      <c r="B28">
        <v>2014</v>
      </c>
      <c r="C28" t="s">
        <v>271</v>
      </c>
      <c r="D28" t="s">
        <v>272</v>
      </c>
      <c r="E28" t="s">
        <v>65</v>
      </c>
      <c r="F28">
        <v>6850</v>
      </c>
      <c r="G28" t="s">
        <v>66</v>
      </c>
      <c r="H28">
        <v>2</v>
      </c>
    </row>
    <row r="29" spans="1:8" x14ac:dyDescent="0.3">
      <c r="A29" t="s">
        <v>70</v>
      </c>
      <c r="B29">
        <v>2015</v>
      </c>
      <c r="C29" t="s">
        <v>271</v>
      </c>
      <c r="D29" t="s">
        <v>272</v>
      </c>
      <c r="E29" t="s">
        <v>65</v>
      </c>
      <c r="F29">
        <v>6850</v>
      </c>
      <c r="G29" t="s">
        <v>66</v>
      </c>
      <c r="H29">
        <v>1</v>
      </c>
    </row>
    <row r="30" spans="1:8" x14ac:dyDescent="0.3">
      <c r="A30" t="s">
        <v>70</v>
      </c>
      <c r="B30">
        <v>2017</v>
      </c>
      <c r="C30" t="s">
        <v>271</v>
      </c>
      <c r="D30" t="s">
        <v>272</v>
      </c>
      <c r="E30" t="s">
        <v>65</v>
      </c>
      <c r="F30">
        <v>6850</v>
      </c>
      <c r="G30" t="s">
        <v>66</v>
      </c>
      <c r="H30">
        <v>1</v>
      </c>
    </row>
    <row r="31" spans="1:8" x14ac:dyDescent="0.3">
      <c r="A31" t="s">
        <v>70</v>
      </c>
      <c r="B31">
        <v>2018</v>
      </c>
      <c r="C31" t="s">
        <v>271</v>
      </c>
      <c r="D31" t="s">
        <v>272</v>
      </c>
      <c r="E31" t="s">
        <v>65</v>
      </c>
      <c r="F31">
        <v>6850</v>
      </c>
      <c r="G31" t="s">
        <v>66</v>
      </c>
      <c r="H31">
        <v>2</v>
      </c>
    </row>
    <row r="32" spans="1:8" x14ac:dyDescent="0.3">
      <c r="A32" t="s">
        <v>156</v>
      </c>
      <c r="B32">
        <v>2015</v>
      </c>
      <c r="C32" t="s">
        <v>271</v>
      </c>
      <c r="D32" t="s">
        <v>272</v>
      </c>
      <c r="E32" t="s">
        <v>65</v>
      </c>
      <c r="F32">
        <v>35650</v>
      </c>
      <c r="G32" t="s">
        <v>72</v>
      </c>
      <c r="H32">
        <v>1</v>
      </c>
    </row>
    <row r="33" spans="1:8" x14ac:dyDescent="0.3">
      <c r="A33" t="s">
        <v>156</v>
      </c>
      <c r="B33">
        <v>2016</v>
      </c>
      <c r="C33" t="s">
        <v>271</v>
      </c>
      <c r="D33" t="s">
        <v>272</v>
      </c>
      <c r="E33" t="s">
        <v>65</v>
      </c>
      <c r="F33">
        <v>35650</v>
      </c>
      <c r="G33" t="s">
        <v>72</v>
      </c>
      <c r="H33">
        <v>3</v>
      </c>
    </row>
    <row r="34" spans="1:8" x14ac:dyDescent="0.3">
      <c r="A34" t="s">
        <v>156</v>
      </c>
      <c r="B34">
        <v>2018</v>
      </c>
      <c r="C34" t="s">
        <v>271</v>
      </c>
      <c r="D34" t="s">
        <v>272</v>
      </c>
      <c r="E34" t="s">
        <v>65</v>
      </c>
      <c r="F34">
        <v>35650</v>
      </c>
      <c r="G34" t="s">
        <v>72</v>
      </c>
      <c r="H34">
        <v>1</v>
      </c>
    </row>
    <row r="35" spans="1:8" x14ac:dyDescent="0.3">
      <c r="A35" t="s">
        <v>156</v>
      </c>
      <c r="B35">
        <v>2020</v>
      </c>
      <c r="C35" t="s">
        <v>271</v>
      </c>
      <c r="D35" t="s">
        <v>272</v>
      </c>
      <c r="E35" t="s">
        <v>65</v>
      </c>
      <c r="F35">
        <v>35650</v>
      </c>
      <c r="G35" t="s">
        <v>72</v>
      </c>
      <c r="H35">
        <v>1</v>
      </c>
    </row>
    <row r="36" spans="1:8" x14ac:dyDescent="0.3">
      <c r="A36" t="s">
        <v>156</v>
      </c>
      <c r="B36">
        <v>2021</v>
      </c>
      <c r="C36" t="s">
        <v>271</v>
      </c>
      <c r="D36" t="s">
        <v>272</v>
      </c>
      <c r="E36" t="s">
        <v>65</v>
      </c>
      <c r="F36">
        <v>35650</v>
      </c>
      <c r="G36" t="s">
        <v>72</v>
      </c>
      <c r="H36">
        <v>2</v>
      </c>
    </row>
    <row r="37" spans="1:8" x14ac:dyDescent="0.3">
      <c r="A37" t="s">
        <v>277</v>
      </c>
      <c r="B37">
        <v>2017</v>
      </c>
      <c r="C37" t="s">
        <v>271</v>
      </c>
      <c r="D37" t="s">
        <v>272</v>
      </c>
      <c r="E37" t="s">
        <v>65</v>
      </c>
      <c r="F37">
        <v>36825</v>
      </c>
      <c r="G37" t="s">
        <v>72</v>
      </c>
      <c r="H37">
        <v>3</v>
      </c>
    </row>
    <row r="38" spans="1:8" x14ac:dyDescent="0.3">
      <c r="A38" t="s">
        <v>277</v>
      </c>
      <c r="B38">
        <v>2019</v>
      </c>
      <c r="C38" t="s">
        <v>271</v>
      </c>
      <c r="D38" t="s">
        <v>272</v>
      </c>
      <c r="E38" t="s">
        <v>65</v>
      </c>
      <c r="F38">
        <v>36825</v>
      </c>
      <c r="G38" t="s">
        <v>72</v>
      </c>
      <c r="H38">
        <v>2</v>
      </c>
    </row>
    <row r="39" spans="1:8" x14ac:dyDescent="0.3">
      <c r="A39" t="s">
        <v>158</v>
      </c>
      <c r="B39">
        <v>2021</v>
      </c>
      <c r="C39" t="s">
        <v>271</v>
      </c>
      <c r="D39" t="s">
        <v>272</v>
      </c>
      <c r="E39" t="s">
        <v>65</v>
      </c>
      <c r="F39">
        <v>16000</v>
      </c>
      <c r="G39" t="s">
        <v>66</v>
      </c>
      <c r="H39">
        <v>1</v>
      </c>
    </row>
    <row r="40" spans="1:8" x14ac:dyDescent="0.3">
      <c r="A40" t="s">
        <v>159</v>
      </c>
      <c r="B40">
        <v>2014</v>
      </c>
      <c r="C40" t="s">
        <v>271</v>
      </c>
      <c r="D40" t="s">
        <v>272</v>
      </c>
      <c r="E40" t="s">
        <v>65</v>
      </c>
      <c r="F40">
        <v>17120</v>
      </c>
      <c r="G40" t="s">
        <v>72</v>
      </c>
      <c r="H40">
        <v>3</v>
      </c>
    </row>
    <row r="41" spans="1:8" x14ac:dyDescent="0.3">
      <c r="A41" t="s">
        <v>159</v>
      </c>
      <c r="B41">
        <v>2015</v>
      </c>
      <c r="C41" t="s">
        <v>271</v>
      </c>
      <c r="D41" t="s">
        <v>272</v>
      </c>
      <c r="E41" t="s">
        <v>65</v>
      </c>
      <c r="F41">
        <v>17120</v>
      </c>
      <c r="G41" t="s">
        <v>72</v>
      </c>
      <c r="H41">
        <v>3</v>
      </c>
    </row>
    <row r="42" spans="1:8" x14ac:dyDescent="0.3">
      <c r="A42" t="s">
        <v>159</v>
      </c>
      <c r="B42">
        <v>2016</v>
      </c>
      <c r="C42" t="s">
        <v>271</v>
      </c>
      <c r="D42" t="s">
        <v>272</v>
      </c>
      <c r="E42" t="s">
        <v>65</v>
      </c>
      <c r="F42">
        <v>17120</v>
      </c>
      <c r="G42" t="s">
        <v>72</v>
      </c>
      <c r="H42">
        <v>10</v>
      </c>
    </row>
    <row r="43" spans="1:8" x14ac:dyDescent="0.3">
      <c r="A43" t="s">
        <v>159</v>
      </c>
      <c r="B43">
        <v>2017</v>
      </c>
      <c r="C43" t="s">
        <v>271</v>
      </c>
      <c r="D43" t="s">
        <v>272</v>
      </c>
      <c r="E43" t="s">
        <v>65</v>
      </c>
      <c r="F43">
        <v>17120</v>
      </c>
      <c r="G43" t="s">
        <v>72</v>
      </c>
      <c r="H43">
        <v>6</v>
      </c>
    </row>
    <row r="44" spans="1:8" x14ac:dyDescent="0.3">
      <c r="A44" t="s">
        <v>159</v>
      </c>
      <c r="B44">
        <v>2018</v>
      </c>
      <c r="C44" t="s">
        <v>271</v>
      </c>
      <c r="D44" t="s">
        <v>272</v>
      </c>
      <c r="E44" t="s">
        <v>65</v>
      </c>
      <c r="F44">
        <v>17120</v>
      </c>
      <c r="G44" t="s">
        <v>72</v>
      </c>
      <c r="H44">
        <v>7</v>
      </c>
    </row>
    <row r="45" spans="1:8" x14ac:dyDescent="0.3">
      <c r="A45" t="s">
        <v>159</v>
      </c>
      <c r="B45">
        <v>2019</v>
      </c>
      <c r="C45" t="s">
        <v>271</v>
      </c>
      <c r="D45" t="s">
        <v>272</v>
      </c>
      <c r="E45" t="s">
        <v>65</v>
      </c>
      <c r="F45">
        <v>17120</v>
      </c>
      <c r="G45" t="s">
        <v>72</v>
      </c>
      <c r="H45">
        <v>2</v>
      </c>
    </row>
    <row r="46" spans="1:8" x14ac:dyDescent="0.3">
      <c r="A46" t="s">
        <v>160</v>
      </c>
      <c r="B46">
        <v>2014</v>
      </c>
      <c r="C46" t="s">
        <v>271</v>
      </c>
      <c r="D46" t="s">
        <v>272</v>
      </c>
      <c r="E46" t="s">
        <v>65</v>
      </c>
      <c r="F46">
        <v>16500</v>
      </c>
      <c r="G46" t="s">
        <v>72</v>
      </c>
      <c r="H46">
        <v>23</v>
      </c>
    </row>
    <row r="47" spans="1:8" x14ac:dyDescent="0.3">
      <c r="A47" t="s">
        <v>160</v>
      </c>
      <c r="B47">
        <v>2015</v>
      </c>
      <c r="C47" t="s">
        <v>271</v>
      </c>
      <c r="D47" t="s">
        <v>272</v>
      </c>
      <c r="E47" t="s">
        <v>65</v>
      </c>
      <c r="F47">
        <v>16500</v>
      </c>
      <c r="G47" t="s">
        <v>72</v>
      </c>
      <c r="H47">
        <v>30</v>
      </c>
    </row>
    <row r="48" spans="1:8" x14ac:dyDescent="0.3">
      <c r="A48" t="s">
        <v>160</v>
      </c>
      <c r="B48">
        <v>2016</v>
      </c>
      <c r="C48" t="s">
        <v>271</v>
      </c>
      <c r="D48" t="s">
        <v>272</v>
      </c>
      <c r="E48" t="s">
        <v>65</v>
      </c>
      <c r="F48">
        <v>16500</v>
      </c>
      <c r="G48" t="s">
        <v>72</v>
      </c>
      <c r="H48">
        <v>23</v>
      </c>
    </row>
    <row r="49" spans="1:8" x14ac:dyDescent="0.3">
      <c r="A49" t="s">
        <v>160</v>
      </c>
      <c r="B49">
        <v>2017</v>
      </c>
      <c r="C49" t="s">
        <v>271</v>
      </c>
      <c r="D49" t="s">
        <v>272</v>
      </c>
      <c r="E49" t="s">
        <v>65</v>
      </c>
      <c r="F49">
        <v>16500</v>
      </c>
      <c r="G49" t="s">
        <v>72</v>
      </c>
      <c r="H49">
        <v>52</v>
      </c>
    </row>
    <row r="50" spans="1:8" x14ac:dyDescent="0.3">
      <c r="A50" t="s">
        <v>160</v>
      </c>
      <c r="B50">
        <v>2018</v>
      </c>
      <c r="C50" t="s">
        <v>271</v>
      </c>
      <c r="D50" t="s">
        <v>272</v>
      </c>
      <c r="E50" t="s">
        <v>65</v>
      </c>
      <c r="F50">
        <v>16500</v>
      </c>
      <c r="G50" t="s">
        <v>72</v>
      </c>
      <c r="H50">
        <v>37</v>
      </c>
    </row>
    <row r="51" spans="1:8" x14ac:dyDescent="0.3">
      <c r="A51" t="s">
        <v>160</v>
      </c>
      <c r="B51">
        <v>2019</v>
      </c>
      <c r="C51" t="s">
        <v>271</v>
      </c>
      <c r="D51" t="s">
        <v>272</v>
      </c>
      <c r="E51" t="s">
        <v>65</v>
      </c>
      <c r="F51">
        <v>16500</v>
      </c>
      <c r="G51" t="s">
        <v>72</v>
      </c>
      <c r="H51">
        <v>38</v>
      </c>
    </row>
    <row r="52" spans="1:8" x14ac:dyDescent="0.3">
      <c r="A52" t="s">
        <v>160</v>
      </c>
      <c r="B52">
        <v>2020</v>
      </c>
      <c r="C52" t="s">
        <v>271</v>
      </c>
      <c r="D52" t="s">
        <v>272</v>
      </c>
      <c r="E52" t="s">
        <v>65</v>
      </c>
      <c r="F52">
        <v>16500</v>
      </c>
      <c r="G52" t="s">
        <v>72</v>
      </c>
      <c r="H52">
        <v>11</v>
      </c>
    </row>
    <row r="53" spans="1:8" x14ac:dyDescent="0.3">
      <c r="A53" t="s">
        <v>160</v>
      </c>
      <c r="B53">
        <v>2021</v>
      </c>
      <c r="C53" t="s">
        <v>271</v>
      </c>
      <c r="D53" t="s">
        <v>272</v>
      </c>
      <c r="E53" t="s">
        <v>65</v>
      </c>
      <c r="F53">
        <v>16500</v>
      </c>
      <c r="G53" t="s">
        <v>72</v>
      </c>
      <c r="H53">
        <v>36</v>
      </c>
    </row>
    <row r="54" spans="1:8" x14ac:dyDescent="0.3">
      <c r="A54" t="s">
        <v>161</v>
      </c>
      <c r="B54">
        <v>2017</v>
      </c>
      <c r="C54" t="s">
        <v>271</v>
      </c>
      <c r="D54" t="s">
        <v>272</v>
      </c>
      <c r="E54" t="s">
        <v>65</v>
      </c>
      <c r="F54">
        <v>181200</v>
      </c>
      <c r="G54" t="s">
        <v>72</v>
      </c>
      <c r="H54">
        <v>1</v>
      </c>
    </row>
    <row r="55" spans="1:8" x14ac:dyDescent="0.3">
      <c r="A55" t="s">
        <v>161</v>
      </c>
      <c r="B55">
        <v>2018</v>
      </c>
      <c r="C55" t="s">
        <v>271</v>
      </c>
      <c r="D55" t="s">
        <v>272</v>
      </c>
      <c r="E55" t="s">
        <v>65</v>
      </c>
      <c r="F55">
        <v>181200</v>
      </c>
      <c r="G55" t="s">
        <v>72</v>
      </c>
      <c r="H55">
        <v>65</v>
      </c>
    </row>
    <row r="56" spans="1:8" x14ac:dyDescent="0.3">
      <c r="A56" t="s">
        <v>161</v>
      </c>
      <c r="B56">
        <v>2019</v>
      </c>
      <c r="C56" t="s">
        <v>271</v>
      </c>
      <c r="D56" t="s">
        <v>272</v>
      </c>
      <c r="E56" t="s">
        <v>65</v>
      </c>
      <c r="F56">
        <v>181200</v>
      </c>
      <c r="G56" t="s">
        <v>72</v>
      </c>
      <c r="H56">
        <v>16</v>
      </c>
    </row>
    <row r="57" spans="1:8" x14ac:dyDescent="0.3">
      <c r="A57" t="s">
        <v>161</v>
      </c>
      <c r="B57">
        <v>2020</v>
      </c>
      <c r="C57" t="s">
        <v>271</v>
      </c>
      <c r="D57" t="s">
        <v>272</v>
      </c>
      <c r="E57" t="s">
        <v>65</v>
      </c>
      <c r="F57">
        <v>181200</v>
      </c>
      <c r="G57" t="s">
        <v>72</v>
      </c>
      <c r="H57">
        <v>22</v>
      </c>
    </row>
    <row r="58" spans="1:8" x14ac:dyDescent="0.3">
      <c r="A58" t="s">
        <v>161</v>
      </c>
      <c r="B58">
        <v>2021</v>
      </c>
      <c r="C58" t="s">
        <v>271</v>
      </c>
      <c r="D58" t="s">
        <v>272</v>
      </c>
      <c r="E58" t="s">
        <v>65</v>
      </c>
      <c r="F58">
        <v>181200</v>
      </c>
      <c r="G58" t="s">
        <v>72</v>
      </c>
      <c r="H58">
        <v>150</v>
      </c>
    </row>
    <row r="59" spans="1:8" x14ac:dyDescent="0.3">
      <c r="A59" t="s">
        <v>278</v>
      </c>
      <c r="B59">
        <v>2018</v>
      </c>
      <c r="C59" t="s">
        <v>271</v>
      </c>
      <c r="D59" t="s">
        <v>272</v>
      </c>
      <c r="E59" t="s">
        <v>65</v>
      </c>
      <c r="F59">
        <v>194668</v>
      </c>
      <c r="G59" t="s">
        <v>72</v>
      </c>
      <c r="H59">
        <v>3</v>
      </c>
    </row>
    <row r="60" spans="1:8" x14ac:dyDescent="0.3">
      <c r="A60" t="s">
        <v>278</v>
      </c>
      <c r="B60">
        <v>2019</v>
      </c>
      <c r="C60" t="s">
        <v>271</v>
      </c>
      <c r="D60" t="s">
        <v>272</v>
      </c>
      <c r="E60" t="s">
        <v>65</v>
      </c>
      <c r="F60">
        <v>194668</v>
      </c>
      <c r="G60" t="s">
        <v>72</v>
      </c>
      <c r="H60">
        <v>6</v>
      </c>
    </row>
    <row r="61" spans="1:8" x14ac:dyDescent="0.3">
      <c r="A61" t="s">
        <v>278</v>
      </c>
      <c r="B61">
        <v>2020</v>
      </c>
      <c r="C61" t="s">
        <v>271</v>
      </c>
      <c r="D61" t="s">
        <v>272</v>
      </c>
      <c r="E61" t="s">
        <v>65</v>
      </c>
      <c r="F61">
        <v>194668</v>
      </c>
      <c r="G61" t="s">
        <v>72</v>
      </c>
      <c r="H61">
        <v>10</v>
      </c>
    </row>
    <row r="62" spans="1:8" x14ac:dyDescent="0.3">
      <c r="A62" t="s">
        <v>278</v>
      </c>
      <c r="B62">
        <v>2021</v>
      </c>
      <c r="C62" t="s">
        <v>271</v>
      </c>
      <c r="D62" t="s">
        <v>272</v>
      </c>
      <c r="E62" t="s">
        <v>65</v>
      </c>
      <c r="F62">
        <v>194668</v>
      </c>
      <c r="G62" t="s">
        <v>72</v>
      </c>
      <c r="H62">
        <v>51</v>
      </c>
    </row>
    <row r="63" spans="1:8" x14ac:dyDescent="0.3">
      <c r="A63" t="s">
        <v>162</v>
      </c>
      <c r="B63">
        <v>2014</v>
      </c>
      <c r="C63" t="s">
        <v>271</v>
      </c>
      <c r="D63" t="s">
        <v>272</v>
      </c>
      <c r="E63" t="s">
        <v>65</v>
      </c>
      <c r="F63">
        <v>93000</v>
      </c>
      <c r="G63" t="s">
        <v>72</v>
      </c>
      <c r="H63">
        <v>2</v>
      </c>
    </row>
    <row r="64" spans="1:8" x14ac:dyDescent="0.3">
      <c r="A64" t="s">
        <v>162</v>
      </c>
      <c r="B64">
        <v>2015</v>
      </c>
      <c r="C64" t="s">
        <v>271</v>
      </c>
      <c r="D64" t="s">
        <v>272</v>
      </c>
      <c r="E64" t="s">
        <v>65</v>
      </c>
      <c r="F64">
        <v>93000</v>
      </c>
      <c r="G64" t="s">
        <v>72</v>
      </c>
      <c r="H64">
        <v>9</v>
      </c>
    </row>
    <row r="65" spans="1:8" x14ac:dyDescent="0.3">
      <c r="A65" t="s">
        <v>162</v>
      </c>
      <c r="B65">
        <v>2016</v>
      </c>
      <c r="C65" t="s">
        <v>271</v>
      </c>
      <c r="D65" t="s">
        <v>272</v>
      </c>
      <c r="E65" t="s">
        <v>65</v>
      </c>
      <c r="F65">
        <v>93000</v>
      </c>
      <c r="G65" t="s">
        <v>72</v>
      </c>
      <c r="H65">
        <v>5</v>
      </c>
    </row>
    <row r="66" spans="1:8" x14ac:dyDescent="0.3">
      <c r="A66" t="s">
        <v>162</v>
      </c>
      <c r="B66">
        <v>2017</v>
      </c>
      <c r="C66" t="s">
        <v>271</v>
      </c>
      <c r="D66" t="s">
        <v>272</v>
      </c>
      <c r="E66" t="s">
        <v>65</v>
      </c>
      <c r="F66">
        <v>93000</v>
      </c>
      <c r="G66" t="s">
        <v>72</v>
      </c>
      <c r="H66">
        <v>6</v>
      </c>
    </row>
    <row r="67" spans="1:8" x14ac:dyDescent="0.3">
      <c r="A67" t="s">
        <v>162</v>
      </c>
      <c r="B67">
        <v>2018</v>
      </c>
      <c r="C67" t="s">
        <v>271</v>
      </c>
      <c r="D67" t="s">
        <v>272</v>
      </c>
      <c r="E67" t="s">
        <v>65</v>
      </c>
      <c r="F67">
        <v>93000</v>
      </c>
      <c r="G67" t="s">
        <v>72</v>
      </c>
      <c r="H67">
        <v>1</v>
      </c>
    </row>
    <row r="68" spans="1:8" x14ac:dyDescent="0.3">
      <c r="A68" t="s">
        <v>162</v>
      </c>
      <c r="B68">
        <v>2019</v>
      </c>
      <c r="C68" t="s">
        <v>271</v>
      </c>
      <c r="D68" t="s">
        <v>272</v>
      </c>
      <c r="E68" t="s">
        <v>65</v>
      </c>
      <c r="F68">
        <v>93000</v>
      </c>
      <c r="G68" t="s">
        <v>72</v>
      </c>
      <c r="H68">
        <v>1</v>
      </c>
    </row>
    <row r="69" spans="1:8" x14ac:dyDescent="0.3">
      <c r="A69" t="s">
        <v>162</v>
      </c>
      <c r="B69">
        <v>2020</v>
      </c>
      <c r="C69" t="s">
        <v>271</v>
      </c>
      <c r="D69" t="s">
        <v>272</v>
      </c>
      <c r="E69" t="s">
        <v>65</v>
      </c>
      <c r="F69">
        <v>93000</v>
      </c>
      <c r="G69" t="s">
        <v>72</v>
      </c>
      <c r="H69">
        <v>2</v>
      </c>
    </row>
    <row r="70" spans="1:8" x14ac:dyDescent="0.3">
      <c r="A70" t="s">
        <v>162</v>
      </c>
      <c r="B70">
        <v>2021</v>
      </c>
      <c r="C70" t="s">
        <v>271</v>
      </c>
      <c r="D70" t="s">
        <v>272</v>
      </c>
      <c r="E70" t="s">
        <v>65</v>
      </c>
      <c r="F70">
        <v>93000</v>
      </c>
      <c r="G70" t="s">
        <v>72</v>
      </c>
      <c r="H70">
        <v>4</v>
      </c>
    </row>
    <row r="71" spans="1:8" x14ac:dyDescent="0.3">
      <c r="A71" t="s">
        <v>279</v>
      </c>
      <c r="B71">
        <v>2014</v>
      </c>
      <c r="C71" t="s">
        <v>271</v>
      </c>
      <c r="D71" t="s">
        <v>272</v>
      </c>
      <c r="E71" t="s">
        <v>65</v>
      </c>
      <c r="F71">
        <v>333600</v>
      </c>
      <c r="G71" t="s">
        <v>83</v>
      </c>
      <c r="H71">
        <v>4</v>
      </c>
    </row>
    <row r="72" spans="1:8" x14ac:dyDescent="0.3">
      <c r="A72" t="s">
        <v>279</v>
      </c>
      <c r="B72">
        <v>2015</v>
      </c>
      <c r="C72" t="s">
        <v>271</v>
      </c>
      <c r="D72" t="s">
        <v>272</v>
      </c>
      <c r="E72" t="s">
        <v>65</v>
      </c>
      <c r="F72">
        <v>333600</v>
      </c>
      <c r="G72" t="s">
        <v>83</v>
      </c>
      <c r="H72">
        <v>12</v>
      </c>
    </row>
    <row r="73" spans="1:8" x14ac:dyDescent="0.3">
      <c r="A73" t="s">
        <v>279</v>
      </c>
      <c r="B73">
        <v>2016</v>
      </c>
      <c r="C73" t="s">
        <v>271</v>
      </c>
      <c r="D73" t="s">
        <v>272</v>
      </c>
      <c r="E73" t="s">
        <v>65</v>
      </c>
      <c r="F73">
        <v>333600</v>
      </c>
      <c r="G73" t="s">
        <v>83</v>
      </c>
      <c r="H73">
        <v>13</v>
      </c>
    </row>
    <row r="74" spans="1:8" x14ac:dyDescent="0.3">
      <c r="A74" t="s">
        <v>279</v>
      </c>
      <c r="B74">
        <v>2017</v>
      </c>
      <c r="C74" t="s">
        <v>271</v>
      </c>
      <c r="D74" t="s">
        <v>272</v>
      </c>
      <c r="E74" t="s">
        <v>65</v>
      </c>
      <c r="F74">
        <v>333600</v>
      </c>
      <c r="G74" t="s">
        <v>83</v>
      </c>
      <c r="H74">
        <v>4</v>
      </c>
    </row>
    <row r="75" spans="1:8" x14ac:dyDescent="0.3">
      <c r="A75" t="s">
        <v>279</v>
      </c>
      <c r="B75">
        <v>2018</v>
      </c>
      <c r="C75" t="s">
        <v>271</v>
      </c>
      <c r="D75" t="s">
        <v>272</v>
      </c>
      <c r="E75" t="s">
        <v>65</v>
      </c>
      <c r="F75">
        <v>333600</v>
      </c>
      <c r="G75" t="s">
        <v>83</v>
      </c>
      <c r="H75">
        <v>4</v>
      </c>
    </row>
    <row r="76" spans="1:8" x14ac:dyDescent="0.3">
      <c r="A76" t="s">
        <v>279</v>
      </c>
      <c r="B76">
        <v>2019</v>
      </c>
      <c r="C76" t="s">
        <v>271</v>
      </c>
      <c r="D76" t="s">
        <v>272</v>
      </c>
      <c r="E76" t="s">
        <v>65</v>
      </c>
      <c r="F76">
        <v>333600</v>
      </c>
      <c r="G76" t="s">
        <v>83</v>
      </c>
      <c r="H76">
        <v>9</v>
      </c>
    </row>
    <row r="77" spans="1:8" x14ac:dyDescent="0.3">
      <c r="A77" t="s">
        <v>279</v>
      </c>
      <c r="B77">
        <v>2020</v>
      </c>
      <c r="C77" t="s">
        <v>271</v>
      </c>
      <c r="D77" t="s">
        <v>272</v>
      </c>
      <c r="E77" t="s">
        <v>65</v>
      </c>
      <c r="F77">
        <v>333600</v>
      </c>
      <c r="G77" t="s">
        <v>83</v>
      </c>
      <c r="H77">
        <v>1</v>
      </c>
    </row>
    <row r="78" spans="1:8" x14ac:dyDescent="0.3">
      <c r="A78" t="s">
        <v>163</v>
      </c>
      <c r="B78">
        <v>2021</v>
      </c>
      <c r="C78" t="s">
        <v>271</v>
      </c>
      <c r="D78" t="s">
        <v>272</v>
      </c>
      <c r="E78" t="s">
        <v>65</v>
      </c>
      <c r="F78">
        <v>209500</v>
      </c>
      <c r="G78" t="s">
        <v>72</v>
      </c>
      <c r="H78">
        <v>1</v>
      </c>
    </row>
    <row r="79" spans="1:8" x14ac:dyDescent="0.3">
      <c r="A79" t="s">
        <v>280</v>
      </c>
      <c r="B79">
        <v>2014</v>
      </c>
      <c r="C79" t="s">
        <v>271</v>
      </c>
      <c r="D79" t="s">
        <v>272</v>
      </c>
      <c r="E79" t="s">
        <v>65</v>
      </c>
      <c r="F79">
        <v>128100</v>
      </c>
      <c r="G79" t="s">
        <v>72</v>
      </c>
      <c r="H79">
        <v>1</v>
      </c>
    </row>
    <row r="80" spans="1:8" x14ac:dyDescent="0.3">
      <c r="A80" t="s">
        <v>280</v>
      </c>
      <c r="B80">
        <v>2015</v>
      </c>
      <c r="C80" t="s">
        <v>271</v>
      </c>
      <c r="D80" t="s">
        <v>272</v>
      </c>
      <c r="E80" t="s">
        <v>65</v>
      </c>
      <c r="F80">
        <v>128100</v>
      </c>
      <c r="G80" t="s">
        <v>72</v>
      </c>
      <c r="H80">
        <v>10</v>
      </c>
    </row>
    <row r="81" spans="1:8" x14ac:dyDescent="0.3">
      <c r="A81" t="s">
        <v>280</v>
      </c>
      <c r="B81">
        <v>2016</v>
      </c>
      <c r="C81" t="s">
        <v>271</v>
      </c>
      <c r="D81" t="s">
        <v>272</v>
      </c>
      <c r="E81" t="s">
        <v>65</v>
      </c>
      <c r="F81">
        <v>128100</v>
      </c>
      <c r="G81" t="s">
        <v>72</v>
      </c>
      <c r="H81">
        <v>1</v>
      </c>
    </row>
    <row r="82" spans="1:8" x14ac:dyDescent="0.3">
      <c r="A82" t="s">
        <v>164</v>
      </c>
      <c r="B82">
        <v>2015</v>
      </c>
      <c r="C82" t="s">
        <v>271</v>
      </c>
      <c r="D82" t="s">
        <v>272</v>
      </c>
      <c r="E82" t="s">
        <v>65</v>
      </c>
      <c r="F82">
        <v>139500</v>
      </c>
      <c r="G82" t="s">
        <v>72</v>
      </c>
      <c r="H82">
        <v>1</v>
      </c>
    </row>
    <row r="83" spans="1:8" x14ac:dyDescent="0.3">
      <c r="A83" t="s">
        <v>164</v>
      </c>
      <c r="B83">
        <v>2021</v>
      </c>
      <c r="C83" t="s">
        <v>271</v>
      </c>
      <c r="D83" t="s">
        <v>272</v>
      </c>
      <c r="E83" t="s">
        <v>65</v>
      </c>
      <c r="F83">
        <v>139500</v>
      </c>
      <c r="G83" t="s">
        <v>72</v>
      </c>
      <c r="H83">
        <v>4</v>
      </c>
    </row>
    <row r="84" spans="1:8" x14ac:dyDescent="0.3">
      <c r="A84" t="s">
        <v>166</v>
      </c>
      <c r="B84">
        <v>2018</v>
      </c>
      <c r="C84" t="s">
        <v>271</v>
      </c>
      <c r="D84" t="s">
        <v>272</v>
      </c>
      <c r="E84" t="s">
        <v>65</v>
      </c>
      <c r="F84">
        <v>136000</v>
      </c>
      <c r="G84" t="s">
        <v>72</v>
      </c>
      <c r="H84">
        <v>1</v>
      </c>
    </row>
    <row r="85" spans="1:8" x14ac:dyDescent="0.3">
      <c r="A85" t="s">
        <v>166</v>
      </c>
      <c r="B85">
        <v>2019</v>
      </c>
      <c r="C85" t="s">
        <v>271</v>
      </c>
      <c r="D85" t="s">
        <v>272</v>
      </c>
      <c r="E85" t="s">
        <v>65</v>
      </c>
      <c r="F85">
        <v>136000</v>
      </c>
      <c r="G85" t="s">
        <v>72</v>
      </c>
      <c r="H85">
        <v>3</v>
      </c>
    </row>
    <row r="86" spans="1:8" x14ac:dyDescent="0.3">
      <c r="A86" t="s">
        <v>166</v>
      </c>
      <c r="B86">
        <v>2021</v>
      </c>
      <c r="C86" t="s">
        <v>271</v>
      </c>
      <c r="D86" t="s">
        <v>272</v>
      </c>
      <c r="E86" t="s">
        <v>65</v>
      </c>
      <c r="F86">
        <v>136000</v>
      </c>
      <c r="G86" t="s">
        <v>72</v>
      </c>
      <c r="H86">
        <v>2</v>
      </c>
    </row>
    <row r="87" spans="1:8" x14ac:dyDescent="0.3">
      <c r="A87" t="s">
        <v>281</v>
      </c>
      <c r="B87">
        <v>2020</v>
      </c>
      <c r="C87" t="s">
        <v>271</v>
      </c>
      <c r="D87" t="s">
        <v>272</v>
      </c>
      <c r="E87" t="s">
        <v>65</v>
      </c>
      <c r="F87">
        <v>144500</v>
      </c>
      <c r="G87" t="s">
        <v>72</v>
      </c>
      <c r="H87">
        <v>1</v>
      </c>
    </row>
    <row r="88" spans="1:8" x14ac:dyDescent="0.3">
      <c r="A88" t="s">
        <v>167</v>
      </c>
      <c r="B88">
        <v>2014</v>
      </c>
      <c r="C88" t="s">
        <v>271</v>
      </c>
      <c r="D88" t="s">
        <v>272</v>
      </c>
      <c r="E88" t="s">
        <v>65</v>
      </c>
      <c r="F88">
        <v>154500</v>
      </c>
      <c r="G88" t="s">
        <v>72</v>
      </c>
      <c r="H88">
        <v>47</v>
      </c>
    </row>
    <row r="89" spans="1:8" x14ac:dyDescent="0.3">
      <c r="A89" t="s">
        <v>167</v>
      </c>
      <c r="B89">
        <v>2015</v>
      </c>
      <c r="C89" t="s">
        <v>271</v>
      </c>
      <c r="D89" t="s">
        <v>272</v>
      </c>
      <c r="E89" t="s">
        <v>65</v>
      </c>
      <c r="F89">
        <v>154500</v>
      </c>
      <c r="G89" t="s">
        <v>72</v>
      </c>
      <c r="H89">
        <v>89</v>
      </c>
    </row>
    <row r="90" spans="1:8" x14ac:dyDescent="0.3">
      <c r="A90" t="s">
        <v>167</v>
      </c>
      <c r="B90">
        <v>2016</v>
      </c>
      <c r="C90" t="s">
        <v>271</v>
      </c>
      <c r="D90" t="s">
        <v>272</v>
      </c>
      <c r="E90" t="s">
        <v>65</v>
      </c>
      <c r="F90">
        <v>154500</v>
      </c>
      <c r="G90" t="s">
        <v>72</v>
      </c>
      <c r="H90">
        <v>100</v>
      </c>
    </row>
    <row r="91" spans="1:8" x14ac:dyDescent="0.3">
      <c r="A91" t="s">
        <v>167</v>
      </c>
      <c r="B91">
        <v>2017</v>
      </c>
      <c r="C91" t="s">
        <v>271</v>
      </c>
      <c r="D91" t="s">
        <v>272</v>
      </c>
      <c r="E91" t="s">
        <v>65</v>
      </c>
      <c r="F91">
        <v>154500</v>
      </c>
      <c r="G91" t="s">
        <v>72</v>
      </c>
      <c r="H91">
        <v>33</v>
      </c>
    </row>
    <row r="92" spans="1:8" x14ac:dyDescent="0.3">
      <c r="A92" t="s">
        <v>167</v>
      </c>
      <c r="B92">
        <v>2018</v>
      </c>
      <c r="C92" t="s">
        <v>271</v>
      </c>
      <c r="D92" t="s">
        <v>272</v>
      </c>
      <c r="E92" t="s">
        <v>65</v>
      </c>
      <c r="F92">
        <v>154500</v>
      </c>
      <c r="G92" t="s">
        <v>72</v>
      </c>
      <c r="H92">
        <v>44</v>
      </c>
    </row>
    <row r="93" spans="1:8" x14ac:dyDescent="0.3">
      <c r="A93" t="s">
        <v>167</v>
      </c>
      <c r="B93">
        <v>2019</v>
      </c>
      <c r="C93" t="s">
        <v>271</v>
      </c>
      <c r="D93" t="s">
        <v>272</v>
      </c>
      <c r="E93" t="s">
        <v>65</v>
      </c>
      <c r="F93">
        <v>154500</v>
      </c>
      <c r="G93" t="s">
        <v>72</v>
      </c>
      <c r="H93">
        <v>10</v>
      </c>
    </row>
    <row r="94" spans="1:8" x14ac:dyDescent="0.3">
      <c r="A94" t="s">
        <v>167</v>
      </c>
      <c r="B94">
        <v>2020</v>
      </c>
      <c r="C94" t="s">
        <v>271</v>
      </c>
      <c r="D94" t="s">
        <v>272</v>
      </c>
      <c r="E94" t="s">
        <v>65</v>
      </c>
      <c r="F94">
        <v>154500</v>
      </c>
      <c r="G94" t="s">
        <v>72</v>
      </c>
      <c r="H94">
        <v>5</v>
      </c>
    </row>
    <row r="95" spans="1:8" x14ac:dyDescent="0.3">
      <c r="A95" t="s">
        <v>167</v>
      </c>
      <c r="B95">
        <v>2021</v>
      </c>
      <c r="C95" t="s">
        <v>271</v>
      </c>
      <c r="D95" t="s">
        <v>272</v>
      </c>
      <c r="E95" t="s">
        <v>65</v>
      </c>
      <c r="F95">
        <v>154500</v>
      </c>
      <c r="G95" t="s">
        <v>72</v>
      </c>
      <c r="H95">
        <v>15</v>
      </c>
    </row>
    <row r="96" spans="1:8" x14ac:dyDescent="0.3">
      <c r="A96" t="s">
        <v>168</v>
      </c>
      <c r="B96">
        <v>2014</v>
      </c>
      <c r="C96" t="s">
        <v>271</v>
      </c>
      <c r="D96" t="s">
        <v>272</v>
      </c>
      <c r="E96" t="s">
        <v>65</v>
      </c>
      <c r="F96">
        <v>174200</v>
      </c>
      <c r="G96" t="s">
        <v>72</v>
      </c>
      <c r="H96">
        <v>270</v>
      </c>
    </row>
    <row r="97" spans="1:8" x14ac:dyDescent="0.3">
      <c r="A97" t="s">
        <v>168</v>
      </c>
      <c r="B97">
        <v>2015</v>
      </c>
      <c r="C97" t="s">
        <v>271</v>
      </c>
      <c r="D97" t="s">
        <v>272</v>
      </c>
      <c r="E97" t="s">
        <v>65</v>
      </c>
      <c r="F97">
        <v>174200</v>
      </c>
      <c r="G97" t="s">
        <v>72</v>
      </c>
      <c r="H97">
        <v>500</v>
      </c>
    </row>
    <row r="98" spans="1:8" x14ac:dyDescent="0.3">
      <c r="A98" t="s">
        <v>168</v>
      </c>
      <c r="B98">
        <v>2016</v>
      </c>
      <c r="C98" t="s">
        <v>271</v>
      </c>
      <c r="D98" t="s">
        <v>272</v>
      </c>
      <c r="E98" t="s">
        <v>65</v>
      </c>
      <c r="F98">
        <v>174200</v>
      </c>
      <c r="G98" t="s">
        <v>72</v>
      </c>
      <c r="H98">
        <v>692</v>
      </c>
    </row>
    <row r="99" spans="1:8" x14ac:dyDescent="0.3">
      <c r="A99" t="s">
        <v>168</v>
      </c>
      <c r="B99">
        <v>2017</v>
      </c>
      <c r="C99" t="s">
        <v>271</v>
      </c>
      <c r="D99" t="s">
        <v>272</v>
      </c>
      <c r="E99" t="s">
        <v>65</v>
      </c>
      <c r="F99">
        <v>174200</v>
      </c>
      <c r="G99" t="s">
        <v>72</v>
      </c>
      <c r="H99">
        <v>368</v>
      </c>
    </row>
    <row r="100" spans="1:8" x14ac:dyDescent="0.3">
      <c r="A100" t="s">
        <v>168</v>
      </c>
      <c r="B100">
        <v>2018</v>
      </c>
      <c r="C100" t="s">
        <v>271</v>
      </c>
      <c r="D100" t="s">
        <v>272</v>
      </c>
      <c r="E100" t="s">
        <v>65</v>
      </c>
      <c r="F100">
        <v>174200</v>
      </c>
      <c r="G100" t="s">
        <v>72</v>
      </c>
      <c r="H100">
        <v>301</v>
      </c>
    </row>
    <row r="101" spans="1:8" x14ac:dyDescent="0.3">
      <c r="A101" t="s">
        <v>168</v>
      </c>
      <c r="B101">
        <v>2019</v>
      </c>
      <c r="C101" t="s">
        <v>271</v>
      </c>
      <c r="D101" t="s">
        <v>272</v>
      </c>
      <c r="E101" t="s">
        <v>65</v>
      </c>
      <c r="F101">
        <v>174200</v>
      </c>
      <c r="G101" t="s">
        <v>72</v>
      </c>
      <c r="H101">
        <v>29</v>
      </c>
    </row>
    <row r="102" spans="1:8" x14ac:dyDescent="0.3">
      <c r="A102" t="s">
        <v>168</v>
      </c>
      <c r="B102">
        <v>2020</v>
      </c>
      <c r="C102" t="s">
        <v>271</v>
      </c>
      <c r="D102" t="s">
        <v>272</v>
      </c>
      <c r="E102" t="s">
        <v>65</v>
      </c>
      <c r="F102">
        <v>174200</v>
      </c>
      <c r="G102" t="s">
        <v>72</v>
      </c>
      <c r="H102">
        <v>16</v>
      </c>
    </row>
    <row r="103" spans="1:8" x14ac:dyDescent="0.3">
      <c r="A103" t="s">
        <v>168</v>
      </c>
      <c r="B103">
        <v>2021</v>
      </c>
      <c r="C103" t="s">
        <v>271</v>
      </c>
      <c r="D103" t="s">
        <v>272</v>
      </c>
      <c r="E103" t="s">
        <v>65</v>
      </c>
      <c r="F103">
        <v>174200</v>
      </c>
      <c r="G103" t="s">
        <v>72</v>
      </c>
      <c r="H103">
        <v>31</v>
      </c>
    </row>
    <row r="104" spans="1:8" x14ac:dyDescent="0.3">
      <c r="A104" t="s">
        <v>169</v>
      </c>
      <c r="B104">
        <v>2014</v>
      </c>
      <c r="C104" t="s">
        <v>271</v>
      </c>
      <c r="D104" t="s">
        <v>272</v>
      </c>
      <c r="E104" t="s">
        <v>65</v>
      </c>
      <c r="F104">
        <v>187700</v>
      </c>
      <c r="G104" t="s">
        <v>72</v>
      </c>
      <c r="H104">
        <v>52</v>
      </c>
    </row>
    <row r="105" spans="1:8" x14ac:dyDescent="0.3">
      <c r="A105" t="s">
        <v>169</v>
      </c>
      <c r="B105">
        <v>2015</v>
      </c>
      <c r="C105" t="s">
        <v>271</v>
      </c>
      <c r="D105" t="s">
        <v>272</v>
      </c>
      <c r="E105" t="s">
        <v>65</v>
      </c>
      <c r="F105">
        <v>187700</v>
      </c>
      <c r="G105" t="s">
        <v>72</v>
      </c>
      <c r="H105">
        <v>101</v>
      </c>
    </row>
    <row r="106" spans="1:8" x14ac:dyDescent="0.3">
      <c r="A106" t="s">
        <v>169</v>
      </c>
      <c r="B106">
        <v>2016</v>
      </c>
      <c r="C106" t="s">
        <v>271</v>
      </c>
      <c r="D106" t="s">
        <v>272</v>
      </c>
      <c r="E106" t="s">
        <v>65</v>
      </c>
      <c r="F106">
        <v>187700</v>
      </c>
      <c r="G106" t="s">
        <v>72</v>
      </c>
      <c r="H106">
        <v>52</v>
      </c>
    </row>
    <row r="107" spans="1:8" x14ac:dyDescent="0.3">
      <c r="A107" t="s">
        <v>169</v>
      </c>
      <c r="B107">
        <v>2017</v>
      </c>
      <c r="C107" t="s">
        <v>271</v>
      </c>
      <c r="D107" t="s">
        <v>272</v>
      </c>
      <c r="E107" t="s">
        <v>65</v>
      </c>
      <c r="F107">
        <v>187700</v>
      </c>
      <c r="G107" t="s">
        <v>72</v>
      </c>
      <c r="H107">
        <v>59</v>
      </c>
    </row>
    <row r="108" spans="1:8" x14ac:dyDescent="0.3">
      <c r="A108" t="s">
        <v>169</v>
      </c>
      <c r="B108">
        <v>2018</v>
      </c>
      <c r="C108" t="s">
        <v>271</v>
      </c>
      <c r="D108" t="s">
        <v>272</v>
      </c>
      <c r="E108" t="s">
        <v>65</v>
      </c>
      <c r="F108">
        <v>187700</v>
      </c>
      <c r="G108" t="s">
        <v>72</v>
      </c>
      <c r="H108">
        <v>57</v>
      </c>
    </row>
    <row r="109" spans="1:8" x14ac:dyDescent="0.3">
      <c r="A109" t="s">
        <v>169</v>
      </c>
      <c r="B109">
        <v>2019</v>
      </c>
      <c r="C109" t="s">
        <v>271</v>
      </c>
      <c r="D109" t="s">
        <v>272</v>
      </c>
      <c r="E109" t="s">
        <v>65</v>
      </c>
      <c r="F109">
        <v>187700</v>
      </c>
      <c r="G109" t="s">
        <v>72</v>
      </c>
      <c r="H109">
        <v>10</v>
      </c>
    </row>
    <row r="110" spans="1:8" x14ac:dyDescent="0.3">
      <c r="A110" t="s">
        <v>169</v>
      </c>
      <c r="B110">
        <v>2020</v>
      </c>
      <c r="C110" t="s">
        <v>271</v>
      </c>
      <c r="D110" t="s">
        <v>272</v>
      </c>
      <c r="E110" t="s">
        <v>65</v>
      </c>
      <c r="F110">
        <v>187700</v>
      </c>
      <c r="G110" t="s">
        <v>72</v>
      </c>
      <c r="H110">
        <v>16</v>
      </c>
    </row>
    <row r="111" spans="1:8" x14ac:dyDescent="0.3">
      <c r="A111" t="s">
        <v>169</v>
      </c>
      <c r="B111">
        <v>2021</v>
      </c>
      <c r="C111" t="s">
        <v>271</v>
      </c>
      <c r="D111" t="s">
        <v>272</v>
      </c>
      <c r="E111" t="s">
        <v>65</v>
      </c>
      <c r="F111">
        <v>187700</v>
      </c>
      <c r="G111" t="s">
        <v>72</v>
      </c>
      <c r="H111">
        <v>11</v>
      </c>
    </row>
    <row r="112" spans="1:8" x14ac:dyDescent="0.3">
      <c r="A112" t="s">
        <v>282</v>
      </c>
      <c r="B112">
        <v>2015</v>
      </c>
      <c r="C112" t="s">
        <v>271</v>
      </c>
      <c r="D112" t="s">
        <v>272</v>
      </c>
      <c r="E112" t="s">
        <v>65</v>
      </c>
      <c r="F112">
        <v>910000</v>
      </c>
      <c r="G112" t="s">
        <v>283</v>
      </c>
      <c r="H112">
        <v>3</v>
      </c>
    </row>
    <row r="113" spans="1:8" x14ac:dyDescent="0.3">
      <c r="A113" t="s">
        <v>282</v>
      </c>
      <c r="B113">
        <v>2016</v>
      </c>
      <c r="C113" t="s">
        <v>271</v>
      </c>
      <c r="D113" t="s">
        <v>272</v>
      </c>
      <c r="E113" t="s">
        <v>65</v>
      </c>
      <c r="F113">
        <v>910000</v>
      </c>
      <c r="G113" t="s">
        <v>283</v>
      </c>
      <c r="H113">
        <v>7</v>
      </c>
    </row>
    <row r="114" spans="1:8" x14ac:dyDescent="0.3">
      <c r="A114" t="s">
        <v>282</v>
      </c>
      <c r="B114">
        <v>2018</v>
      </c>
      <c r="C114" t="s">
        <v>271</v>
      </c>
      <c r="D114" t="s">
        <v>272</v>
      </c>
      <c r="E114" t="s">
        <v>65</v>
      </c>
      <c r="F114">
        <v>910000</v>
      </c>
      <c r="G114" t="s">
        <v>283</v>
      </c>
      <c r="H114">
        <v>11</v>
      </c>
    </row>
    <row r="115" spans="1:8" x14ac:dyDescent="0.3">
      <c r="A115" t="s">
        <v>282</v>
      </c>
      <c r="B115">
        <v>2019</v>
      </c>
      <c r="C115" t="s">
        <v>271</v>
      </c>
      <c r="D115" t="s">
        <v>272</v>
      </c>
      <c r="E115" t="s">
        <v>65</v>
      </c>
      <c r="F115">
        <v>910000</v>
      </c>
      <c r="G115" t="s">
        <v>283</v>
      </c>
      <c r="H115">
        <v>11</v>
      </c>
    </row>
    <row r="116" spans="1:8" x14ac:dyDescent="0.3">
      <c r="A116" t="s">
        <v>282</v>
      </c>
      <c r="B116">
        <v>2020</v>
      </c>
      <c r="C116" t="s">
        <v>271</v>
      </c>
      <c r="D116" t="s">
        <v>272</v>
      </c>
      <c r="E116" t="s">
        <v>65</v>
      </c>
      <c r="F116">
        <v>910000</v>
      </c>
      <c r="G116" t="s">
        <v>283</v>
      </c>
      <c r="H116">
        <v>17</v>
      </c>
    </row>
    <row r="117" spans="1:8" x14ac:dyDescent="0.3">
      <c r="A117" t="s">
        <v>282</v>
      </c>
      <c r="B117">
        <v>2021</v>
      </c>
      <c r="C117" t="s">
        <v>271</v>
      </c>
      <c r="D117" t="s">
        <v>272</v>
      </c>
      <c r="E117" t="s">
        <v>65</v>
      </c>
      <c r="F117">
        <v>910000</v>
      </c>
      <c r="G117" t="s">
        <v>283</v>
      </c>
      <c r="H117">
        <v>14</v>
      </c>
    </row>
    <row r="118" spans="1:8" x14ac:dyDescent="0.3">
      <c r="A118" t="s">
        <v>284</v>
      </c>
      <c r="B118">
        <v>2014</v>
      </c>
      <c r="C118" t="s">
        <v>271</v>
      </c>
      <c r="D118" t="s">
        <v>272</v>
      </c>
      <c r="E118" t="s">
        <v>65</v>
      </c>
      <c r="F118">
        <v>987000</v>
      </c>
      <c r="G118" t="s">
        <v>283</v>
      </c>
      <c r="H118">
        <v>42</v>
      </c>
    </row>
    <row r="119" spans="1:8" x14ac:dyDescent="0.3">
      <c r="A119" t="s">
        <v>284</v>
      </c>
      <c r="B119">
        <v>2015</v>
      </c>
      <c r="C119" t="s">
        <v>271</v>
      </c>
      <c r="D119" t="s">
        <v>272</v>
      </c>
      <c r="E119" t="s">
        <v>65</v>
      </c>
      <c r="F119">
        <v>987000</v>
      </c>
      <c r="G119" t="s">
        <v>283</v>
      </c>
      <c r="H119">
        <v>39</v>
      </c>
    </row>
    <row r="120" spans="1:8" x14ac:dyDescent="0.3">
      <c r="A120" t="s">
        <v>284</v>
      </c>
      <c r="B120">
        <v>2016</v>
      </c>
      <c r="C120" t="s">
        <v>271</v>
      </c>
      <c r="D120" t="s">
        <v>272</v>
      </c>
      <c r="E120" t="s">
        <v>65</v>
      </c>
      <c r="F120">
        <v>987000</v>
      </c>
      <c r="G120" t="s">
        <v>283</v>
      </c>
      <c r="H120">
        <v>16</v>
      </c>
    </row>
    <row r="121" spans="1:8" x14ac:dyDescent="0.3">
      <c r="A121" t="s">
        <v>284</v>
      </c>
      <c r="B121">
        <v>2017</v>
      </c>
      <c r="C121" t="s">
        <v>271</v>
      </c>
      <c r="D121" t="s">
        <v>272</v>
      </c>
      <c r="E121" t="s">
        <v>65</v>
      </c>
      <c r="F121">
        <v>987000</v>
      </c>
      <c r="G121" t="s">
        <v>283</v>
      </c>
      <c r="H121">
        <v>8</v>
      </c>
    </row>
    <row r="122" spans="1:8" x14ac:dyDescent="0.3">
      <c r="A122" t="s">
        <v>284</v>
      </c>
      <c r="B122">
        <v>2018</v>
      </c>
      <c r="C122" t="s">
        <v>271</v>
      </c>
      <c r="D122" t="s">
        <v>272</v>
      </c>
      <c r="E122" t="s">
        <v>65</v>
      </c>
      <c r="F122">
        <v>987000</v>
      </c>
      <c r="G122" t="s">
        <v>283</v>
      </c>
      <c r="H122">
        <v>7</v>
      </c>
    </row>
    <row r="123" spans="1:8" x14ac:dyDescent="0.3">
      <c r="A123" t="s">
        <v>284</v>
      </c>
      <c r="B123">
        <v>2019</v>
      </c>
      <c r="C123" t="s">
        <v>271</v>
      </c>
      <c r="D123" t="s">
        <v>272</v>
      </c>
      <c r="E123" t="s">
        <v>65</v>
      </c>
      <c r="F123">
        <v>987000</v>
      </c>
      <c r="G123" t="s">
        <v>283</v>
      </c>
      <c r="H123">
        <v>4</v>
      </c>
    </row>
    <row r="124" spans="1:8" x14ac:dyDescent="0.3">
      <c r="A124" t="s">
        <v>284</v>
      </c>
      <c r="B124">
        <v>2020</v>
      </c>
      <c r="C124" t="s">
        <v>271</v>
      </c>
      <c r="D124" t="s">
        <v>272</v>
      </c>
      <c r="E124" t="s">
        <v>65</v>
      </c>
      <c r="F124">
        <v>987000</v>
      </c>
      <c r="G124" t="s">
        <v>283</v>
      </c>
      <c r="H124">
        <v>1</v>
      </c>
    </row>
    <row r="125" spans="1:8" x14ac:dyDescent="0.3">
      <c r="A125" t="s">
        <v>170</v>
      </c>
      <c r="B125">
        <v>2015</v>
      </c>
      <c r="C125" t="s">
        <v>271</v>
      </c>
      <c r="D125" t="s">
        <v>272</v>
      </c>
      <c r="E125" t="s">
        <v>65</v>
      </c>
      <c r="F125">
        <v>255500</v>
      </c>
      <c r="G125" t="s">
        <v>83</v>
      </c>
      <c r="H125">
        <v>11</v>
      </c>
    </row>
    <row r="126" spans="1:8" x14ac:dyDescent="0.3">
      <c r="A126" t="s">
        <v>170</v>
      </c>
      <c r="B126">
        <v>2016</v>
      </c>
      <c r="C126" t="s">
        <v>271</v>
      </c>
      <c r="D126" t="s">
        <v>272</v>
      </c>
      <c r="E126" t="s">
        <v>65</v>
      </c>
      <c r="F126">
        <v>255500</v>
      </c>
      <c r="G126" t="s">
        <v>83</v>
      </c>
      <c r="H126">
        <v>9</v>
      </c>
    </row>
    <row r="127" spans="1:8" x14ac:dyDescent="0.3">
      <c r="A127" t="s">
        <v>170</v>
      </c>
      <c r="B127">
        <v>2017</v>
      </c>
      <c r="C127" t="s">
        <v>271</v>
      </c>
      <c r="D127" t="s">
        <v>272</v>
      </c>
      <c r="E127" t="s">
        <v>65</v>
      </c>
      <c r="F127">
        <v>255500</v>
      </c>
      <c r="G127" t="s">
        <v>83</v>
      </c>
      <c r="H127">
        <v>3</v>
      </c>
    </row>
    <row r="128" spans="1:8" x14ac:dyDescent="0.3">
      <c r="A128" t="s">
        <v>170</v>
      </c>
      <c r="B128">
        <v>2018</v>
      </c>
      <c r="C128" t="s">
        <v>271</v>
      </c>
      <c r="D128" t="s">
        <v>272</v>
      </c>
      <c r="E128" t="s">
        <v>65</v>
      </c>
      <c r="F128">
        <v>255500</v>
      </c>
      <c r="G128" t="s">
        <v>83</v>
      </c>
      <c r="H128">
        <v>1</v>
      </c>
    </row>
    <row r="129" spans="1:8" x14ac:dyDescent="0.3">
      <c r="A129" t="s">
        <v>170</v>
      </c>
      <c r="B129">
        <v>2021</v>
      </c>
      <c r="C129" t="s">
        <v>271</v>
      </c>
      <c r="D129" t="s">
        <v>272</v>
      </c>
      <c r="E129" t="s">
        <v>65</v>
      </c>
      <c r="F129">
        <v>255500</v>
      </c>
      <c r="G129" t="s">
        <v>83</v>
      </c>
      <c r="H129">
        <v>2</v>
      </c>
    </row>
    <row r="130" spans="1:8" x14ac:dyDescent="0.3">
      <c r="A130" t="s">
        <v>171</v>
      </c>
      <c r="B130">
        <v>2015</v>
      </c>
      <c r="C130" t="s">
        <v>271</v>
      </c>
      <c r="D130" t="s">
        <v>272</v>
      </c>
      <c r="E130" t="s">
        <v>65</v>
      </c>
      <c r="F130">
        <v>395000</v>
      </c>
      <c r="G130" t="s">
        <v>83</v>
      </c>
      <c r="H130">
        <v>20</v>
      </c>
    </row>
    <row r="131" spans="1:8" x14ac:dyDescent="0.3">
      <c r="A131" t="s">
        <v>171</v>
      </c>
      <c r="B131">
        <v>2016</v>
      </c>
      <c r="C131" t="s">
        <v>271</v>
      </c>
      <c r="D131" t="s">
        <v>272</v>
      </c>
      <c r="E131" t="s">
        <v>65</v>
      </c>
      <c r="F131">
        <v>395000</v>
      </c>
      <c r="G131" t="s">
        <v>83</v>
      </c>
      <c r="H131">
        <v>83</v>
      </c>
    </row>
    <row r="132" spans="1:8" x14ac:dyDescent="0.3">
      <c r="A132" t="s">
        <v>171</v>
      </c>
      <c r="B132">
        <v>2017</v>
      </c>
      <c r="C132" t="s">
        <v>271</v>
      </c>
      <c r="D132" t="s">
        <v>272</v>
      </c>
      <c r="E132" t="s">
        <v>65</v>
      </c>
      <c r="F132">
        <v>395000</v>
      </c>
      <c r="G132" t="s">
        <v>83</v>
      </c>
      <c r="H132">
        <v>49</v>
      </c>
    </row>
    <row r="133" spans="1:8" x14ac:dyDescent="0.3">
      <c r="A133" t="s">
        <v>171</v>
      </c>
      <c r="B133">
        <v>2018</v>
      </c>
      <c r="C133" t="s">
        <v>271</v>
      </c>
      <c r="D133" t="s">
        <v>272</v>
      </c>
      <c r="E133" t="s">
        <v>65</v>
      </c>
      <c r="F133">
        <v>395000</v>
      </c>
      <c r="G133" t="s">
        <v>83</v>
      </c>
      <c r="H133">
        <v>14</v>
      </c>
    </row>
    <row r="134" spans="1:8" x14ac:dyDescent="0.3">
      <c r="A134" t="s">
        <v>171</v>
      </c>
      <c r="B134">
        <v>2019</v>
      </c>
      <c r="C134" t="s">
        <v>271</v>
      </c>
      <c r="D134" t="s">
        <v>272</v>
      </c>
      <c r="E134" t="s">
        <v>65</v>
      </c>
      <c r="F134">
        <v>395000</v>
      </c>
      <c r="G134" t="s">
        <v>83</v>
      </c>
      <c r="H134">
        <v>3</v>
      </c>
    </row>
    <row r="135" spans="1:8" x14ac:dyDescent="0.3">
      <c r="A135" t="s">
        <v>171</v>
      </c>
      <c r="B135">
        <v>2021</v>
      </c>
      <c r="C135" t="s">
        <v>271</v>
      </c>
      <c r="D135" t="s">
        <v>272</v>
      </c>
      <c r="E135" t="s">
        <v>65</v>
      </c>
      <c r="F135">
        <v>395000</v>
      </c>
      <c r="G135" t="s">
        <v>83</v>
      </c>
      <c r="H135">
        <v>1</v>
      </c>
    </row>
    <row r="136" spans="1:8" x14ac:dyDescent="0.3">
      <c r="A136" t="s">
        <v>285</v>
      </c>
      <c r="B136">
        <v>2014</v>
      </c>
      <c r="C136" t="s">
        <v>271</v>
      </c>
      <c r="D136" t="s">
        <v>272</v>
      </c>
      <c r="E136" t="s">
        <v>65</v>
      </c>
      <c r="F136">
        <v>412000</v>
      </c>
      <c r="G136" t="s">
        <v>83</v>
      </c>
      <c r="H136">
        <v>9</v>
      </c>
    </row>
    <row r="137" spans="1:8" x14ac:dyDescent="0.3">
      <c r="A137" t="s">
        <v>285</v>
      </c>
      <c r="B137">
        <v>2015</v>
      </c>
      <c r="C137" t="s">
        <v>271</v>
      </c>
      <c r="D137" t="s">
        <v>272</v>
      </c>
      <c r="E137" t="s">
        <v>65</v>
      </c>
      <c r="F137">
        <v>412000</v>
      </c>
      <c r="G137" t="s">
        <v>83</v>
      </c>
      <c r="H137">
        <v>17</v>
      </c>
    </row>
    <row r="138" spans="1:8" x14ac:dyDescent="0.3">
      <c r="A138" t="s">
        <v>285</v>
      </c>
      <c r="B138">
        <v>2016</v>
      </c>
      <c r="C138" t="s">
        <v>271</v>
      </c>
      <c r="D138" t="s">
        <v>272</v>
      </c>
      <c r="E138" t="s">
        <v>65</v>
      </c>
      <c r="F138">
        <v>412000</v>
      </c>
      <c r="G138" t="s">
        <v>83</v>
      </c>
      <c r="H138">
        <v>12</v>
      </c>
    </row>
    <row r="139" spans="1:8" x14ac:dyDescent="0.3">
      <c r="A139" t="s">
        <v>285</v>
      </c>
      <c r="B139">
        <v>2017</v>
      </c>
      <c r="C139" t="s">
        <v>271</v>
      </c>
      <c r="D139" t="s">
        <v>272</v>
      </c>
      <c r="E139" t="s">
        <v>65</v>
      </c>
      <c r="F139">
        <v>412000</v>
      </c>
      <c r="G139" t="s">
        <v>83</v>
      </c>
      <c r="H139">
        <v>7</v>
      </c>
    </row>
    <row r="140" spans="1:8" x14ac:dyDescent="0.3">
      <c r="A140" t="s">
        <v>285</v>
      </c>
      <c r="B140">
        <v>2018</v>
      </c>
      <c r="C140" t="s">
        <v>271</v>
      </c>
      <c r="D140" t="s">
        <v>272</v>
      </c>
      <c r="E140" t="s">
        <v>65</v>
      </c>
      <c r="F140">
        <v>412000</v>
      </c>
      <c r="G140" t="s">
        <v>83</v>
      </c>
      <c r="H140">
        <v>5</v>
      </c>
    </row>
    <row r="141" spans="1:8" x14ac:dyDescent="0.3">
      <c r="A141" t="s">
        <v>285</v>
      </c>
      <c r="B141">
        <v>2019</v>
      </c>
      <c r="C141" t="s">
        <v>271</v>
      </c>
      <c r="D141" t="s">
        <v>272</v>
      </c>
      <c r="E141" t="s">
        <v>65</v>
      </c>
      <c r="F141">
        <v>412000</v>
      </c>
      <c r="G141" t="s">
        <v>83</v>
      </c>
      <c r="H141">
        <v>2</v>
      </c>
    </row>
    <row r="142" spans="1:8" x14ac:dyDescent="0.3">
      <c r="A142" t="s">
        <v>285</v>
      </c>
      <c r="B142">
        <v>2020</v>
      </c>
      <c r="C142" t="s">
        <v>271</v>
      </c>
      <c r="D142" t="s">
        <v>272</v>
      </c>
      <c r="E142" t="s">
        <v>65</v>
      </c>
      <c r="F142">
        <v>412000</v>
      </c>
      <c r="G142" t="s">
        <v>83</v>
      </c>
      <c r="H142">
        <v>3</v>
      </c>
    </row>
    <row r="143" spans="1:8" x14ac:dyDescent="0.3">
      <c r="A143" t="s">
        <v>285</v>
      </c>
      <c r="B143">
        <v>2021</v>
      </c>
      <c r="C143" t="s">
        <v>271</v>
      </c>
      <c r="D143" t="s">
        <v>272</v>
      </c>
      <c r="E143" t="s">
        <v>65</v>
      </c>
      <c r="F143">
        <v>412000</v>
      </c>
      <c r="G143" t="s">
        <v>83</v>
      </c>
      <c r="H143">
        <v>5</v>
      </c>
    </row>
    <row r="144" spans="1:8" x14ac:dyDescent="0.3">
      <c r="A144" t="s">
        <v>286</v>
      </c>
      <c r="B144">
        <v>2014</v>
      </c>
      <c r="C144" t="s">
        <v>271</v>
      </c>
      <c r="D144" t="s">
        <v>272</v>
      </c>
      <c r="E144" t="s">
        <v>65</v>
      </c>
      <c r="F144">
        <v>766000</v>
      </c>
      <c r="G144" t="s">
        <v>276</v>
      </c>
      <c r="H144">
        <v>1</v>
      </c>
    </row>
    <row r="145" spans="1:8" x14ac:dyDescent="0.3">
      <c r="A145" t="s">
        <v>286</v>
      </c>
      <c r="B145">
        <v>2015</v>
      </c>
      <c r="C145" t="s">
        <v>271</v>
      </c>
      <c r="D145" t="s">
        <v>272</v>
      </c>
      <c r="E145" t="s">
        <v>65</v>
      </c>
      <c r="F145">
        <v>766000</v>
      </c>
      <c r="G145" t="s">
        <v>276</v>
      </c>
      <c r="H145">
        <v>14</v>
      </c>
    </row>
    <row r="146" spans="1:8" x14ac:dyDescent="0.3">
      <c r="A146" t="s">
        <v>286</v>
      </c>
      <c r="B146">
        <v>2016</v>
      </c>
      <c r="C146" t="s">
        <v>271</v>
      </c>
      <c r="D146" t="s">
        <v>272</v>
      </c>
      <c r="E146" t="s">
        <v>65</v>
      </c>
      <c r="F146">
        <v>766000</v>
      </c>
      <c r="G146" t="s">
        <v>276</v>
      </c>
      <c r="H146">
        <v>11</v>
      </c>
    </row>
    <row r="147" spans="1:8" x14ac:dyDescent="0.3">
      <c r="A147" t="s">
        <v>286</v>
      </c>
      <c r="B147">
        <v>2017</v>
      </c>
      <c r="C147" t="s">
        <v>271</v>
      </c>
      <c r="D147" t="s">
        <v>272</v>
      </c>
      <c r="E147" t="s">
        <v>65</v>
      </c>
      <c r="F147">
        <v>766000</v>
      </c>
      <c r="G147" t="s">
        <v>276</v>
      </c>
      <c r="H147">
        <v>3</v>
      </c>
    </row>
    <row r="148" spans="1:8" x14ac:dyDescent="0.3">
      <c r="A148" t="s">
        <v>286</v>
      </c>
      <c r="B148">
        <v>2018</v>
      </c>
      <c r="C148" t="s">
        <v>271</v>
      </c>
      <c r="D148" t="s">
        <v>272</v>
      </c>
      <c r="E148" t="s">
        <v>65</v>
      </c>
      <c r="F148">
        <v>766000</v>
      </c>
      <c r="G148" t="s">
        <v>276</v>
      </c>
      <c r="H148">
        <v>5</v>
      </c>
    </row>
    <row r="149" spans="1:8" x14ac:dyDescent="0.3">
      <c r="A149" t="s">
        <v>286</v>
      </c>
      <c r="B149">
        <v>2019</v>
      </c>
      <c r="C149" t="s">
        <v>271</v>
      </c>
      <c r="D149" t="s">
        <v>272</v>
      </c>
      <c r="E149" t="s">
        <v>65</v>
      </c>
      <c r="F149">
        <v>766000</v>
      </c>
      <c r="G149" t="s">
        <v>276</v>
      </c>
      <c r="H149">
        <v>8</v>
      </c>
    </row>
    <row r="150" spans="1:8" x14ac:dyDescent="0.3">
      <c r="A150" t="s">
        <v>286</v>
      </c>
      <c r="B150">
        <v>2021</v>
      </c>
      <c r="C150" t="s">
        <v>271</v>
      </c>
      <c r="D150" t="s">
        <v>272</v>
      </c>
      <c r="E150" t="s">
        <v>65</v>
      </c>
      <c r="F150">
        <v>766000</v>
      </c>
      <c r="G150" t="s">
        <v>276</v>
      </c>
      <c r="H150">
        <v>1</v>
      </c>
    </row>
    <row r="151" spans="1:8" x14ac:dyDescent="0.3">
      <c r="A151" t="s">
        <v>287</v>
      </c>
      <c r="B151">
        <v>2014</v>
      </c>
      <c r="C151" t="s">
        <v>271</v>
      </c>
      <c r="D151" t="s">
        <v>272</v>
      </c>
      <c r="E151" t="s">
        <v>65</v>
      </c>
      <c r="F151">
        <v>766800</v>
      </c>
      <c r="G151" t="s">
        <v>276</v>
      </c>
      <c r="H151">
        <v>11</v>
      </c>
    </row>
    <row r="152" spans="1:8" x14ac:dyDescent="0.3">
      <c r="A152" t="s">
        <v>287</v>
      </c>
      <c r="B152">
        <v>2015</v>
      </c>
      <c r="C152" t="s">
        <v>271</v>
      </c>
      <c r="D152" t="s">
        <v>272</v>
      </c>
      <c r="E152" t="s">
        <v>65</v>
      </c>
      <c r="F152">
        <v>766800</v>
      </c>
      <c r="G152" t="s">
        <v>276</v>
      </c>
      <c r="H152">
        <v>20</v>
      </c>
    </row>
    <row r="153" spans="1:8" x14ac:dyDescent="0.3">
      <c r="A153" t="s">
        <v>287</v>
      </c>
      <c r="B153">
        <v>2016</v>
      </c>
      <c r="C153" t="s">
        <v>271</v>
      </c>
      <c r="D153" t="s">
        <v>272</v>
      </c>
      <c r="E153" t="s">
        <v>65</v>
      </c>
      <c r="F153">
        <v>766800</v>
      </c>
      <c r="G153" t="s">
        <v>276</v>
      </c>
      <c r="H153">
        <v>33</v>
      </c>
    </row>
    <row r="154" spans="1:8" x14ac:dyDescent="0.3">
      <c r="A154" t="s">
        <v>287</v>
      </c>
      <c r="B154">
        <v>2017</v>
      </c>
      <c r="C154" t="s">
        <v>271</v>
      </c>
      <c r="D154" t="s">
        <v>272</v>
      </c>
      <c r="E154" t="s">
        <v>65</v>
      </c>
      <c r="F154">
        <v>766800</v>
      </c>
      <c r="G154" t="s">
        <v>276</v>
      </c>
      <c r="H154">
        <v>8</v>
      </c>
    </row>
    <row r="155" spans="1:8" x14ac:dyDescent="0.3">
      <c r="A155" t="s">
        <v>287</v>
      </c>
      <c r="B155">
        <v>2018</v>
      </c>
      <c r="C155" t="s">
        <v>271</v>
      </c>
      <c r="D155" t="s">
        <v>272</v>
      </c>
      <c r="E155" t="s">
        <v>65</v>
      </c>
      <c r="F155">
        <v>766800</v>
      </c>
      <c r="G155" t="s">
        <v>276</v>
      </c>
      <c r="H155">
        <v>7</v>
      </c>
    </row>
    <row r="156" spans="1:8" x14ac:dyDescent="0.3">
      <c r="A156" t="s">
        <v>287</v>
      </c>
      <c r="B156">
        <v>2019</v>
      </c>
      <c r="C156" t="s">
        <v>271</v>
      </c>
      <c r="D156" t="s">
        <v>272</v>
      </c>
      <c r="E156" t="s">
        <v>65</v>
      </c>
      <c r="F156">
        <v>766800</v>
      </c>
      <c r="G156" t="s">
        <v>276</v>
      </c>
      <c r="H156">
        <v>2</v>
      </c>
    </row>
    <row r="157" spans="1:8" x14ac:dyDescent="0.3">
      <c r="A157" t="s">
        <v>288</v>
      </c>
      <c r="B157">
        <v>2020</v>
      </c>
      <c r="C157" t="s">
        <v>271</v>
      </c>
      <c r="D157" t="s">
        <v>272</v>
      </c>
      <c r="E157" t="s">
        <v>65</v>
      </c>
      <c r="F157">
        <v>775000</v>
      </c>
      <c r="G157" t="s">
        <v>276</v>
      </c>
      <c r="H157">
        <v>78</v>
      </c>
    </row>
    <row r="158" spans="1:8" x14ac:dyDescent="0.3">
      <c r="A158" t="s">
        <v>288</v>
      </c>
      <c r="B158">
        <v>2021</v>
      </c>
      <c r="C158" t="s">
        <v>271</v>
      </c>
      <c r="D158" t="s">
        <v>272</v>
      </c>
      <c r="E158" t="s">
        <v>65</v>
      </c>
      <c r="F158">
        <v>775000</v>
      </c>
      <c r="G158" t="s">
        <v>276</v>
      </c>
      <c r="H158">
        <v>98</v>
      </c>
    </row>
    <row r="159" spans="1:8" x14ac:dyDescent="0.3">
      <c r="A159" t="s">
        <v>289</v>
      </c>
      <c r="B159">
        <v>2014</v>
      </c>
      <c r="C159" t="s">
        <v>271</v>
      </c>
      <c r="D159" t="s">
        <v>272</v>
      </c>
      <c r="E159" t="s">
        <v>65</v>
      </c>
      <c r="F159">
        <v>775000</v>
      </c>
      <c r="G159" t="s">
        <v>276</v>
      </c>
      <c r="H159">
        <v>6</v>
      </c>
    </row>
    <row r="160" spans="1:8" x14ac:dyDescent="0.3">
      <c r="A160" t="s">
        <v>289</v>
      </c>
      <c r="B160">
        <v>2015</v>
      </c>
      <c r="C160" t="s">
        <v>271</v>
      </c>
      <c r="D160" t="s">
        <v>272</v>
      </c>
      <c r="E160" t="s">
        <v>65</v>
      </c>
      <c r="F160">
        <v>775000</v>
      </c>
      <c r="G160" t="s">
        <v>276</v>
      </c>
      <c r="H160">
        <v>6</v>
      </c>
    </row>
    <row r="161" spans="1:8" x14ac:dyDescent="0.3">
      <c r="A161" t="s">
        <v>289</v>
      </c>
      <c r="B161">
        <v>2016</v>
      </c>
      <c r="C161" t="s">
        <v>271</v>
      </c>
      <c r="D161" t="s">
        <v>272</v>
      </c>
      <c r="E161" t="s">
        <v>65</v>
      </c>
      <c r="F161">
        <v>775000</v>
      </c>
      <c r="G161" t="s">
        <v>276</v>
      </c>
      <c r="H161">
        <v>1</v>
      </c>
    </row>
    <row r="162" spans="1:8" x14ac:dyDescent="0.3">
      <c r="A162" t="s">
        <v>289</v>
      </c>
      <c r="B162">
        <v>2017</v>
      </c>
      <c r="C162" t="s">
        <v>271</v>
      </c>
      <c r="D162" t="s">
        <v>272</v>
      </c>
      <c r="E162" t="s">
        <v>65</v>
      </c>
      <c r="F162">
        <v>775000</v>
      </c>
      <c r="G162" t="s">
        <v>276</v>
      </c>
      <c r="H162">
        <v>5</v>
      </c>
    </row>
    <row r="163" spans="1:8" x14ac:dyDescent="0.3">
      <c r="A163" t="s">
        <v>289</v>
      </c>
      <c r="B163">
        <v>2018</v>
      </c>
      <c r="C163" t="s">
        <v>271</v>
      </c>
      <c r="D163" t="s">
        <v>272</v>
      </c>
      <c r="E163" t="s">
        <v>65</v>
      </c>
      <c r="F163">
        <v>775000</v>
      </c>
      <c r="G163" t="s">
        <v>276</v>
      </c>
      <c r="H163">
        <v>12</v>
      </c>
    </row>
    <row r="164" spans="1:8" x14ac:dyDescent="0.3">
      <c r="A164" t="s">
        <v>289</v>
      </c>
      <c r="B164">
        <v>2019</v>
      </c>
      <c r="C164" t="s">
        <v>271</v>
      </c>
      <c r="D164" t="s">
        <v>272</v>
      </c>
      <c r="E164" t="s">
        <v>65</v>
      </c>
      <c r="F164">
        <v>775000</v>
      </c>
      <c r="G164" t="s">
        <v>276</v>
      </c>
      <c r="H164">
        <v>2</v>
      </c>
    </row>
    <row r="165" spans="1:8" x14ac:dyDescent="0.3">
      <c r="A165" t="s">
        <v>289</v>
      </c>
      <c r="B165">
        <v>2020</v>
      </c>
      <c r="C165" t="s">
        <v>271</v>
      </c>
      <c r="D165" t="s">
        <v>272</v>
      </c>
      <c r="E165" t="s">
        <v>65</v>
      </c>
      <c r="F165">
        <v>775000</v>
      </c>
      <c r="G165" t="s">
        <v>276</v>
      </c>
      <c r="H165">
        <v>7</v>
      </c>
    </row>
    <row r="166" spans="1:8" x14ac:dyDescent="0.3">
      <c r="A166" t="s">
        <v>289</v>
      </c>
      <c r="B166">
        <v>2021</v>
      </c>
      <c r="C166" t="s">
        <v>271</v>
      </c>
      <c r="D166" t="s">
        <v>272</v>
      </c>
      <c r="E166" t="s">
        <v>65</v>
      </c>
      <c r="F166">
        <v>775000</v>
      </c>
      <c r="G166" t="s">
        <v>276</v>
      </c>
      <c r="H166">
        <v>14</v>
      </c>
    </row>
    <row r="167" spans="1:8" x14ac:dyDescent="0.3">
      <c r="A167" t="s">
        <v>290</v>
      </c>
      <c r="B167">
        <v>2014</v>
      </c>
      <c r="C167" t="s">
        <v>271</v>
      </c>
      <c r="D167" t="s">
        <v>272</v>
      </c>
      <c r="E167" t="s">
        <v>65</v>
      </c>
      <c r="F167">
        <v>775000</v>
      </c>
      <c r="G167" t="s">
        <v>276</v>
      </c>
      <c r="H167">
        <v>40</v>
      </c>
    </row>
    <row r="168" spans="1:8" x14ac:dyDescent="0.3">
      <c r="A168" t="s">
        <v>290</v>
      </c>
      <c r="B168">
        <v>2015</v>
      </c>
      <c r="C168" t="s">
        <v>271</v>
      </c>
      <c r="D168" t="s">
        <v>272</v>
      </c>
      <c r="E168" t="s">
        <v>65</v>
      </c>
      <c r="F168">
        <v>775000</v>
      </c>
      <c r="G168" t="s">
        <v>276</v>
      </c>
      <c r="H168">
        <v>84</v>
      </c>
    </row>
    <row r="169" spans="1:8" x14ac:dyDescent="0.3">
      <c r="A169" t="s">
        <v>290</v>
      </c>
      <c r="B169">
        <v>2016</v>
      </c>
      <c r="C169" t="s">
        <v>271</v>
      </c>
      <c r="D169" t="s">
        <v>272</v>
      </c>
      <c r="E169" t="s">
        <v>65</v>
      </c>
      <c r="F169">
        <v>775000</v>
      </c>
      <c r="G169" t="s">
        <v>276</v>
      </c>
      <c r="H169">
        <v>73</v>
      </c>
    </row>
    <row r="170" spans="1:8" x14ac:dyDescent="0.3">
      <c r="A170" t="s">
        <v>290</v>
      </c>
      <c r="B170">
        <v>2017</v>
      </c>
      <c r="C170" t="s">
        <v>271</v>
      </c>
      <c r="D170" t="s">
        <v>272</v>
      </c>
      <c r="E170" t="s">
        <v>65</v>
      </c>
      <c r="F170">
        <v>775000</v>
      </c>
      <c r="G170" t="s">
        <v>276</v>
      </c>
      <c r="H170">
        <v>25</v>
      </c>
    </row>
    <row r="171" spans="1:8" x14ac:dyDescent="0.3">
      <c r="A171" t="s">
        <v>290</v>
      </c>
      <c r="B171">
        <v>2018</v>
      </c>
      <c r="C171" t="s">
        <v>271</v>
      </c>
      <c r="D171" t="s">
        <v>272</v>
      </c>
      <c r="E171" t="s">
        <v>65</v>
      </c>
      <c r="F171">
        <v>775000</v>
      </c>
      <c r="G171" t="s">
        <v>276</v>
      </c>
      <c r="H171">
        <v>9</v>
      </c>
    </row>
    <row r="172" spans="1:8" x14ac:dyDescent="0.3">
      <c r="A172" t="s">
        <v>290</v>
      </c>
      <c r="B172">
        <v>2019</v>
      </c>
      <c r="C172" t="s">
        <v>271</v>
      </c>
      <c r="D172" t="s">
        <v>272</v>
      </c>
      <c r="E172" t="s">
        <v>65</v>
      </c>
      <c r="F172">
        <v>775000</v>
      </c>
      <c r="G172" t="s">
        <v>276</v>
      </c>
      <c r="H172">
        <v>2</v>
      </c>
    </row>
    <row r="173" spans="1:8" x14ac:dyDescent="0.3">
      <c r="A173" t="s">
        <v>290</v>
      </c>
      <c r="B173">
        <v>2020</v>
      </c>
      <c r="C173" t="s">
        <v>271</v>
      </c>
      <c r="D173" t="s">
        <v>272</v>
      </c>
      <c r="E173" t="s">
        <v>65</v>
      </c>
      <c r="F173">
        <v>775000</v>
      </c>
      <c r="G173" t="s">
        <v>276</v>
      </c>
      <c r="H173">
        <v>6</v>
      </c>
    </row>
    <row r="174" spans="1:8" x14ac:dyDescent="0.3">
      <c r="A174" t="s">
        <v>290</v>
      </c>
      <c r="B174">
        <v>2021</v>
      </c>
      <c r="C174" t="s">
        <v>271</v>
      </c>
      <c r="D174" t="s">
        <v>272</v>
      </c>
      <c r="E174" t="s">
        <v>65</v>
      </c>
      <c r="F174">
        <v>775000</v>
      </c>
      <c r="G174" t="s">
        <v>276</v>
      </c>
      <c r="H174">
        <v>7</v>
      </c>
    </row>
    <row r="175" spans="1:8" x14ac:dyDescent="0.3">
      <c r="A175" t="s">
        <v>291</v>
      </c>
      <c r="B175">
        <v>2014</v>
      </c>
      <c r="C175" t="s">
        <v>271</v>
      </c>
      <c r="D175" t="s">
        <v>272</v>
      </c>
      <c r="E175" t="s">
        <v>65</v>
      </c>
      <c r="F175">
        <v>502500</v>
      </c>
      <c r="G175" t="s">
        <v>83</v>
      </c>
      <c r="H175">
        <v>108</v>
      </c>
    </row>
    <row r="176" spans="1:8" x14ac:dyDescent="0.3">
      <c r="A176" t="s">
        <v>291</v>
      </c>
      <c r="B176">
        <v>2015</v>
      </c>
      <c r="C176" t="s">
        <v>271</v>
      </c>
      <c r="D176" t="s">
        <v>272</v>
      </c>
      <c r="E176" t="s">
        <v>65</v>
      </c>
      <c r="F176">
        <v>502500</v>
      </c>
      <c r="G176" t="s">
        <v>83</v>
      </c>
      <c r="H176">
        <v>93</v>
      </c>
    </row>
    <row r="177" spans="1:8" x14ac:dyDescent="0.3">
      <c r="A177" t="s">
        <v>291</v>
      </c>
      <c r="B177">
        <v>2016</v>
      </c>
      <c r="C177" t="s">
        <v>271</v>
      </c>
      <c r="D177" t="s">
        <v>272</v>
      </c>
      <c r="E177" t="s">
        <v>65</v>
      </c>
      <c r="F177">
        <v>502500</v>
      </c>
      <c r="G177" t="s">
        <v>83</v>
      </c>
      <c r="H177">
        <v>56</v>
      </c>
    </row>
    <row r="178" spans="1:8" x14ac:dyDescent="0.3">
      <c r="A178" t="s">
        <v>291</v>
      </c>
      <c r="B178">
        <v>2017</v>
      </c>
      <c r="C178" t="s">
        <v>271</v>
      </c>
      <c r="D178" t="s">
        <v>272</v>
      </c>
      <c r="E178" t="s">
        <v>65</v>
      </c>
      <c r="F178">
        <v>502500</v>
      </c>
      <c r="G178" t="s">
        <v>83</v>
      </c>
      <c r="H178">
        <v>36</v>
      </c>
    </row>
    <row r="179" spans="1:8" x14ac:dyDescent="0.3">
      <c r="A179" t="s">
        <v>291</v>
      </c>
      <c r="B179">
        <v>2018</v>
      </c>
      <c r="C179" t="s">
        <v>271</v>
      </c>
      <c r="D179" t="s">
        <v>272</v>
      </c>
      <c r="E179" t="s">
        <v>65</v>
      </c>
      <c r="F179">
        <v>502500</v>
      </c>
      <c r="G179" t="s">
        <v>83</v>
      </c>
      <c r="H179">
        <v>23</v>
      </c>
    </row>
    <row r="180" spans="1:8" x14ac:dyDescent="0.3">
      <c r="A180" t="s">
        <v>291</v>
      </c>
      <c r="B180">
        <v>2019</v>
      </c>
      <c r="C180" t="s">
        <v>271</v>
      </c>
      <c r="D180" t="s">
        <v>272</v>
      </c>
      <c r="E180" t="s">
        <v>65</v>
      </c>
      <c r="F180">
        <v>502500</v>
      </c>
      <c r="G180" t="s">
        <v>83</v>
      </c>
      <c r="H180">
        <v>5</v>
      </c>
    </row>
    <row r="181" spans="1:8" x14ac:dyDescent="0.3">
      <c r="A181" t="s">
        <v>291</v>
      </c>
      <c r="B181">
        <v>2020</v>
      </c>
      <c r="C181" t="s">
        <v>271</v>
      </c>
      <c r="D181" t="s">
        <v>272</v>
      </c>
      <c r="E181" t="s">
        <v>65</v>
      </c>
      <c r="F181">
        <v>502500</v>
      </c>
      <c r="G181" t="s">
        <v>83</v>
      </c>
      <c r="H181">
        <v>11</v>
      </c>
    </row>
    <row r="182" spans="1:8" x14ac:dyDescent="0.3">
      <c r="A182" t="s">
        <v>291</v>
      </c>
      <c r="B182">
        <v>2021</v>
      </c>
      <c r="C182" t="s">
        <v>271</v>
      </c>
      <c r="D182" t="s">
        <v>272</v>
      </c>
      <c r="E182" t="s">
        <v>65</v>
      </c>
      <c r="F182">
        <v>502500</v>
      </c>
      <c r="G182" t="s">
        <v>83</v>
      </c>
      <c r="H182">
        <v>1</v>
      </c>
    </row>
    <row r="183" spans="1:8" x14ac:dyDescent="0.3">
      <c r="A183" t="s">
        <v>292</v>
      </c>
      <c r="B183">
        <v>2014</v>
      </c>
      <c r="C183" t="s">
        <v>271</v>
      </c>
      <c r="D183" t="s">
        <v>272</v>
      </c>
      <c r="E183" t="s">
        <v>65</v>
      </c>
      <c r="F183">
        <v>560000</v>
      </c>
      <c r="G183" t="s">
        <v>83</v>
      </c>
      <c r="H183">
        <v>72</v>
      </c>
    </row>
    <row r="184" spans="1:8" x14ac:dyDescent="0.3">
      <c r="A184" t="s">
        <v>292</v>
      </c>
      <c r="B184">
        <v>2015</v>
      </c>
      <c r="C184" t="s">
        <v>271</v>
      </c>
      <c r="D184" t="s">
        <v>272</v>
      </c>
      <c r="E184" t="s">
        <v>65</v>
      </c>
      <c r="F184">
        <v>560000</v>
      </c>
      <c r="G184" t="s">
        <v>83</v>
      </c>
      <c r="H184">
        <v>95</v>
      </c>
    </row>
    <row r="185" spans="1:8" x14ac:dyDescent="0.3">
      <c r="A185" t="s">
        <v>292</v>
      </c>
      <c r="B185">
        <v>2016</v>
      </c>
      <c r="C185" t="s">
        <v>271</v>
      </c>
      <c r="D185" t="s">
        <v>272</v>
      </c>
      <c r="E185" t="s">
        <v>65</v>
      </c>
      <c r="F185">
        <v>560000</v>
      </c>
      <c r="G185" t="s">
        <v>83</v>
      </c>
      <c r="H185">
        <v>123</v>
      </c>
    </row>
    <row r="186" spans="1:8" x14ac:dyDescent="0.3">
      <c r="A186" t="s">
        <v>292</v>
      </c>
      <c r="B186">
        <v>2017</v>
      </c>
      <c r="C186" t="s">
        <v>271</v>
      </c>
      <c r="D186" t="s">
        <v>272</v>
      </c>
      <c r="E186" t="s">
        <v>65</v>
      </c>
      <c r="F186">
        <v>560000</v>
      </c>
      <c r="G186" t="s">
        <v>83</v>
      </c>
      <c r="H186">
        <v>105</v>
      </c>
    </row>
    <row r="187" spans="1:8" x14ac:dyDescent="0.3">
      <c r="A187" t="s">
        <v>292</v>
      </c>
      <c r="B187">
        <v>2018</v>
      </c>
      <c r="C187" t="s">
        <v>271</v>
      </c>
      <c r="D187" t="s">
        <v>272</v>
      </c>
      <c r="E187" t="s">
        <v>65</v>
      </c>
      <c r="F187">
        <v>560000</v>
      </c>
      <c r="G187" t="s">
        <v>83</v>
      </c>
      <c r="H187">
        <v>73</v>
      </c>
    </row>
    <row r="188" spans="1:8" x14ac:dyDescent="0.3">
      <c r="A188" t="s">
        <v>292</v>
      </c>
      <c r="B188">
        <v>2019</v>
      </c>
      <c r="C188" t="s">
        <v>271</v>
      </c>
      <c r="D188" t="s">
        <v>272</v>
      </c>
      <c r="E188" t="s">
        <v>65</v>
      </c>
      <c r="F188">
        <v>560000</v>
      </c>
      <c r="G188" t="s">
        <v>83</v>
      </c>
      <c r="H188">
        <v>45</v>
      </c>
    </row>
    <row r="189" spans="1:8" x14ac:dyDescent="0.3">
      <c r="A189" t="s">
        <v>292</v>
      </c>
      <c r="B189">
        <v>2020</v>
      </c>
      <c r="C189" t="s">
        <v>271</v>
      </c>
      <c r="D189" t="s">
        <v>272</v>
      </c>
      <c r="E189" t="s">
        <v>65</v>
      </c>
      <c r="F189">
        <v>560000</v>
      </c>
      <c r="G189" t="s">
        <v>83</v>
      </c>
      <c r="H189">
        <v>11</v>
      </c>
    </row>
    <row r="190" spans="1:8" x14ac:dyDescent="0.3">
      <c r="A190" t="s">
        <v>292</v>
      </c>
      <c r="B190">
        <v>2021</v>
      </c>
      <c r="C190" t="s">
        <v>271</v>
      </c>
      <c r="D190" t="s">
        <v>272</v>
      </c>
      <c r="E190" t="s">
        <v>65</v>
      </c>
      <c r="F190">
        <v>560000</v>
      </c>
      <c r="G190" t="s">
        <v>83</v>
      </c>
      <c r="H190">
        <v>9</v>
      </c>
    </row>
    <row r="191" spans="1:8" x14ac:dyDescent="0.3">
      <c r="A191" t="s">
        <v>293</v>
      </c>
      <c r="B191">
        <v>2017</v>
      </c>
      <c r="C191" t="s">
        <v>271</v>
      </c>
      <c r="D191" t="s">
        <v>272</v>
      </c>
      <c r="E191" t="s">
        <v>65</v>
      </c>
      <c r="F191">
        <v>502500</v>
      </c>
      <c r="G191" t="s">
        <v>83</v>
      </c>
      <c r="H191">
        <v>70</v>
      </c>
    </row>
    <row r="192" spans="1:8" x14ac:dyDescent="0.3">
      <c r="A192" t="s">
        <v>293</v>
      </c>
      <c r="B192">
        <v>2018</v>
      </c>
      <c r="C192" t="s">
        <v>271</v>
      </c>
      <c r="D192" t="s">
        <v>272</v>
      </c>
      <c r="E192" t="s">
        <v>65</v>
      </c>
      <c r="F192">
        <v>502500</v>
      </c>
      <c r="G192" t="s">
        <v>83</v>
      </c>
      <c r="H192">
        <v>9</v>
      </c>
    </row>
    <row r="193" spans="1:8" x14ac:dyDescent="0.3">
      <c r="A193" t="s">
        <v>174</v>
      </c>
      <c r="B193">
        <v>2014</v>
      </c>
      <c r="C193" t="s">
        <v>271</v>
      </c>
      <c r="D193" t="s">
        <v>272</v>
      </c>
      <c r="E193" t="s">
        <v>65</v>
      </c>
      <c r="F193">
        <v>11800</v>
      </c>
      <c r="G193" t="s">
        <v>72</v>
      </c>
      <c r="H193">
        <v>2</v>
      </c>
    </row>
    <row r="194" spans="1:8" x14ac:dyDescent="0.3">
      <c r="A194" t="s">
        <v>174</v>
      </c>
      <c r="B194">
        <v>2015</v>
      </c>
      <c r="C194" t="s">
        <v>271</v>
      </c>
      <c r="D194" t="s">
        <v>272</v>
      </c>
      <c r="E194" t="s">
        <v>65</v>
      </c>
      <c r="F194">
        <v>11800</v>
      </c>
      <c r="G194" t="s">
        <v>72</v>
      </c>
      <c r="H194">
        <v>7</v>
      </c>
    </row>
    <row r="195" spans="1:8" x14ac:dyDescent="0.3">
      <c r="A195" t="s">
        <v>174</v>
      </c>
      <c r="B195">
        <v>2016</v>
      </c>
      <c r="C195" t="s">
        <v>271</v>
      </c>
      <c r="D195" t="s">
        <v>272</v>
      </c>
      <c r="E195" t="s">
        <v>65</v>
      </c>
      <c r="F195">
        <v>11800</v>
      </c>
      <c r="G195" t="s">
        <v>72</v>
      </c>
      <c r="H195">
        <v>2</v>
      </c>
    </row>
    <row r="196" spans="1:8" x14ac:dyDescent="0.3">
      <c r="A196" t="s">
        <v>174</v>
      </c>
      <c r="B196">
        <v>2017</v>
      </c>
      <c r="C196" t="s">
        <v>271</v>
      </c>
      <c r="D196" t="s">
        <v>272</v>
      </c>
      <c r="E196" t="s">
        <v>65</v>
      </c>
      <c r="F196">
        <v>11800</v>
      </c>
      <c r="G196" t="s">
        <v>72</v>
      </c>
      <c r="H196">
        <v>1</v>
      </c>
    </row>
    <row r="197" spans="1:8" x14ac:dyDescent="0.3">
      <c r="A197" t="s">
        <v>174</v>
      </c>
      <c r="B197">
        <v>2018</v>
      </c>
      <c r="C197" t="s">
        <v>271</v>
      </c>
      <c r="D197" t="s">
        <v>272</v>
      </c>
      <c r="E197" t="s">
        <v>65</v>
      </c>
      <c r="F197">
        <v>11800</v>
      </c>
      <c r="G197" t="s">
        <v>72</v>
      </c>
      <c r="H197">
        <v>1</v>
      </c>
    </row>
    <row r="198" spans="1:8" x14ac:dyDescent="0.3">
      <c r="A198" t="s">
        <v>175</v>
      </c>
      <c r="B198">
        <v>2014</v>
      </c>
      <c r="C198" t="s">
        <v>271</v>
      </c>
      <c r="D198" t="s">
        <v>272</v>
      </c>
      <c r="E198" t="s">
        <v>65</v>
      </c>
      <c r="F198">
        <v>17120</v>
      </c>
      <c r="G198" t="s">
        <v>72</v>
      </c>
      <c r="H198">
        <v>13</v>
      </c>
    </row>
    <row r="199" spans="1:8" x14ac:dyDescent="0.3">
      <c r="A199" t="s">
        <v>175</v>
      </c>
      <c r="B199">
        <v>2015</v>
      </c>
      <c r="C199" t="s">
        <v>271</v>
      </c>
      <c r="D199" t="s">
        <v>272</v>
      </c>
      <c r="E199" t="s">
        <v>65</v>
      </c>
      <c r="F199">
        <v>17120</v>
      </c>
      <c r="G199" t="s">
        <v>72</v>
      </c>
      <c r="H199">
        <v>37</v>
      </c>
    </row>
    <row r="200" spans="1:8" x14ac:dyDescent="0.3">
      <c r="A200" t="s">
        <v>175</v>
      </c>
      <c r="B200">
        <v>2016</v>
      </c>
      <c r="C200" t="s">
        <v>271</v>
      </c>
      <c r="D200" t="s">
        <v>272</v>
      </c>
      <c r="E200" t="s">
        <v>65</v>
      </c>
      <c r="F200">
        <v>17120</v>
      </c>
      <c r="G200" t="s">
        <v>72</v>
      </c>
      <c r="H200">
        <v>37</v>
      </c>
    </row>
    <row r="201" spans="1:8" x14ac:dyDescent="0.3">
      <c r="A201" t="s">
        <v>175</v>
      </c>
      <c r="B201">
        <v>2017</v>
      </c>
      <c r="C201" t="s">
        <v>271</v>
      </c>
      <c r="D201" t="s">
        <v>272</v>
      </c>
      <c r="E201" t="s">
        <v>65</v>
      </c>
      <c r="F201">
        <v>17120</v>
      </c>
      <c r="G201" t="s">
        <v>72</v>
      </c>
      <c r="H201">
        <v>16</v>
      </c>
    </row>
    <row r="202" spans="1:8" x14ac:dyDescent="0.3">
      <c r="A202" t="s">
        <v>175</v>
      </c>
      <c r="B202">
        <v>2018</v>
      </c>
      <c r="C202" t="s">
        <v>271</v>
      </c>
      <c r="D202" t="s">
        <v>272</v>
      </c>
      <c r="E202" t="s">
        <v>65</v>
      </c>
      <c r="F202">
        <v>17120</v>
      </c>
      <c r="G202" t="s">
        <v>72</v>
      </c>
      <c r="H202">
        <v>28</v>
      </c>
    </row>
    <row r="203" spans="1:8" x14ac:dyDescent="0.3">
      <c r="A203" t="s">
        <v>175</v>
      </c>
      <c r="B203">
        <v>2019</v>
      </c>
      <c r="C203" t="s">
        <v>271</v>
      </c>
      <c r="D203" t="s">
        <v>272</v>
      </c>
      <c r="E203" t="s">
        <v>65</v>
      </c>
      <c r="F203">
        <v>17120</v>
      </c>
      <c r="G203" t="s">
        <v>72</v>
      </c>
      <c r="H203">
        <v>20</v>
      </c>
    </row>
    <row r="204" spans="1:8" x14ac:dyDescent="0.3">
      <c r="A204" t="s">
        <v>175</v>
      </c>
      <c r="B204">
        <v>2020</v>
      </c>
      <c r="C204" t="s">
        <v>271</v>
      </c>
      <c r="D204" t="s">
        <v>272</v>
      </c>
      <c r="E204" t="s">
        <v>65</v>
      </c>
      <c r="F204">
        <v>17120</v>
      </c>
      <c r="G204" t="s">
        <v>72</v>
      </c>
      <c r="H204">
        <v>19</v>
      </c>
    </row>
    <row r="205" spans="1:8" x14ac:dyDescent="0.3">
      <c r="A205" t="s">
        <v>175</v>
      </c>
      <c r="B205">
        <v>2021</v>
      </c>
      <c r="C205" t="s">
        <v>271</v>
      </c>
      <c r="D205" t="s">
        <v>272</v>
      </c>
      <c r="E205" t="s">
        <v>65</v>
      </c>
      <c r="F205">
        <v>17120</v>
      </c>
      <c r="G205" t="s">
        <v>72</v>
      </c>
      <c r="H205">
        <v>24</v>
      </c>
    </row>
    <row r="206" spans="1:8" x14ac:dyDescent="0.3">
      <c r="A206" t="s">
        <v>71</v>
      </c>
      <c r="B206">
        <v>2014</v>
      </c>
      <c r="C206" t="s">
        <v>271</v>
      </c>
      <c r="D206" t="s">
        <v>272</v>
      </c>
      <c r="E206" t="s">
        <v>65</v>
      </c>
      <c r="F206">
        <v>12500</v>
      </c>
      <c r="G206" t="s">
        <v>72</v>
      </c>
      <c r="H206">
        <v>20</v>
      </c>
    </row>
    <row r="207" spans="1:8" x14ac:dyDescent="0.3">
      <c r="A207" t="s">
        <v>71</v>
      </c>
      <c r="B207">
        <v>2015</v>
      </c>
      <c r="C207" t="s">
        <v>271</v>
      </c>
      <c r="D207" t="s">
        <v>272</v>
      </c>
      <c r="E207" t="s">
        <v>65</v>
      </c>
      <c r="F207">
        <v>12500</v>
      </c>
      <c r="G207" t="s">
        <v>72</v>
      </c>
      <c r="H207">
        <v>41</v>
      </c>
    </row>
    <row r="208" spans="1:8" x14ac:dyDescent="0.3">
      <c r="A208" t="s">
        <v>71</v>
      </c>
      <c r="B208">
        <v>2016</v>
      </c>
      <c r="C208" t="s">
        <v>271</v>
      </c>
      <c r="D208" t="s">
        <v>272</v>
      </c>
      <c r="E208" t="s">
        <v>65</v>
      </c>
      <c r="F208">
        <v>12500</v>
      </c>
      <c r="G208" t="s">
        <v>72</v>
      </c>
      <c r="H208">
        <v>32</v>
      </c>
    </row>
    <row r="209" spans="1:8" x14ac:dyDescent="0.3">
      <c r="A209" t="s">
        <v>71</v>
      </c>
      <c r="B209">
        <v>2017</v>
      </c>
      <c r="C209" t="s">
        <v>271</v>
      </c>
      <c r="D209" t="s">
        <v>272</v>
      </c>
      <c r="E209" t="s">
        <v>65</v>
      </c>
      <c r="F209">
        <v>12500</v>
      </c>
      <c r="G209" t="s">
        <v>72</v>
      </c>
      <c r="H209">
        <v>54</v>
      </c>
    </row>
    <row r="210" spans="1:8" x14ac:dyDescent="0.3">
      <c r="A210" t="s">
        <v>71</v>
      </c>
      <c r="B210">
        <v>2018</v>
      </c>
      <c r="C210" t="s">
        <v>271</v>
      </c>
      <c r="D210" t="s">
        <v>272</v>
      </c>
      <c r="E210" t="s">
        <v>65</v>
      </c>
      <c r="F210">
        <v>12500</v>
      </c>
      <c r="G210" t="s">
        <v>72</v>
      </c>
      <c r="H210">
        <v>52</v>
      </c>
    </row>
    <row r="211" spans="1:8" x14ac:dyDescent="0.3">
      <c r="A211" t="s">
        <v>71</v>
      </c>
      <c r="B211">
        <v>2019</v>
      </c>
      <c r="C211" t="s">
        <v>271</v>
      </c>
      <c r="D211" t="s">
        <v>272</v>
      </c>
      <c r="E211" t="s">
        <v>65</v>
      </c>
      <c r="F211">
        <v>12500</v>
      </c>
      <c r="G211" t="s">
        <v>72</v>
      </c>
      <c r="H211">
        <v>44</v>
      </c>
    </row>
    <row r="212" spans="1:8" x14ac:dyDescent="0.3">
      <c r="A212" t="s">
        <v>71</v>
      </c>
      <c r="B212">
        <v>2020</v>
      </c>
      <c r="C212" t="s">
        <v>271</v>
      </c>
      <c r="D212" t="s">
        <v>272</v>
      </c>
      <c r="E212" t="s">
        <v>65</v>
      </c>
      <c r="F212">
        <v>12500</v>
      </c>
      <c r="G212" t="s">
        <v>72</v>
      </c>
      <c r="H212">
        <v>14</v>
      </c>
    </row>
    <row r="213" spans="1:8" x14ac:dyDescent="0.3">
      <c r="A213" t="s">
        <v>71</v>
      </c>
      <c r="B213">
        <v>2021</v>
      </c>
      <c r="C213" t="s">
        <v>271</v>
      </c>
      <c r="D213" t="s">
        <v>272</v>
      </c>
      <c r="E213" t="s">
        <v>65</v>
      </c>
      <c r="F213">
        <v>12500</v>
      </c>
      <c r="G213" t="s">
        <v>72</v>
      </c>
      <c r="H213">
        <v>52</v>
      </c>
    </row>
    <row r="214" spans="1:8" x14ac:dyDescent="0.3">
      <c r="A214" t="s">
        <v>176</v>
      </c>
      <c r="B214">
        <v>2014</v>
      </c>
      <c r="C214" t="s">
        <v>271</v>
      </c>
      <c r="D214" t="s">
        <v>272</v>
      </c>
      <c r="E214" t="s">
        <v>65</v>
      </c>
      <c r="F214">
        <v>2250</v>
      </c>
      <c r="G214" t="s">
        <v>66</v>
      </c>
      <c r="H214">
        <v>47</v>
      </c>
    </row>
    <row r="215" spans="1:8" x14ac:dyDescent="0.3">
      <c r="A215" t="s">
        <v>176</v>
      </c>
      <c r="B215">
        <v>2015</v>
      </c>
      <c r="C215" t="s">
        <v>271</v>
      </c>
      <c r="D215" t="s">
        <v>272</v>
      </c>
      <c r="E215" t="s">
        <v>65</v>
      </c>
      <c r="F215">
        <v>2250</v>
      </c>
      <c r="G215" t="s">
        <v>66</v>
      </c>
      <c r="H215">
        <v>85</v>
      </c>
    </row>
    <row r="216" spans="1:8" x14ac:dyDescent="0.3">
      <c r="A216" t="s">
        <v>176</v>
      </c>
      <c r="B216">
        <v>2016</v>
      </c>
      <c r="C216" t="s">
        <v>271</v>
      </c>
      <c r="D216" t="s">
        <v>272</v>
      </c>
      <c r="E216" t="s">
        <v>65</v>
      </c>
      <c r="F216">
        <v>2250</v>
      </c>
      <c r="G216" t="s">
        <v>66</v>
      </c>
      <c r="H216">
        <v>64</v>
      </c>
    </row>
    <row r="217" spans="1:8" x14ac:dyDescent="0.3">
      <c r="A217" t="s">
        <v>176</v>
      </c>
      <c r="B217">
        <v>2017</v>
      </c>
      <c r="C217" t="s">
        <v>271</v>
      </c>
      <c r="D217" t="s">
        <v>272</v>
      </c>
      <c r="E217" t="s">
        <v>65</v>
      </c>
      <c r="F217">
        <v>2250</v>
      </c>
      <c r="G217" t="s">
        <v>66</v>
      </c>
      <c r="H217">
        <v>40</v>
      </c>
    </row>
    <row r="218" spans="1:8" x14ac:dyDescent="0.3">
      <c r="A218" t="s">
        <v>176</v>
      </c>
      <c r="B218">
        <v>2018</v>
      </c>
      <c r="C218" t="s">
        <v>271</v>
      </c>
      <c r="D218" t="s">
        <v>272</v>
      </c>
      <c r="E218" t="s">
        <v>65</v>
      </c>
      <c r="F218">
        <v>2250</v>
      </c>
      <c r="G218" t="s">
        <v>66</v>
      </c>
      <c r="H218">
        <v>5</v>
      </c>
    </row>
    <row r="219" spans="1:8" x14ac:dyDescent="0.3">
      <c r="A219" t="s">
        <v>176</v>
      </c>
      <c r="B219">
        <v>2019</v>
      </c>
      <c r="C219" t="s">
        <v>271</v>
      </c>
      <c r="D219" t="s">
        <v>272</v>
      </c>
      <c r="E219" t="s">
        <v>65</v>
      </c>
      <c r="F219">
        <v>2250</v>
      </c>
      <c r="G219" t="s">
        <v>66</v>
      </c>
      <c r="H219">
        <v>5</v>
      </c>
    </row>
    <row r="220" spans="1:8" x14ac:dyDescent="0.3">
      <c r="A220" t="s">
        <v>176</v>
      </c>
      <c r="B220">
        <v>2020</v>
      </c>
      <c r="C220" t="s">
        <v>271</v>
      </c>
      <c r="D220" t="s">
        <v>272</v>
      </c>
      <c r="E220" t="s">
        <v>65</v>
      </c>
      <c r="F220">
        <v>2250</v>
      </c>
      <c r="G220" t="s">
        <v>66</v>
      </c>
      <c r="H220">
        <v>7</v>
      </c>
    </row>
    <row r="221" spans="1:8" x14ac:dyDescent="0.3">
      <c r="A221" t="s">
        <v>176</v>
      </c>
      <c r="B221">
        <v>2021</v>
      </c>
      <c r="C221" t="s">
        <v>271</v>
      </c>
      <c r="D221" t="s">
        <v>272</v>
      </c>
      <c r="E221" t="s">
        <v>65</v>
      </c>
      <c r="F221">
        <v>2250</v>
      </c>
      <c r="G221" t="s">
        <v>66</v>
      </c>
      <c r="H221">
        <v>8</v>
      </c>
    </row>
    <row r="222" spans="1:8" x14ac:dyDescent="0.3">
      <c r="A222" t="s">
        <v>177</v>
      </c>
      <c r="B222">
        <v>2017</v>
      </c>
      <c r="C222" t="s">
        <v>271</v>
      </c>
      <c r="D222" t="s">
        <v>272</v>
      </c>
      <c r="E222" t="s">
        <v>65</v>
      </c>
      <c r="F222">
        <v>2750</v>
      </c>
      <c r="G222" t="s">
        <v>66</v>
      </c>
      <c r="H222">
        <v>1</v>
      </c>
    </row>
    <row r="223" spans="1:8" x14ac:dyDescent="0.3">
      <c r="A223" t="s">
        <v>177</v>
      </c>
      <c r="B223">
        <v>2019</v>
      </c>
      <c r="C223" t="s">
        <v>271</v>
      </c>
      <c r="D223" t="s">
        <v>272</v>
      </c>
      <c r="E223" t="s">
        <v>65</v>
      </c>
      <c r="F223">
        <v>2750</v>
      </c>
      <c r="G223" t="s">
        <v>66</v>
      </c>
      <c r="H223">
        <v>1</v>
      </c>
    </row>
    <row r="224" spans="1:8" x14ac:dyDescent="0.3">
      <c r="A224" t="s">
        <v>178</v>
      </c>
      <c r="B224">
        <v>2014</v>
      </c>
      <c r="C224" t="s">
        <v>271</v>
      </c>
      <c r="D224" t="s">
        <v>272</v>
      </c>
      <c r="E224" t="s">
        <v>65</v>
      </c>
      <c r="F224">
        <v>14000</v>
      </c>
      <c r="G224" t="s">
        <v>72</v>
      </c>
      <c r="H224">
        <v>7</v>
      </c>
    </row>
    <row r="225" spans="1:8" x14ac:dyDescent="0.3">
      <c r="A225" t="s">
        <v>178</v>
      </c>
      <c r="B225">
        <v>2015</v>
      </c>
      <c r="C225" t="s">
        <v>271</v>
      </c>
      <c r="D225" t="s">
        <v>272</v>
      </c>
      <c r="E225" t="s">
        <v>65</v>
      </c>
      <c r="F225">
        <v>14000</v>
      </c>
      <c r="G225" t="s">
        <v>72</v>
      </c>
      <c r="H225">
        <v>10</v>
      </c>
    </row>
    <row r="226" spans="1:8" x14ac:dyDescent="0.3">
      <c r="A226" t="s">
        <v>178</v>
      </c>
      <c r="B226">
        <v>2016</v>
      </c>
      <c r="C226" t="s">
        <v>271</v>
      </c>
      <c r="D226" t="s">
        <v>272</v>
      </c>
      <c r="E226" t="s">
        <v>65</v>
      </c>
      <c r="F226">
        <v>14000</v>
      </c>
      <c r="G226" t="s">
        <v>72</v>
      </c>
      <c r="H226">
        <v>15</v>
      </c>
    </row>
    <row r="227" spans="1:8" x14ac:dyDescent="0.3">
      <c r="A227" t="s">
        <v>178</v>
      </c>
      <c r="B227">
        <v>2017</v>
      </c>
      <c r="C227" t="s">
        <v>271</v>
      </c>
      <c r="D227" t="s">
        <v>272</v>
      </c>
      <c r="E227" t="s">
        <v>65</v>
      </c>
      <c r="F227">
        <v>14000</v>
      </c>
      <c r="G227" t="s">
        <v>72</v>
      </c>
      <c r="H227">
        <v>12</v>
      </c>
    </row>
    <row r="228" spans="1:8" x14ac:dyDescent="0.3">
      <c r="A228" t="s">
        <v>178</v>
      </c>
      <c r="B228">
        <v>2018</v>
      </c>
      <c r="C228" t="s">
        <v>271</v>
      </c>
      <c r="D228" t="s">
        <v>272</v>
      </c>
      <c r="E228" t="s">
        <v>65</v>
      </c>
      <c r="F228">
        <v>14000</v>
      </c>
      <c r="G228" t="s">
        <v>72</v>
      </c>
      <c r="H228">
        <v>22</v>
      </c>
    </row>
    <row r="229" spans="1:8" x14ac:dyDescent="0.3">
      <c r="A229" t="s">
        <v>178</v>
      </c>
      <c r="B229">
        <v>2019</v>
      </c>
      <c r="C229" t="s">
        <v>271</v>
      </c>
      <c r="D229" t="s">
        <v>272</v>
      </c>
      <c r="E229" t="s">
        <v>65</v>
      </c>
      <c r="F229">
        <v>14000</v>
      </c>
      <c r="G229" t="s">
        <v>72</v>
      </c>
      <c r="H229">
        <v>32</v>
      </c>
    </row>
    <row r="230" spans="1:8" x14ac:dyDescent="0.3">
      <c r="A230" t="s">
        <v>178</v>
      </c>
      <c r="B230">
        <v>2020</v>
      </c>
      <c r="C230" t="s">
        <v>271</v>
      </c>
      <c r="D230" t="s">
        <v>272</v>
      </c>
      <c r="E230" t="s">
        <v>65</v>
      </c>
      <c r="F230">
        <v>14000</v>
      </c>
      <c r="G230" t="s">
        <v>72</v>
      </c>
      <c r="H230">
        <v>8</v>
      </c>
    </row>
    <row r="231" spans="1:8" x14ac:dyDescent="0.3">
      <c r="A231" t="s">
        <v>178</v>
      </c>
      <c r="B231">
        <v>2021</v>
      </c>
      <c r="C231" t="s">
        <v>271</v>
      </c>
      <c r="D231" t="s">
        <v>272</v>
      </c>
      <c r="E231" t="s">
        <v>65</v>
      </c>
      <c r="F231">
        <v>14000</v>
      </c>
      <c r="G231" t="s">
        <v>72</v>
      </c>
      <c r="H231">
        <v>11</v>
      </c>
    </row>
    <row r="232" spans="1:8" x14ac:dyDescent="0.3">
      <c r="A232" t="s">
        <v>73</v>
      </c>
      <c r="B232">
        <v>2014</v>
      </c>
      <c r="C232" t="s">
        <v>271</v>
      </c>
      <c r="D232" t="s">
        <v>272</v>
      </c>
      <c r="E232" t="s">
        <v>65</v>
      </c>
      <c r="F232">
        <v>3500</v>
      </c>
      <c r="G232" t="s">
        <v>66</v>
      </c>
      <c r="H232">
        <v>5</v>
      </c>
    </row>
    <row r="233" spans="1:8" x14ac:dyDescent="0.3">
      <c r="A233" t="s">
        <v>73</v>
      </c>
      <c r="B233">
        <v>2015</v>
      </c>
      <c r="C233" t="s">
        <v>271</v>
      </c>
      <c r="D233" t="s">
        <v>272</v>
      </c>
      <c r="E233" t="s">
        <v>65</v>
      </c>
      <c r="F233">
        <v>3500</v>
      </c>
      <c r="G233" t="s">
        <v>66</v>
      </c>
      <c r="H233">
        <v>7</v>
      </c>
    </row>
    <row r="234" spans="1:8" x14ac:dyDescent="0.3">
      <c r="A234" t="s">
        <v>73</v>
      </c>
      <c r="B234">
        <v>2016</v>
      </c>
      <c r="C234" t="s">
        <v>271</v>
      </c>
      <c r="D234" t="s">
        <v>272</v>
      </c>
      <c r="E234" t="s">
        <v>65</v>
      </c>
      <c r="F234">
        <v>3500</v>
      </c>
      <c r="G234" t="s">
        <v>66</v>
      </c>
      <c r="H234">
        <v>11</v>
      </c>
    </row>
    <row r="235" spans="1:8" x14ac:dyDescent="0.3">
      <c r="A235" t="s">
        <v>73</v>
      </c>
      <c r="B235">
        <v>2017</v>
      </c>
      <c r="C235" t="s">
        <v>271</v>
      </c>
      <c r="D235" t="s">
        <v>272</v>
      </c>
      <c r="E235" t="s">
        <v>65</v>
      </c>
      <c r="F235">
        <v>3500</v>
      </c>
      <c r="G235" t="s">
        <v>66</v>
      </c>
      <c r="H235">
        <v>10</v>
      </c>
    </row>
    <row r="236" spans="1:8" x14ac:dyDescent="0.3">
      <c r="A236" t="s">
        <v>73</v>
      </c>
      <c r="B236">
        <v>2018</v>
      </c>
      <c r="C236" t="s">
        <v>271</v>
      </c>
      <c r="D236" t="s">
        <v>272</v>
      </c>
      <c r="E236" t="s">
        <v>65</v>
      </c>
      <c r="F236">
        <v>3500</v>
      </c>
      <c r="G236" t="s">
        <v>66</v>
      </c>
      <c r="H236">
        <v>14</v>
      </c>
    </row>
    <row r="237" spans="1:8" x14ac:dyDescent="0.3">
      <c r="A237" t="s">
        <v>73</v>
      </c>
      <c r="B237">
        <v>2019</v>
      </c>
      <c r="C237" t="s">
        <v>271</v>
      </c>
      <c r="D237" t="s">
        <v>272</v>
      </c>
      <c r="E237" t="s">
        <v>65</v>
      </c>
      <c r="F237">
        <v>3500</v>
      </c>
      <c r="G237" t="s">
        <v>66</v>
      </c>
      <c r="H237">
        <v>6</v>
      </c>
    </row>
    <row r="238" spans="1:8" x14ac:dyDescent="0.3">
      <c r="A238" t="s">
        <v>73</v>
      </c>
      <c r="B238">
        <v>2020</v>
      </c>
      <c r="C238" t="s">
        <v>271</v>
      </c>
      <c r="D238" t="s">
        <v>272</v>
      </c>
      <c r="E238" t="s">
        <v>65</v>
      </c>
      <c r="F238">
        <v>3500</v>
      </c>
      <c r="G238" t="s">
        <v>66</v>
      </c>
      <c r="H238">
        <v>3</v>
      </c>
    </row>
    <row r="239" spans="1:8" x14ac:dyDescent="0.3">
      <c r="A239" t="s">
        <v>73</v>
      </c>
      <c r="B239">
        <v>2021</v>
      </c>
      <c r="C239" t="s">
        <v>271</v>
      </c>
      <c r="D239" t="s">
        <v>272</v>
      </c>
      <c r="E239" t="s">
        <v>65</v>
      </c>
      <c r="F239">
        <v>3500</v>
      </c>
      <c r="G239" t="s">
        <v>66</v>
      </c>
      <c r="H239">
        <v>5</v>
      </c>
    </row>
    <row r="240" spans="1:8" x14ac:dyDescent="0.3">
      <c r="A240" t="s">
        <v>74</v>
      </c>
      <c r="B240">
        <v>2014</v>
      </c>
      <c r="C240" t="s">
        <v>271</v>
      </c>
      <c r="D240" t="s">
        <v>272</v>
      </c>
      <c r="E240" t="s">
        <v>65</v>
      </c>
      <c r="F240">
        <v>3400</v>
      </c>
      <c r="G240" t="s">
        <v>66</v>
      </c>
      <c r="H240">
        <v>3</v>
      </c>
    </row>
    <row r="241" spans="1:8" x14ac:dyDescent="0.3">
      <c r="A241" t="s">
        <v>74</v>
      </c>
      <c r="B241">
        <v>2015</v>
      </c>
      <c r="C241" t="s">
        <v>271</v>
      </c>
      <c r="D241" t="s">
        <v>272</v>
      </c>
      <c r="E241" t="s">
        <v>65</v>
      </c>
      <c r="F241">
        <v>3400</v>
      </c>
      <c r="G241" t="s">
        <v>66</v>
      </c>
      <c r="H241">
        <v>3</v>
      </c>
    </row>
    <row r="242" spans="1:8" x14ac:dyDescent="0.3">
      <c r="A242" t="s">
        <v>74</v>
      </c>
      <c r="B242">
        <v>2016</v>
      </c>
      <c r="C242" t="s">
        <v>271</v>
      </c>
      <c r="D242" t="s">
        <v>272</v>
      </c>
      <c r="E242" t="s">
        <v>65</v>
      </c>
      <c r="F242">
        <v>3400</v>
      </c>
      <c r="G242" t="s">
        <v>66</v>
      </c>
      <c r="H242">
        <v>4</v>
      </c>
    </row>
    <row r="243" spans="1:8" x14ac:dyDescent="0.3">
      <c r="A243" t="s">
        <v>74</v>
      </c>
      <c r="B243">
        <v>2017</v>
      </c>
      <c r="C243" t="s">
        <v>271</v>
      </c>
      <c r="D243" t="s">
        <v>272</v>
      </c>
      <c r="E243" t="s">
        <v>65</v>
      </c>
      <c r="F243">
        <v>3400</v>
      </c>
      <c r="G243" t="s">
        <v>66</v>
      </c>
      <c r="H243">
        <v>10</v>
      </c>
    </row>
    <row r="244" spans="1:8" x14ac:dyDescent="0.3">
      <c r="A244" t="s">
        <v>74</v>
      </c>
      <c r="B244">
        <v>2018</v>
      </c>
      <c r="C244" t="s">
        <v>271</v>
      </c>
      <c r="D244" t="s">
        <v>272</v>
      </c>
      <c r="E244" t="s">
        <v>65</v>
      </c>
      <c r="F244">
        <v>3400</v>
      </c>
      <c r="G244" t="s">
        <v>66</v>
      </c>
      <c r="H244">
        <v>10</v>
      </c>
    </row>
    <row r="245" spans="1:8" x14ac:dyDescent="0.3">
      <c r="A245" t="s">
        <v>74</v>
      </c>
      <c r="B245">
        <v>2019</v>
      </c>
      <c r="C245" t="s">
        <v>271</v>
      </c>
      <c r="D245" t="s">
        <v>272</v>
      </c>
      <c r="E245" t="s">
        <v>65</v>
      </c>
      <c r="F245">
        <v>3400</v>
      </c>
      <c r="G245" t="s">
        <v>66</v>
      </c>
      <c r="H245">
        <v>14</v>
      </c>
    </row>
    <row r="246" spans="1:8" x14ac:dyDescent="0.3">
      <c r="A246" t="s">
        <v>74</v>
      </c>
      <c r="B246">
        <v>2020</v>
      </c>
      <c r="C246" t="s">
        <v>271</v>
      </c>
      <c r="D246" t="s">
        <v>272</v>
      </c>
      <c r="E246" t="s">
        <v>65</v>
      </c>
      <c r="F246">
        <v>3400</v>
      </c>
      <c r="G246" t="s">
        <v>66</v>
      </c>
      <c r="H246">
        <v>9</v>
      </c>
    </row>
    <row r="247" spans="1:8" x14ac:dyDescent="0.3">
      <c r="A247" t="s">
        <v>74</v>
      </c>
      <c r="B247">
        <v>2021</v>
      </c>
      <c r="C247" t="s">
        <v>271</v>
      </c>
      <c r="D247" t="s">
        <v>272</v>
      </c>
      <c r="E247" t="s">
        <v>65</v>
      </c>
      <c r="F247">
        <v>3400</v>
      </c>
      <c r="G247" t="s">
        <v>66</v>
      </c>
      <c r="H247">
        <v>8</v>
      </c>
    </row>
    <row r="248" spans="1:8" x14ac:dyDescent="0.3">
      <c r="A248" t="s">
        <v>75</v>
      </c>
      <c r="B248">
        <v>2016</v>
      </c>
      <c r="C248" t="s">
        <v>271</v>
      </c>
      <c r="D248" t="s">
        <v>272</v>
      </c>
      <c r="E248" t="s">
        <v>65</v>
      </c>
      <c r="F248">
        <v>3650</v>
      </c>
      <c r="G248" t="s">
        <v>66</v>
      </c>
      <c r="H248">
        <v>5</v>
      </c>
    </row>
    <row r="249" spans="1:8" x14ac:dyDescent="0.3">
      <c r="A249" t="s">
        <v>75</v>
      </c>
      <c r="B249">
        <v>2017</v>
      </c>
      <c r="C249" t="s">
        <v>271</v>
      </c>
      <c r="D249" t="s">
        <v>272</v>
      </c>
      <c r="E249" t="s">
        <v>65</v>
      </c>
      <c r="F249">
        <v>3650</v>
      </c>
      <c r="G249" t="s">
        <v>66</v>
      </c>
      <c r="H249">
        <v>5</v>
      </c>
    </row>
    <row r="250" spans="1:8" x14ac:dyDescent="0.3">
      <c r="A250" t="s">
        <v>75</v>
      </c>
      <c r="B250">
        <v>2018</v>
      </c>
      <c r="C250" t="s">
        <v>271</v>
      </c>
      <c r="D250" t="s">
        <v>272</v>
      </c>
      <c r="E250" t="s">
        <v>65</v>
      </c>
      <c r="F250">
        <v>3650</v>
      </c>
      <c r="G250" t="s">
        <v>66</v>
      </c>
      <c r="H250">
        <v>5</v>
      </c>
    </row>
    <row r="251" spans="1:8" x14ac:dyDescent="0.3">
      <c r="A251" t="s">
        <v>75</v>
      </c>
      <c r="B251">
        <v>2019</v>
      </c>
      <c r="C251" t="s">
        <v>271</v>
      </c>
      <c r="D251" t="s">
        <v>272</v>
      </c>
      <c r="E251" t="s">
        <v>65</v>
      </c>
      <c r="F251">
        <v>3650</v>
      </c>
      <c r="G251" t="s">
        <v>66</v>
      </c>
      <c r="H251">
        <v>2</v>
      </c>
    </row>
    <row r="252" spans="1:8" x14ac:dyDescent="0.3">
      <c r="A252" t="s">
        <v>75</v>
      </c>
      <c r="B252">
        <v>2020</v>
      </c>
      <c r="C252" t="s">
        <v>271</v>
      </c>
      <c r="D252" t="s">
        <v>272</v>
      </c>
      <c r="E252" t="s">
        <v>65</v>
      </c>
      <c r="F252">
        <v>3650</v>
      </c>
      <c r="G252" t="s">
        <v>66</v>
      </c>
      <c r="H252">
        <v>3</v>
      </c>
    </row>
    <row r="253" spans="1:8" x14ac:dyDescent="0.3">
      <c r="A253" t="s">
        <v>75</v>
      </c>
      <c r="B253">
        <v>2021</v>
      </c>
      <c r="C253" t="s">
        <v>271</v>
      </c>
      <c r="D253" t="s">
        <v>272</v>
      </c>
      <c r="E253" t="s">
        <v>65</v>
      </c>
      <c r="F253">
        <v>3650</v>
      </c>
      <c r="G253" t="s">
        <v>66</v>
      </c>
      <c r="H253">
        <v>1</v>
      </c>
    </row>
    <row r="254" spans="1:8" x14ac:dyDescent="0.3">
      <c r="A254" t="s">
        <v>179</v>
      </c>
      <c r="B254">
        <v>2015</v>
      </c>
      <c r="C254" t="s">
        <v>271</v>
      </c>
      <c r="D254" t="s">
        <v>272</v>
      </c>
      <c r="E254" t="s">
        <v>65</v>
      </c>
      <c r="F254">
        <v>16100</v>
      </c>
      <c r="G254" t="s">
        <v>66</v>
      </c>
      <c r="H254">
        <v>2</v>
      </c>
    </row>
    <row r="255" spans="1:8" x14ac:dyDescent="0.3">
      <c r="A255" t="s">
        <v>179</v>
      </c>
      <c r="B255">
        <v>2016</v>
      </c>
      <c r="C255" t="s">
        <v>271</v>
      </c>
      <c r="D255" t="s">
        <v>272</v>
      </c>
      <c r="E255" t="s">
        <v>65</v>
      </c>
      <c r="F255">
        <v>16100</v>
      </c>
      <c r="G255" t="s">
        <v>66</v>
      </c>
      <c r="H255">
        <v>9</v>
      </c>
    </row>
    <row r="256" spans="1:8" x14ac:dyDescent="0.3">
      <c r="A256" t="s">
        <v>179</v>
      </c>
      <c r="B256">
        <v>2017</v>
      </c>
      <c r="C256" t="s">
        <v>271</v>
      </c>
      <c r="D256" t="s">
        <v>272</v>
      </c>
      <c r="E256" t="s">
        <v>65</v>
      </c>
      <c r="F256">
        <v>16100</v>
      </c>
      <c r="G256" t="s">
        <v>66</v>
      </c>
      <c r="H256">
        <v>5</v>
      </c>
    </row>
    <row r="257" spans="1:8" x14ac:dyDescent="0.3">
      <c r="A257" t="s">
        <v>179</v>
      </c>
      <c r="B257">
        <v>2019</v>
      </c>
      <c r="C257" t="s">
        <v>271</v>
      </c>
      <c r="D257" t="s">
        <v>272</v>
      </c>
      <c r="E257" t="s">
        <v>65</v>
      </c>
      <c r="F257">
        <v>16100</v>
      </c>
      <c r="G257" t="s">
        <v>66</v>
      </c>
      <c r="H257">
        <v>1</v>
      </c>
    </row>
    <row r="258" spans="1:8" x14ac:dyDescent="0.3">
      <c r="A258" t="s">
        <v>179</v>
      </c>
      <c r="B258">
        <v>2020</v>
      </c>
      <c r="C258" t="s">
        <v>271</v>
      </c>
      <c r="D258" t="s">
        <v>272</v>
      </c>
      <c r="E258" t="s">
        <v>65</v>
      </c>
      <c r="F258">
        <v>16100</v>
      </c>
      <c r="G258" t="s">
        <v>66</v>
      </c>
      <c r="H258">
        <v>3</v>
      </c>
    </row>
    <row r="259" spans="1:8" x14ac:dyDescent="0.3">
      <c r="A259" t="s">
        <v>179</v>
      </c>
      <c r="B259">
        <v>2021</v>
      </c>
      <c r="C259" t="s">
        <v>271</v>
      </c>
      <c r="D259" t="s">
        <v>272</v>
      </c>
      <c r="E259" t="s">
        <v>65</v>
      </c>
      <c r="F259">
        <v>16100</v>
      </c>
      <c r="G259" t="s">
        <v>66</v>
      </c>
      <c r="H259">
        <v>2</v>
      </c>
    </row>
    <row r="260" spans="1:8" x14ac:dyDescent="0.3">
      <c r="A260" t="s">
        <v>76</v>
      </c>
      <c r="B260">
        <v>2017</v>
      </c>
      <c r="C260" t="s">
        <v>271</v>
      </c>
      <c r="D260" t="s">
        <v>272</v>
      </c>
      <c r="E260" t="s">
        <v>65</v>
      </c>
      <c r="F260">
        <v>5300</v>
      </c>
      <c r="G260" t="s">
        <v>66</v>
      </c>
      <c r="H260">
        <v>1</v>
      </c>
    </row>
    <row r="261" spans="1:8" x14ac:dyDescent="0.3">
      <c r="A261" t="s">
        <v>76</v>
      </c>
      <c r="B261">
        <v>2019</v>
      </c>
      <c r="C261" t="s">
        <v>271</v>
      </c>
      <c r="D261" t="s">
        <v>272</v>
      </c>
      <c r="E261" t="s">
        <v>65</v>
      </c>
      <c r="F261">
        <v>5300</v>
      </c>
      <c r="G261" t="s">
        <v>66</v>
      </c>
      <c r="H261">
        <v>2</v>
      </c>
    </row>
    <row r="262" spans="1:8" x14ac:dyDescent="0.3">
      <c r="A262" t="s">
        <v>76</v>
      </c>
      <c r="B262">
        <v>2021</v>
      </c>
      <c r="C262" t="s">
        <v>271</v>
      </c>
      <c r="D262" t="s">
        <v>272</v>
      </c>
      <c r="E262" t="s">
        <v>65</v>
      </c>
      <c r="F262">
        <v>5300</v>
      </c>
      <c r="G262" t="s">
        <v>66</v>
      </c>
      <c r="H262">
        <v>2</v>
      </c>
    </row>
    <row r="263" spans="1:8" x14ac:dyDescent="0.3">
      <c r="A263" t="s">
        <v>77</v>
      </c>
      <c r="B263">
        <v>2015</v>
      </c>
      <c r="C263" t="s">
        <v>271</v>
      </c>
      <c r="D263" t="s">
        <v>272</v>
      </c>
      <c r="E263" t="s">
        <v>65</v>
      </c>
      <c r="F263">
        <v>5500</v>
      </c>
      <c r="G263" t="s">
        <v>66</v>
      </c>
      <c r="H263">
        <v>1</v>
      </c>
    </row>
    <row r="264" spans="1:8" x14ac:dyDescent="0.3">
      <c r="A264" t="s">
        <v>77</v>
      </c>
      <c r="B264">
        <v>2016</v>
      </c>
      <c r="C264" t="s">
        <v>271</v>
      </c>
      <c r="D264" t="s">
        <v>272</v>
      </c>
      <c r="E264" t="s">
        <v>65</v>
      </c>
      <c r="F264">
        <v>5500</v>
      </c>
      <c r="G264" t="s">
        <v>66</v>
      </c>
      <c r="H264">
        <v>2</v>
      </c>
    </row>
    <row r="265" spans="1:8" x14ac:dyDescent="0.3">
      <c r="A265" t="s">
        <v>77</v>
      </c>
      <c r="B265">
        <v>2017</v>
      </c>
      <c r="C265" t="s">
        <v>271</v>
      </c>
      <c r="D265" t="s">
        <v>272</v>
      </c>
      <c r="E265" t="s">
        <v>65</v>
      </c>
      <c r="F265">
        <v>5500</v>
      </c>
      <c r="G265" t="s">
        <v>66</v>
      </c>
      <c r="H265">
        <v>2</v>
      </c>
    </row>
    <row r="266" spans="1:8" x14ac:dyDescent="0.3">
      <c r="A266" t="s">
        <v>77</v>
      </c>
      <c r="B266">
        <v>2021</v>
      </c>
      <c r="C266" t="s">
        <v>271</v>
      </c>
      <c r="D266" t="s">
        <v>272</v>
      </c>
      <c r="E266" t="s">
        <v>65</v>
      </c>
      <c r="F266">
        <v>5500</v>
      </c>
      <c r="G266" t="s">
        <v>66</v>
      </c>
      <c r="H266">
        <v>1</v>
      </c>
    </row>
    <row r="267" spans="1:8" x14ac:dyDescent="0.3">
      <c r="A267" t="s">
        <v>78</v>
      </c>
      <c r="B267">
        <v>2017</v>
      </c>
      <c r="C267" t="s">
        <v>271</v>
      </c>
      <c r="D267" t="s">
        <v>272</v>
      </c>
      <c r="E267" t="s">
        <v>65</v>
      </c>
      <c r="F267">
        <v>6775</v>
      </c>
      <c r="G267" t="s">
        <v>66</v>
      </c>
      <c r="H267">
        <v>1</v>
      </c>
    </row>
    <row r="268" spans="1:8" x14ac:dyDescent="0.3">
      <c r="A268" t="s">
        <v>79</v>
      </c>
      <c r="B268">
        <v>2015</v>
      </c>
      <c r="C268" t="s">
        <v>271</v>
      </c>
      <c r="D268" t="s">
        <v>272</v>
      </c>
      <c r="E268" t="s">
        <v>65</v>
      </c>
      <c r="F268">
        <v>10097</v>
      </c>
      <c r="G268" t="s">
        <v>66</v>
      </c>
      <c r="H268">
        <v>1</v>
      </c>
    </row>
    <row r="269" spans="1:8" x14ac:dyDescent="0.3">
      <c r="A269" t="s">
        <v>79</v>
      </c>
      <c r="B269">
        <v>2016</v>
      </c>
      <c r="C269" t="s">
        <v>271</v>
      </c>
      <c r="D269" t="s">
        <v>272</v>
      </c>
      <c r="E269" t="s">
        <v>65</v>
      </c>
      <c r="F269">
        <v>10097</v>
      </c>
      <c r="G269" t="s">
        <v>66</v>
      </c>
      <c r="H269">
        <v>1</v>
      </c>
    </row>
    <row r="270" spans="1:8" x14ac:dyDescent="0.3">
      <c r="A270" t="s">
        <v>182</v>
      </c>
      <c r="B270">
        <v>2014</v>
      </c>
      <c r="C270" t="s">
        <v>271</v>
      </c>
      <c r="D270" t="s">
        <v>272</v>
      </c>
      <c r="E270" t="s">
        <v>65</v>
      </c>
      <c r="F270">
        <v>10400</v>
      </c>
      <c r="G270" t="s">
        <v>72</v>
      </c>
      <c r="H270">
        <v>60</v>
      </c>
    </row>
    <row r="271" spans="1:8" x14ac:dyDescent="0.3">
      <c r="A271" t="s">
        <v>182</v>
      </c>
      <c r="B271">
        <v>2015</v>
      </c>
      <c r="C271" t="s">
        <v>271</v>
      </c>
      <c r="D271" t="s">
        <v>272</v>
      </c>
      <c r="E271" t="s">
        <v>65</v>
      </c>
      <c r="F271">
        <v>10400</v>
      </c>
      <c r="G271" t="s">
        <v>72</v>
      </c>
      <c r="H271">
        <v>89</v>
      </c>
    </row>
    <row r="272" spans="1:8" x14ac:dyDescent="0.3">
      <c r="A272" t="s">
        <v>182</v>
      </c>
      <c r="B272">
        <v>2016</v>
      </c>
      <c r="C272" t="s">
        <v>271</v>
      </c>
      <c r="D272" t="s">
        <v>272</v>
      </c>
      <c r="E272" t="s">
        <v>65</v>
      </c>
      <c r="F272">
        <v>10400</v>
      </c>
      <c r="G272" t="s">
        <v>72</v>
      </c>
      <c r="H272">
        <v>88</v>
      </c>
    </row>
    <row r="273" spans="1:8" x14ac:dyDescent="0.3">
      <c r="A273" t="s">
        <v>182</v>
      </c>
      <c r="B273">
        <v>2017</v>
      </c>
      <c r="C273" t="s">
        <v>271</v>
      </c>
      <c r="D273" t="s">
        <v>272</v>
      </c>
      <c r="E273" t="s">
        <v>65</v>
      </c>
      <c r="F273">
        <v>10400</v>
      </c>
      <c r="G273" t="s">
        <v>72</v>
      </c>
      <c r="H273">
        <v>212</v>
      </c>
    </row>
    <row r="274" spans="1:8" x14ac:dyDescent="0.3">
      <c r="A274" t="s">
        <v>182</v>
      </c>
      <c r="B274">
        <v>2018</v>
      </c>
      <c r="C274" t="s">
        <v>271</v>
      </c>
      <c r="D274" t="s">
        <v>272</v>
      </c>
      <c r="E274" t="s">
        <v>65</v>
      </c>
      <c r="F274">
        <v>10400</v>
      </c>
      <c r="G274" t="s">
        <v>72</v>
      </c>
      <c r="H274">
        <v>216</v>
      </c>
    </row>
    <row r="275" spans="1:8" x14ac:dyDescent="0.3">
      <c r="A275" t="s">
        <v>182</v>
      </c>
      <c r="B275">
        <v>2019</v>
      </c>
      <c r="C275" t="s">
        <v>271</v>
      </c>
      <c r="D275" t="s">
        <v>272</v>
      </c>
      <c r="E275" t="s">
        <v>65</v>
      </c>
      <c r="F275">
        <v>10400</v>
      </c>
      <c r="G275" t="s">
        <v>72</v>
      </c>
      <c r="H275">
        <v>149</v>
      </c>
    </row>
    <row r="276" spans="1:8" x14ac:dyDescent="0.3">
      <c r="A276" t="s">
        <v>80</v>
      </c>
      <c r="B276">
        <v>2014</v>
      </c>
      <c r="C276" t="s">
        <v>271</v>
      </c>
      <c r="D276" t="s">
        <v>272</v>
      </c>
      <c r="E276" t="s">
        <v>65</v>
      </c>
      <c r="F276">
        <v>10097</v>
      </c>
      <c r="G276" t="s">
        <v>72</v>
      </c>
      <c r="H276">
        <v>8</v>
      </c>
    </row>
    <row r="277" spans="1:8" x14ac:dyDescent="0.3">
      <c r="A277" t="s">
        <v>80</v>
      </c>
      <c r="B277">
        <v>2015</v>
      </c>
      <c r="C277" t="s">
        <v>271</v>
      </c>
      <c r="D277" t="s">
        <v>272</v>
      </c>
      <c r="E277" t="s">
        <v>65</v>
      </c>
      <c r="F277">
        <v>10097</v>
      </c>
      <c r="G277" t="s">
        <v>72</v>
      </c>
      <c r="H277">
        <v>50</v>
      </c>
    </row>
    <row r="278" spans="1:8" x14ac:dyDescent="0.3">
      <c r="A278" t="s">
        <v>80</v>
      </c>
      <c r="B278">
        <v>2016</v>
      </c>
      <c r="C278" t="s">
        <v>271</v>
      </c>
      <c r="D278" t="s">
        <v>272</v>
      </c>
      <c r="E278" t="s">
        <v>65</v>
      </c>
      <c r="F278">
        <v>10097</v>
      </c>
      <c r="G278" t="s">
        <v>72</v>
      </c>
      <c r="H278">
        <v>28</v>
      </c>
    </row>
    <row r="279" spans="1:8" x14ac:dyDescent="0.3">
      <c r="A279" t="s">
        <v>80</v>
      </c>
      <c r="B279">
        <v>2017</v>
      </c>
      <c r="C279" t="s">
        <v>271</v>
      </c>
      <c r="D279" t="s">
        <v>272</v>
      </c>
      <c r="E279" t="s">
        <v>65</v>
      </c>
      <c r="F279">
        <v>10097</v>
      </c>
      <c r="G279" t="s">
        <v>72</v>
      </c>
      <c r="H279">
        <v>15</v>
      </c>
    </row>
    <row r="280" spans="1:8" x14ac:dyDescent="0.3">
      <c r="A280" t="s">
        <v>80</v>
      </c>
      <c r="B280">
        <v>2018</v>
      </c>
      <c r="C280" t="s">
        <v>271</v>
      </c>
      <c r="D280" t="s">
        <v>272</v>
      </c>
      <c r="E280" t="s">
        <v>65</v>
      </c>
      <c r="F280">
        <v>10097</v>
      </c>
      <c r="G280" t="s">
        <v>72</v>
      </c>
      <c r="H280">
        <v>17</v>
      </c>
    </row>
    <row r="281" spans="1:8" x14ac:dyDescent="0.3">
      <c r="A281" t="s">
        <v>80</v>
      </c>
      <c r="B281">
        <v>2019</v>
      </c>
      <c r="C281" t="s">
        <v>271</v>
      </c>
      <c r="D281" t="s">
        <v>272</v>
      </c>
      <c r="E281" t="s">
        <v>65</v>
      </c>
      <c r="F281">
        <v>10097</v>
      </c>
      <c r="G281" t="s">
        <v>72</v>
      </c>
      <c r="H281">
        <v>15</v>
      </c>
    </row>
    <row r="282" spans="1:8" x14ac:dyDescent="0.3">
      <c r="A282" t="s">
        <v>80</v>
      </c>
      <c r="B282">
        <v>2020</v>
      </c>
      <c r="C282" t="s">
        <v>271</v>
      </c>
      <c r="D282" t="s">
        <v>272</v>
      </c>
      <c r="E282" t="s">
        <v>65</v>
      </c>
      <c r="F282">
        <v>10097</v>
      </c>
      <c r="G282" t="s">
        <v>72</v>
      </c>
      <c r="H282">
        <v>6</v>
      </c>
    </row>
    <row r="283" spans="1:8" x14ac:dyDescent="0.3">
      <c r="A283" t="s">
        <v>80</v>
      </c>
      <c r="B283">
        <v>2021</v>
      </c>
      <c r="C283" t="s">
        <v>271</v>
      </c>
      <c r="D283" t="s">
        <v>272</v>
      </c>
      <c r="E283" t="s">
        <v>65</v>
      </c>
      <c r="F283">
        <v>10097</v>
      </c>
      <c r="G283" t="s">
        <v>72</v>
      </c>
      <c r="H283">
        <v>14</v>
      </c>
    </row>
    <row r="284" spans="1:8" x14ac:dyDescent="0.3">
      <c r="A284" t="s">
        <v>183</v>
      </c>
      <c r="B284">
        <v>2015</v>
      </c>
      <c r="C284" t="s">
        <v>271</v>
      </c>
      <c r="D284" t="s">
        <v>272</v>
      </c>
      <c r="E284" t="s">
        <v>65</v>
      </c>
      <c r="F284">
        <v>1543</v>
      </c>
      <c r="G284" t="s">
        <v>72</v>
      </c>
      <c r="H284">
        <v>1</v>
      </c>
    </row>
    <row r="285" spans="1:8" x14ac:dyDescent="0.3">
      <c r="A285" t="s">
        <v>183</v>
      </c>
      <c r="B285">
        <v>2016</v>
      </c>
      <c r="C285" t="s">
        <v>271</v>
      </c>
      <c r="D285" t="s">
        <v>272</v>
      </c>
      <c r="E285" t="s">
        <v>65</v>
      </c>
      <c r="F285">
        <v>1543</v>
      </c>
      <c r="G285" t="s">
        <v>72</v>
      </c>
      <c r="H285">
        <v>3</v>
      </c>
    </row>
    <row r="286" spans="1:8" x14ac:dyDescent="0.3">
      <c r="A286" t="s">
        <v>183</v>
      </c>
      <c r="B286">
        <v>2021</v>
      </c>
      <c r="C286" t="s">
        <v>271</v>
      </c>
      <c r="D286" t="s">
        <v>272</v>
      </c>
      <c r="E286" t="s">
        <v>65</v>
      </c>
      <c r="F286">
        <v>1543</v>
      </c>
      <c r="G286" t="s">
        <v>72</v>
      </c>
      <c r="H286">
        <v>4</v>
      </c>
    </row>
    <row r="287" spans="1:8" x14ac:dyDescent="0.3">
      <c r="A287" t="s">
        <v>82</v>
      </c>
      <c r="B287">
        <v>2014</v>
      </c>
      <c r="C287" t="s">
        <v>271</v>
      </c>
      <c r="D287" t="s">
        <v>272</v>
      </c>
      <c r="E287" t="s">
        <v>65</v>
      </c>
      <c r="F287">
        <v>155000</v>
      </c>
      <c r="G287" t="s">
        <v>83</v>
      </c>
      <c r="H287">
        <v>1</v>
      </c>
    </row>
    <row r="288" spans="1:8" x14ac:dyDescent="0.3">
      <c r="A288" t="s">
        <v>82</v>
      </c>
      <c r="B288">
        <v>2015</v>
      </c>
      <c r="C288" t="s">
        <v>271</v>
      </c>
      <c r="D288" t="s">
        <v>272</v>
      </c>
      <c r="E288" t="s">
        <v>65</v>
      </c>
      <c r="F288">
        <v>155000</v>
      </c>
      <c r="G288" t="s">
        <v>83</v>
      </c>
      <c r="H288">
        <v>11</v>
      </c>
    </row>
    <row r="289" spans="1:8" x14ac:dyDescent="0.3">
      <c r="A289" t="s">
        <v>82</v>
      </c>
      <c r="B289">
        <v>2016</v>
      </c>
      <c r="C289" t="s">
        <v>271</v>
      </c>
      <c r="D289" t="s">
        <v>272</v>
      </c>
      <c r="E289" t="s">
        <v>65</v>
      </c>
      <c r="F289">
        <v>155000</v>
      </c>
      <c r="G289" t="s">
        <v>83</v>
      </c>
      <c r="H289">
        <v>15</v>
      </c>
    </row>
    <row r="290" spans="1:8" x14ac:dyDescent="0.3">
      <c r="A290" t="s">
        <v>82</v>
      </c>
      <c r="B290">
        <v>2017</v>
      </c>
      <c r="C290" t="s">
        <v>271</v>
      </c>
      <c r="D290" t="s">
        <v>272</v>
      </c>
      <c r="E290" t="s">
        <v>65</v>
      </c>
      <c r="F290">
        <v>155000</v>
      </c>
      <c r="G290" t="s">
        <v>83</v>
      </c>
      <c r="H290">
        <v>29</v>
      </c>
    </row>
    <row r="291" spans="1:8" x14ac:dyDescent="0.3">
      <c r="A291" t="s">
        <v>82</v>
      </c>
      <c r="B291">
        <v>2018</v>
      </c>
      <c r="C291" t="s">
        <v>271</v>
      </c>
      <c r="D291" t="s">
        <v>272</v>
      </c>
      <c r="E291" t="s">
        <v>65</v>
      </c>
      <c r="F291">
        <v>155000</v>
      </c>
      <c r="G291" t="s">
        <v>83</v>
      </c>
      <c r="H291">
        <v>6</v>
      </c>
    </row>
    <row r="292" spans="1:8" x14ac:dyDescent="0.3">
      <c r="A292" t="s">
        <v>82</v>
      </c>
      <c r="B292">
        <v>2019</v>
      </c>
      <c r="C292" t="s">
        <v>271</v>
      </c>
      <c r="D292" t="s">
        <v>272</v>
      </c>
      <c r="E292" t="s">
        <v>65</v>
      </c>
      <c r="F292">
        <v>155000</v>
      </c>
      <c r="G292" t="s">
        <v>83</v>
      </c>
      <c r="H292">
        <v>24</v>
      </c>
    </row>
    <row r="293" spans="1:8" x14ac:dyDescent="0.3">
      <c r="A293" t="s">
        <v>82</v>
      </c>
      <c r="B293">
        <v>2020</v>
      </c>
      <c r="C293" t="s">
        <v>271</v>
      </c>
      <c r="D293" t="s">
        <v>272</v>
      </c>
      <c r="E293" t="s">
        <v>65</v>
      </c>
      <c r="F293">
        <v>155000</v>
      </c>
      <c r="G293" t="s">
        <v>83</v>
      </c>
      <c r="H293">
        <v>4</v>
      </c>
    </row>
    <row r="294" spans="1:8" x14ac:dyDescent="0.3">
      <c r="A294" t="s">
        <v>82</v>
      </c>
      <c r="B294">
        <v>2021</v>
      </c>
      <c r="C294" t="s">
        <v>271</v>
      </c>
      <c r="D294" t="s">
        <v>272</v>
      </c>
      <c r="E294" t="s">
        <v>65</v>
      </c>
      <c r="F294">
        <v>155000</v>
      </c>
      <c r="G294" t="s">
        <v>83</v>
      </c>
      <c r="H294">
        <v>25</v>
      </c>
    </row>
    <row r="295" spans="1:8" x14ac:dyDescent="0.3">
      <c r="A295" t="s">
        <v>184</v>
      </c>
      <c r="B295">
        <v>2018</v>
      </c>
      <c r="C295" t="s">
        <v>271</v>
      </c>
      <c r="D295" t="s">
        <v>272</v>
      </c>
      <c r="E295" t="s">
        <v>65</v>
      </c>
      <c r="F295">
        <v>1450</v>
      </c>
      <c r="G295" t="s">
        <v>66</v>
      </c>
      <c r="H295">
        <v>5</v>
      </c>
    </row>
    <row r="296" spans="1:8" x14ac:dyDescent="0.3">
      <c r="A296" t="s">
        <v>184</v>
      </c>
      <c r="B296">
        <v>2019</v>
      </c>
      <c r="C296" t="s">
        <v>271</v>
      </c>
      <c r="D296" t="s">
        <v>272</v>
      </c>
      <c r="E296" t="s">
        <v>65</v>
      </c>
      <c r="F296">
        <v>1450</v>
      </c>
      <c r="G296" t="s">
        <v>66</v>
      </c>
      <c r="H296">
        <v>4</v>
      </c>
    </row>
    <row r="297" spans="1:8" x14ac:dyDescent="0.3">
      <c r="A297" t="s">
        <v>184</v>
      </c>
      <c r="B297">
        <v>2020</v>
      </c>
      <c r="C297" t="s">
        <v>271</v>
      </c>
      <c r="D297" t="s">
        <v>272</v>
      </c>
      <c r="E297" t="s">
        <v>65</v>
      </c>
      <c r="F297">
        <v>1450</v>
      </c>
      <c r="G297" t="s">
        <v>66</v>
      </c>
      <c r="H297">
        <v>2</v>
      </c>
    </row>
    <row r="298" spans="1:8" x14ac:dyDescent="0.3">
      <c r="A298" t="s">
        <v>84</v>
      </c>
      <c r="B298">
        <v>2014</v>
      </c>
      <c r="C298" t="s">
        <v>271</v>
      </c>
      <c r="D298" t="s">
        <v>272</v>
      </c>
      <c r="E298" t="s">
        <v>65</v>
      </c>
      <c r="F298">
        <v>1543</v>
      </c>
      <c r="G298" t="s">
        <v>66</v>
      </c>
      <c r="H298">
        <v>1</v>
      </c>
    </row>
    <row r="299" spans="1:8" x14ac:dyDescent="0.3">
      <c r="A299" t="s">
        <v>84</v>
      </c>
      <c r="B299">
        <v>2015</v>
      </c>
      <c r="C299" t="s">
        <v>271</v>
      </c>
      <c r="D299" t="s">
        <v>272</v>
      </c>
      <c r="E299" t="s">
        <v>65</v>
      </c>
      <c r="F299">
        <v>1543</v>
      </c>
      <c r="G299" t="s">
        <v>66</v>
      </c>
      <c r="H299">
        <v>8</v>
      </c>
    </row>
    <row r="300" spans="1:8" x14ac:dyDescent="0.3">
      <c r="A300" t="s">
        <v>84</v>
      </c>
      <c r="B300">
        <v>2016</v>
      </c>
      <c r="C300" t="s">
        <v>271</v>
      </c>
      <c r="D300" t="s">
        <v>272</v>
      </c>
      <c r="E300" t="s">
        <v>65</v>
      </c>
      <c r="F300">
        <v>1543</v>
      </c>
      <c r="G300" t="s">
        <v>66</v>
      </c>
      <c r="H300">
        <v>1</v>
      </c>
    </row>
    <row r="301" spans="1:8" x14ac:dyDescent="0.3">
      <c r="A301" t="s">
        <v>84</v>
      </c>
      <c r="B301">
        <v>2017</v>
      </c>
      <c r="C301" t="s">
        <v>271</v>
      </c>
      <c r="D301" t="s">
        <v>272</v>
      </c>
      <c r="E301" t="s">
        <v>65</v>
      </c>
      <c r="F301">
        <v>1543</v>
      </c>
      <c r="G301" t="s">
        <v>66</v>
      </c>
      <c r="H301">
        <v>1</v>
      </c>
    </row>
    <row r="302" spans="1:8" x14ac:dyDescent="0.3">
      <c r="A302" t="s">
        <v>84</v>
      </c>
      <c r="B302">
        <v>2018</v>
      </c>
      <c r="C302" t="s">
        <v>271</v>
      </c>
      <c r="D302" t="s">
        <v>272</v>
      </c>
      <c r="E302" t="s">
        <v>65</v>
      </c>
      <c r="F302">
        <v>1543</v>
      </c>
      <c r="G302" t="s">
        <v>66</v>
      </c>
      <c r="H302">
        <v>1</v>
      </c>
    </row>
    <row r="303" spans="1:8" x14ac:dyDescent="0.3">
      <c r="A303" t="s">
        <v>84</v>
      </c>
      <c r="B303">
        <v>2019</v>
      </c>
      <c r="C303" t="s">
        <v>271</v>
      </c>
      <c r="D303" t="s">
        <v>272</v>
      </c>
      <c r="E303" t="s">
        <v>65</v>
      </c>
      <c r="F303">
        <v>1543</v>
      </c>
      <c r="G303" t="s">
        <v>66</v>
      </c>
      <c r="H303">
        <v>5</v>
      </c>
    </row>
    <row r="304" spans="1:8" x14ac:dyDescent="0.3">
      <c r="A304" t="s">
        <v>84</v>
      </c>
      <c r="B304">
        <v>2020</v>
      </c>
      <c r="C304" t="s">
        <v>271</v>
      </c>
      <c r="D304" t="s">
        <v>272</v>
      </c>
      <c r="E304" t="s">
        <v>65</v>
      </c>
      <c r="F304">
        <v>1543</v>
      </c>
      <c r="G304" t="s">
        <v>66</v>
      </c>
      <c r="H304">
        <v>2</v>
      </c>
    </row>
    <row r="305" spans="1:8" x14ac:dyDescent="0.3">
      <c r="A305" t="s">
        <v>84</v>
      </c>
      <c r="B305">
        <v>2021</v>
      </c>
      <c r="C305" t="s">
        <v>271</v>
      </c>
      <c r="D305" t="s">
        <v>272</v>
      </c>
      <c r="E305" t="s">
        <v>65</v>
      </c>
      <c r="F305">
        <v>1543</v>
      </c>
      <c r="G305" t="s">
        <v>66</v>
      </c>
      <c r="H305">
        <v>3</v>
      </c>
    </row>
    <row r="306" spans="1:8" x14ac:dyDescent="0.3">
      <c r="A306" t="s">
        <v>85</v>
      </c>
      <c r="B306">
        <v>2014</v>
      </c>
      <c r="C306" t="s">
        <v>271</v>
      </c>
      <c r="D306" t="s">
        <v>272</v>
      </c>
      <c r="E306" t="s">
        <v>65</v>
      </c>
      <c r="F306">
        <v>5732</v>
      </c>
      <c r="G306" t="s">
        <v>66</v>
      </c>
      <c r="H306">
        <v>3</v>
      </c>
    </row>
    <row r="307" spans="1:8" x14ac:dyDescent="0.3">
      <c r="A307" t="s">
        <v>85</v>
      </c>
      <c r="B307">
        <v>2015</v>
      </c>
      <c r="C307" t="s">
        <v>271</v>
      </c>
      <c r="D307" t="s">
        <v>272</v>
      </c>
      <c r="E307" t="s">
        <v>65</v>
      </c>
      <c r="F307">
        <v>5732</v>
      </c>
      <c r="G307" t="s">
        <v>66</v>
      </c>
      <c r="H307">
        <v>5</v>
      </c>
    </row>
    <row r="308" spans="1:8" x14ac:dyDescent="0.3">
      <c r="A308" t="s">
        <v>85</v>
      </c>
      <c r="B308">
        <v>2016</v>
      </c>
      <c r="C308" t="s">
        <v>271</v>
      </c>
      <c r="D308" t="s">
        <v>272</v>
      </c>
      <c r="E308" t="s">
        <v>65</v>
      </c>
      <c r="F308">
        <v>5732</v>
      </c>
      <c r="G308" t="s">
        <v>66</v>
      </c>
      <c r="H308">
        <v>3</v>
      </c>
    </row>
    <row r="309" spans="1:8" x14ac:dyDescent="0.3">
      <c r="A309" t="s">
        <v>85</v>
      </c>
      <c r="B309">
        <v>2017</v>
      </c>
      <c r="C309" t="s">
        <v>271</v>
      </c>
      <c r="D309" t="s">
        <v>272</v>
      </c>
      <c r="E309" t="s">
        <v>65</v>
      </c>
      <c r="F309">
        <v>5732</v>
      </c>
      <c r="G309" t="s">
        <v>66</v>
      </c>
      <c r="H309">
        <v>2</v>
      </c>
    </row>
    <row r="310" spans="1:8" x14ac:dyDescent="0.3">
      <c r="A310" t="s">
        <v>85</v>
      </c>
      <c r="B310">
        <v>2018</v>
      </c>
      <c r="C310" t="s">
        <v>271</v>
      </c>
      <c r="D310" t="s">
        <v>272</v>
      </c>
      <c r="E310" t="s">
        <v>65</v>
      </c>
      <c r="F310">
        <v>5732</v>
      </c>
      <c r="G310" t="s">
        <v>66</v>
      </c>
      <c r="H310">
        <v>4</v>
      </c>
    </row>
    <row r="311" spans="1:8" x14ac:dyDescent="0.3">
      <c r="A311" t="s">
        <v>85</v>
      </c>
      <c r="B311">
        <v>2019</v>
      </c>
      <c r="C311" t="s">
        <v>271</v>
      </c>
      <c r="D311" t="s">
        <v>272</v>
      </c>
      <c r="E311" t="s">
        <v>65</v>
      </c>
      <c r="F311">
        <v>5732</v>
      </c>
      <c r="G311" t="s">
        <v>66</v>
      </c>
      <c r="H311">
        <v>6</v>
      </c>
    </row>
    <row r="312" spans="1:8" x14ac:dyDescent="0.3">
      <c r="A312" t="s">
        <v>85</v>
      </c>
      <c r="B312">
        <v>2020</v>
      </c>
      <c r="C312" t="s">
        <v>271</v>
      </c>
      <c r="D312" t="s">
        <v>272</v>
      </c>
      <c r="E312" t="s">
        <v>65</v>
      </c>
      <c r="F312">
        <v>5732</v>
      </c>
      <c r="G312" t="s">
        <v>66</v>
      </c>
      <c r="H312">
        <v>7</v>
      </c>
    </row>
    <row r="313" spans="1:8" x14ac:dyDescent="0.3">
      <c r="A313" t="s">
        <v>85</v>
      </c>
      <c r="B313">
        <v>2021</v>
      </c>
      <c r="C313" t="s">
        <v>271</v>
      </c>
      <c r="D313" t="s">
        <v>272</v>
      </c>
      <c r="E313" t="s">
        <v>65</v>
      </c>
      <c r="F313">
        <v>5732</v>
      </c>
      <c r="G313" t="s">
        <v>66</v>
      </c>
      <c r="H313">
        <v>5</v>
      </c>
    </row>
    <row r="314" spans="1:8" x14ac:dyDescent="0.3">
      <c r="A314" t="s">
        <v>186</v>
      </c>
      <c r="B314">
        <v>2014</v>
      </c>
      <c r="C314" t="s">
        <v>271</v>
      </c>
      <c r="D314" t="s">
        <v>272</v>
      </c>
      <c r="E314" t="s">
        <v>65</v>
      </c>
      <c r="F314">
        <v>585000</v>
      </c>
      <c r="G314" t="s">
        <v>83</v>
      </c>
      <c r="H314">
        <v>789</v>
      </c>
    </row>
    <row r="315" spans="1:8" x14ac:dyDescent="0.3">
      <c r="A315" t="s">
        <v>186</v>
      </c>
      <c r="B315">
        <v>2015</v>
      </c>
      <c r="C315" t="s">
        <v>271</v>
      </c>
      <c r="D315" t="s">
        <v>272</v>
      </c>
      <c r="E315" t="s">
        <v>65</v>
      </c>
      <c r="F315">
        <v>585000</v>
      </c>
      <c r="G315" t="s">
        <v>83</v>
      </c>
      <c r="H315">
        <v>1513</v>
      </c>
    </row>
    <row r="316" spans="1:8" x14ac:dyDescent="0.3">
      <c r="A316" t="s">
        <v>186</v>
      </c>
      <c r="B316">
        <v>2016</v>
      </c>
      <c r="C316" t="s">
        <v>271</v>
      </c>
      <c r="D316" t="s">
        <v>272</v>
      </c>
      <c r="E316" t="s">
        <v>65</v>
      </c>
      <c r="F316">
        <v>585000</v>
      </c>
      <c r="G316" t="s">
        <v>83</v>
      </c>
      <c r="H316">
        <v>1085</v>
      </c>
    </row>
    <row r="317" spans="1:8" x14ac:dyDescent="0.3">
      <c r="A317" t="s">
        <v>186</v>
      </c>
      <c r="B317">
        <v>2017</v>
      </c>
      <c r="C317" t="s">
        <v>271</v>
      </c>
      <c r="D317" t="s">
        <v>272</v>
      </c>
      <c r="E317" t="s">
        <v>65</v>
      </c>
      <c r="F317">
        <v>585000</v>
      </c>
      <c r="G317" t="s">
        <v>83</v>
      </c>
      <c r="H317">
        <v>608</v>
      </c>
    </row>
    <row r="318" spans="1:8" x14ac:dyDescent="0.3">
      <c r="A318" t="s">
        <v>186</v>
      </c>
      <c r="B318">
        <v>2018</v>
      </c>
      <c r="C318" t="s">
        <v>271</v>
      </c>
      <c r="D318" t="s">
        <v>272</v>
      </c>
      <c r="E318" t="s">
        <v>65</v>
      </c>
      <c r="F318">
        <v>585000</v>
      </c>
      <c r="G318" t="s">
        <v>83</v>
      </c>
      <c r="H318">
        <v>566</v>
      </c>
    </row>
    <row r="319" spans="1:8" x14ac:dyDescent="0.3">
      <c r="A319" t="s">
        <v>186</v>
      </c>
      <c r="B319">
        <v>2019</v>
      </c>
      <c r="C319" t="s">
        <v>271</v>
      </c>
      <c r="D319" t="s">
        <v>272</v>
      </c>
      <c r="E319" t="s">
        <v>65</v>
      </c>
      <c r="F319">
        <v>585000</v>
      </c>
      <c r="G319" t="s">
        <v>83</v>
      </c>
      <c r="H319">
        <v>542</v>
      </c>
    </row>
    <row r="320" spans="1:8" x14ac:dyDescent="0.3">
      <c r="A320" t="s">
        <v>186</v>
      </c>
      <c r="B320">
        <v>2020</v>
      </c>
      <c r="C320" t="s">
        <v>271</v>
      </c>
      <c r="D320" t="s">
        <v>272</v>
      </c>
      <c r="E320" t="s">
        <v>65</v>
      </c>
      <c r="F320">
        <v>585000</v>
      </c>
      <c r="G320" t="s">
        <v>83</v>
      </c>
      <c r="H320">
        <v>399</v>
      </c>
    </row>
    <row r="321" spans="1:8" x14ac:dyDescent="0.3">
      <c r="A321" t="s">
        <v>186</v>
      </c>
      <c r="B321">
        <v>2021</v>
      </c>
      <c r="C321" t="s">
        <v>271</v>
      </c>
      <c r="D321" t="s">
        <v>272</v>
      </c>
      <c r="E321" t="s">
        <v>65</v>
      </c>
      <c r="F321">
        <v>585000</v>
      </c>
      <c r="G321" t="s">
        <v>83</v>
      </c>
      <c r="H321">
        <v>639</v>
      </c>
    </row>
    <row r="322" spans="1:8" x14ac:dyDescent="0.3">
      <c r="A322" t="s">
        <v>86</v>
      </c>
      <c r="B322">
        <v>2014</v>
      </c>
      <c r="C322" t="s">
        <v>271</v>
      </c>
      <c r="D322" t="s">
        <v>272</v>
      </c>
      <c r="E322" t="s">
        <v>65</v>
      </c>
      <c r="F322">
        <v>2450</v>
      </c>
      <c r="G322" t="s">
        <v>66</v>
      </c>
      <c r="H322">
        <v>28</v>
      </c>
    </row>
    <row r="323" spans="1:8" x14ac:dyDescent="0.3">
      <c r="A323" t="s">
        <v>86</v>
      </c>
      <c r="B323">
        <v>2015</v>
      </c>
      <c r="C323" t="s">
        <v>271</v>
      </c>
      <c r="D323" t="s">
        <v>272</v>
      </c>
      <c r="E323" t="s">
        <v>65</v>
      </c>
      <c r="F323">
        <v>2450</v>
      </c>
      <c r="G323" t="s">
        <v>66</v>
      </c>
      <c r="H323">
        <v>89</v>
      </c>
    </row>
    <row r="324" spans="1:8" x14ac:dyDescent="0.3">
      <c r="A324" t="s">
        <v>86</v>
      </c>
      <c r="B324">
        <v>2016</v>
      </c>
      <c r="C324" t="s">
        <v>271</v>
      </c>
      <c r="D324" t="s">
        <v>272</v>
      </c>
      <c r="E324" t="s">
        <v>65</v>
      </c>
      <c r="F324">
        <v>2450</v>
      </c>
      <c r="G324" t="s">
        <v>66</v>
      </c>
      <c r="H324">
        <v>150</v>
      </c>
    </row>
    <row r="325" spans="1:8" x14ac:dyDescent="0.3">
      <c r="A325" t="s">
        <v>86</v>
      </c>
      <c r="B325">
        <v>2017</v>
      </c>
      <c r="C325" t="s">
        <v>271</v>
      </c>
      <c r="D325" t="s">
        <v>272</v>
      </c>
      <c r="E325" t="s">
        <v>65</v>
      </c>
      <c r="F325">
        <v>2450</v>
      </c>
      <c r="G325" t="s">
        <v>66</v>
      </c>
      <c r="H325">
        <v>83</v>
      </c>
    </row>
    <row r="326" spans="1:8" x14ac:dyDescent="0.3">
      <c r="A326" t="s">
        <v>86</v>
      </c>
      <c r="B326">
        <v>2018</v>
      </c>
      <c r="C326" t="s">
        <v>271</v>
      </c>
      <c r="D326" t="s">
        <v>272</v>
      </c>
      <c r="E326" t="s">
        <v>65</v>
      </c>
      <c r="F326">
        <v>2450</v>
      </c>
      <c r="G326" t="s">
        <v>66</v>
      </c>
      <c r="H326">
        <v>72</v>
      </c>
    </row>
    <row r="327" spans="1:8" x14ac:dyDescent="0.3">
      <c r="A327" t="s">
        <v>86</v>
      </c>
      <c r="B327">
        <v>2019</v>
      </c>
      <c r="C327" t="s">
        <v>271</v>
      </c>
      <c r="D327" t="s">
        <v>272</v>
      </c>
      <c r="E327" t="s">
        <v>65</v>
      </c>
      <c r="F327">
        <v>2450</v>
      </c>
      <c r="G327" t="s">
        <v>66</v>
      </c>
      <c r="H327">
        <v>77</v>
      </c>
    </row>
    <row r="328" spans="1:8" x14ac:dyDescent="0.3">
      <c r="A328" t="s">
        <v>86</v>
      </c>
      <c r="B328">
        <v>2020</v>
      </c>
      <c r="C328" t="s">
        <v>271</v>
      </c>
      <c r="D328" t="s">
        <v>272</v>
      </c>
      <c r="E328" t="s">
        <v>65</v>
      </c>
      <c r="F328">
        <v>2450</v>
      </c>
      <c r="G328" t="s">
        <v>66</v>
      </c>
      <c r="H328">
        <v>52</v>
      </c>
    </row>
    <row r="329" spans="1:8" x14ac:dyDescent="0.3">
      <c r="A329" t="s">
        <v>86</v>
      </c>
      <c r="B329">
        <v>2021</v>
      </c>
      <c r="C329" t="s">
        <v>271</v>
      </c>
      <c r="D329" t="s">
        <v>272</v>
      </c>
      <c r="E329" t="s">
        <v>65</v>
      </c>
      <c r="F329">
        <v>2450</v>
      </c>
      <c r="G329" t="s">
        <v>66</v>
      </c>
      <c r="H329">
        <v>52</v>
      </c>
    </row>
    <row r="330" spans="1:8" x14ac:dyDescent="0.3">
      <c r="A330" t="s">
        <v>87</v>
      </c>
      <c r="B330">
        <v>2014</v>
      </c>
      <c r="C330" t="s">
        <v>271</v>
      </c>
      <c r="D330" t="s">
        <v>272</v>
      </c>
      <c r="E330" t="s">
        <v>65</v>
      </c>
      <c r="F330">
        <v>2500</v>
      </c>
      <c r="G330" t="s">
        <v>66</v>
      </c>
      <c r="H330">
        <v>2</v>
      </c>
    </row>
    <row r="331" spans="1:8" x14ac:dyDescent="0.3">
      <c r="A331" t="s">
        <v>87</v>
      </c>
      <c r="B331">
        <v>2015</v>
      </c>
      <c r="C331" t="s">
        <v>271</v>
      </c>
      <c r="D331" t="s">
        <v>272</v>
      </c>
      <c r="E331" t="s">
        <v>65</v>
      </c>
      <c r="F331">
        <v>2500</v>
      </c>
      <c r="G331" t="s">
        <v>66</v>
      </c>
      <c r="H331">
        <v>1</v>
      </c>
    </row>
    <row r="332" spans="1:8" x14ac:dyDescent="0.3">
      <c r="A332" t="s">
        <v>87</v>
      </c>
      <c r="B332">
        <v>2016</v>
      </c>
      <c r="C332" t="s">
        <v>271</v>
      </c>
      <c r="D332" t="s">
        <v>272</v>
      </c>
      <c r="E332" t="s">
        <v>65</v>
      </c>
      <c r="F332">
        <v>2500</v>
      </c>
      <c r="G332" t="s">
        <v>66</v>
      </c>
      <c r="H332">
        <v>2</v>
      </c>
    </row>
    <row r="333" spans="1:8" x14ac:dyDescent="0.3">
      <c r="A333" t="s">
        <v>87</v>
      </c>
      <c r="B333">
        <v>2017</v>
      </c>
      <c r="C333" t="s">
        <v>271</v>
      </c>
      <c r="D333" t="s">
        <v>272</v>
      </c>
      <c r="E333" t="s">
        <v>65</v>
      </c>
      <c r="F333">
        <v>2500</v>
      </c>
      <c r="G333" t="s">
        <v>66</v>
      </c>
      <c r="H333">
        <v>1</v>
      </c>
    </row>
    <row r="334" spans="1:8" x14ac:dyDescent="0.3">
      <c r="A334" t="s">
        <v>87</v>
      </c>
      <c r="B334">
        <v>2018</v>
      </c>
      <c r="C334" t="s">
        <v>271</v>
      </c>
      <c r="D334" t="s">
        <v>272</v>
      </c>
      <c r="E334" t="s">
        <v>65</v>
      </c>
      <c r="F334">
        <v>2500</v>
      </c>
      <c r="G334" t="s">
        <v>66</v>
      </c>
      <c r="H334">
        <v>1</v>
      </c>
    </row>
    <row r="335" spans="1:8" x14ac:dyDescent="0.3">
      <c r="A335" t="s">
        <v>87</v>
      </c>
      <c r="B335">
        <v>2019</v>
      </c>
      <c r="C335" t="s">
        <v>271</v>
      </c>
      <c r="D335" t="s">
        <v>272</v>
      </c>
      <c r="E335" t="s">
        <v>65</v>
      </c>
      <c r="F335">
        <v>2500</v>
      </c>
      <c r="G335" t="s">
        <v>66</v>
      </c>
      <c r="H335">
        <v>2</v>
      </c>
    </row>
    <row r="336" spans="1:8" x14ac:dyDescent="0.3">
      <c r="A336" t="s">
        <v>87</v>
      </c>
      <c r="B336">
        <v>2021</v>
      </c>
      <c r="C336" t="s">
        <v>271</v>
      </c>
      <c r="D336" t="s">
        <v>272</v>
      </c>
      <c r="E336" t="s">
        <v>65</v>
      </c>
      <c r="F336">
        <v>2500</v>
      </c>
      <c r="G336" t="s">
        <v>66</v>
      </c>
      <c r="H336">
        <v>1</v>
      </c>
    </row>
    <row r="337" spans="1:8" x14ac:dyDescent="0.3">
      <c r="A337" t="s">
        <v>88</v>
      </c>
      <c r="B337">
        <v>2014</v>
      </c>
      <c r="C337" t="s">
        <v>271</v>
      </c>
      <c r="D337" t="s">
        <v>272</v>
      </c>
      <c r="E337" t="s">
        <v>65</v>
      </c>
      <c r="F337">
        <v>2550</v>
      </c>
      <c r="G337" t="s">
        <v>66</v>
      </c>
      <c r="H337">
        <v>16</v>
      </c>
    </row>
    <row r="338" spans="1:8" x14ac:dyDescent="0.3">
      <c r="A338" t="s">
        <v>88</v>
      </c>
      <c r="B338">
        <v>2015</v>
      </c>
      <c r="C338" t="s">
        <v>271</v>
      </c>
      <c r="D338" t="s">
        <v>272</v>
      </c>
      <c r="E338" t="s">
        <v>65</v>
      </c>
      <c r="F338">
        <v>2550</v>
      </c>
      <c r="G338" t="s">
        <v>66</v>
      </c>
      <c r="H338">
        <v>24</v>
      </c>
    </row>
    <row r="339" spans="1:8" x14ac:dyDescent="0.3">
      <c r="A339" t="s">
        <v>88</v>
      </c>
      <c r="B339">
        <v>2016</v>
      </c>
      <c r="C339" t="s">
        <v>271</v>
      </c>
      <c r="D339" t="s">
        <v>272</v>
      </c>
      <c r="E339" t="s">
        <v>65</v>
      </c>
      <c r="F339">
        <v>2550</v>
      </c>
      <c r="G339" t="s">
        <v>66</v>
      </c>
      <c r="H339">
        <v>12</v>
      </c>
    </row>
    <row r="340" spans="1:8" x14ac:dyDescent="0.3">
      <c r="A340" t="s">
        <v>88</v>
      </c>
      <c r="B340">
        <v>2017</v>
      </c>
      <c r="C340" t="s">
        <v>271</v>
      </c>
      <c r="D340" t="s">
        <v>272</v>
      </c>
      <c r="E340" t="s">
        <v>65</v>
      </c>
      <c r="F340">
        <v>2550</v>
      </c>
      <c r="G340" t="s">
        <v>66</v>
      </c>
      <c r="H340">
        <v>29</v>
      </c>
    </row>
    <row r="341" spans="1:8" x14ac:dyDescent="0.3">
      <c r="A341" t="s">
        <v>88</v>
      </c>
      <c r="B341">
        <v>2018</v>
      </c>
      <c r="C341" t="s">
        <v>271</v>
      </c>
      <c r="D341" t="s">
        <v>272</v>
      </c>
      <c r="E341" t="s">
        <v>65</v>
      </c>
      <c r="F341">
        <v>2550</v>
      </c>
      <c r="G341" t="s">
        <v>66</v>
      </c>
      <c r="H341">
        <v>29</v>
      </c>
    </row>
    <row r="342" spans="1:8" x14ac:dyDescent="0.3">
      <c r="A342" t="s">
        <v>88</v>
      </c>
      <c r="B342">
        <v>2019</v>
      </c>
      <c r="C342" t="s">
        <v>271</v>
      </c>
      <c r="D342" t="s">
        <v>272</v>
      </c>
      <c r="E342" t="s">
        <v>65</v>
      </c>
      <c r="F342">
        <v>2550</v>
      </c>
      <c r="G342" t="s">
        <v>66</v>
      </c>
      <c r="H342">
        <v>42</v>
      </c>
    </row>
    <row r="343" spans="1:8" x14ac:dyDescent="0.3">
      <c r="A343" t="s">
        <v>88</v>
      </c>
      <c r="B343">
        <v>2020</v>
      </c>
      <c r="C343" t="s">
        <v>271</v>
      </c>
      <c r="D343" t="s">
        <v>272</v>
      </c>
      <c r="E343" t="s">
        <v>65</v>
      </c>
      <c r="F343">
        <v>2550</v>
      </c>
      <c r="G343" t="s">
        <v>66</v>
      </c>
      <c r="H343">
        <v>24</v>
      </c>
    </row>
    <row r="344" spans="1:8" x14ac:dyDescent="0.3">
      <c r="A344" t="s">
        <v>88</v>
      </c>
      <c r="B344">
        <v>2021</v>
      </c>
      <c r="C344" t="s">
        <v>271</v>
      </c>
      <c r="D344" t="s">
        <v>272</v>
      </c>
      <c r="E344" t="s">
        <v>65</v>
      </c>
      <c r="F344">
        <v>2550</v>
      </c>
      <c r="G344" t="s">
        <v>66</v>
      </c>
      <c r="H344">
        <v>18</v>
      </c>
    </row>
    <row r="345" spans="1:8" x14ac:dyDescent="0.3">
      <c r="A345" t="s">
        <v>89</v>
      </c>
      <c r="B345">
        <v>2015</v>
      </c>
      <c r="C345" t="s">
        <v>271</v>
      </c>
      <c r="D345" t="s">
        <v>272</v>
      </c>
      <c r="E345" t="s">
        <v>65</v>
      </c>
      <c r="F345">
        <v>3348</v>
      </c>
      <c r="G345" t="s">
        <v>66</v>
      </c>
      <c r="H345">
        <v>1</v>
      </c>
    </row>
    <row r="346" spans="1:8" x14ac:dyDescent="0.3">
      <c r="A346" t="s">
        <v>89</v>
      </c>
      <c r="B346">
        <v>2016</v>
      </c>
      <c r="C346" t="s">
        <v>271</v>
      </c>
      <c r="D346" t="s">
        <v>272</v>
      </c>
      <c r="E346" t="s">
        <v>65</v>
      </c>
      <c r="F346">
        <v>3348</v>
      </c>
      <c r="G346" t="s">
        <v>66</v>
      </c>
      <c r="H346">
        <v>3</v>
      </c>
    </row>
    <row r="347" spans="1:8" x14ac:dyDescent="0.3">
      <c r="A347" t="s">
        <v>89</v>
      </c>
      <c r="B347">
        <v>2018</v>
      </c>
      <c r="C347" t="s">
        <v>271</v>
      </c>
      <c r="D347" t="s">
        <v>272</v>
      </c>
      <c r="E347" t="s">
        <v>65</v>
      </c>
      <c r="F347">
        <v>3348</v>
      </c>
      <c r="G347" t="s">
        <v>66</v>
      </c>
      <c r="H347">
        <v>2</v>
      </c>
    </row>
    <row r="348" spans="1:8" x14ac:dyDescent="0.3">
      <c r="A348" t="s">
        <v>89</v>
      </c>
      <c r="B348">
        <v>2019</v>
      </c>
      <c r="C348" t="s">
        <v>271</v>
      </c>
      <c r="D348" t="s">
        <v>272</v>
      </c>
      <c r="E348" t="s">
        <v>65</v>
      </c>
      <c r="F348">
        <v>3348</v>
      </c>
      <c r="G348" t="s">
        <v>66</v>
      </c>
      <c r="H348">
        <v>5</v>
      </c>
    </row>
    <row r="349" spans="1:8" x14ac:dyDescent="0.3">
      <c r="A349" t="s">
        <v>89</v>
      </c>
      <c r="B349">
        <v>2021</v>
      </c>
      <c r="C349" t="s">
        <v>271</v>
      </c>
      <c r="D349" t="s">
        <v>272</v>
      </c>
      <c r="E349" t="s">
        <v>65</v>
      </c>
      <c r="F349">
        <v>3348</v>
      </c>
      <c r="G349" t="s">
        <v>66</v>
      </c>
      <c r="H349">
        <v>5</v>
      </c>
    </row>
    <row r="350" spans="1:8" x14ac:dyDescent="0.3">
      <c r="A350" t="s">
        <v>90</v>
      </c>
      <c r="B350">
        <v>2014</v>
      </c>
      <c r="C350" t="s">
        <v>271</v>
      </c>
      <c r="D350" t="s">
        <v>272</v>
      </c>
      <c r="E350" t="s">
        <v>65</v>
      </c>
      <c r="F350">
        <v>3600</v>
      </c>
      <c r="G350" t="s">
        <v>66</v>
      </c>
      <c r="H350">
        <v>6</v>
      </c>
    </row>
    <row r="351" spans="1:8" x14ac:dyDescent="0.3">
      <c r="A351" t="s">
        <v>90</v>
      </c>
      <c r="B351">
        <v>2015</v>
      </c>
      <c r="C351" t="s">
        <v>271</v>
      </c>
      <c r="D351" t="s">
        <v>272</v>
      </c>
      <c r="E351" t="s">
        <v>65</v>
      </c>
      <c r="F351">
        <v>3600</v>
      </c>
      <c r="G351" t="s">
        <v>66</v>
      </c>
      <c r="H351">
        <v>1</v>
      </c>
    </row>
    <row r="352" spans="1:8" x14ac:dyDescent="0.3">
      <c r="A352" t="s">
        <v>90</v>
      </c>
      <c r="B352">
        <v>2017</v>
      </c>
      <c r="C352" t="s">
        <v>271</v>
      </c>
      <c r="D352" t="s">
        <v>272</v>
      </c>
      <c r="E352" t="s">
        <v>65</v>
      </c>
      <c r="F352">
        <v>3600</v>
      </c>
      <c r="G352" t="s">
        <v>66</v>
      </c>
      <c r="H352">
        <v>4</v>
      </c>
    </row>
    <row r="353" spans="1:8" x14ac:dyDescent="0.3">
      <c r="A353" t="s">
        <v>90</v>
      </c>
      <c r="B353">
        <v>2018</v>
      </c>
      <c r="C353" t="s">
        <v>271</v>
      </c>
      <c r="D353" t="s">
        <v>272</v>
      </c>
      <c r="E353" t="s">
        <v>65</v>
      </c>
      <c r="F353">
        <v>3600</v>
      </c>
      <c r="G353" t="s">
        <v>66</v>
      </c>
      <c r="H353">
        <v>13</v>
      </c>
    </row>
    <row r="354" spans="1:8" x14ac:dyDescent="0.3">
      <c r="A354" t="s">
        <v>90</v>
      </c>
      <c r="B354">
        <v>2019</v>
      </c>
      <c r="C354" t="s">
        <v>271</v>
      </c>
      <c r="D354" t="s">
        <v>272</v>
      </c>
      <c r="E354" t="s">
        <v>65</v>
      </c>
      <c r="F354">
        <v>3600</v>
      </c>
      <c r="G354" t="s">
        <v>66</v>
      </c>
      <c r="H354">
        <v>14</v>
      </c>
    </row>
    <row r="355" spans="1:8" x14ac:dyDescent="0.3">
      <c r="A355" t="s">
        <v>90</v>
      </c>
      <c r="B355">
        <v>2020</v>
      </c>
      <c r="C355" t="s">
        <v>271</v>
      </c>
      <c r="D355" t="s">
        <v>272</v>
      </c>
      <c r="E355" t="s">
        <v>65</v>
      </c>
      <c r="F355">
        <v>3600</v>
      </c>
      <c r="G355" t="s">
        <v>66</v>
      </c>
      <c r="H355">
        <v>9</v>
      </c>
    </row>
    <row r="356" spans="1:8" x14ac:dyDescent="0.3">
      <c r="A356" t="s">
        <v>90</v>
      </c>
      <c r="B356">
        <v>2021</v>
      </c>
      <c r="C356" t="s">
        <v>271</v>
      </c>
      <c r="D356" t="s">
        <v>272</v>
      </c>
      <c r="E356" t="s">
        <v>65</v>
      </c>
      <c r="F356">
        <v>3600</v>
      </c>
      <c r="G356" t="s">
        <v>66</v>
      </c>
      <c r="H356">
        <v>5</v>
      </c>
    </row>
    <row r="357" spans="1:8" x14ac:dyDescent="0.3">
      <c r="A357" t="s">
        <v>91</v>
      </c>
      <c r="B357">
        <v>2014</v>
      </c>
      <c r="C357" t="s">
        <v>271</v>
      </c>
      <c r="D357" t="s">
        <v>272</v>
      </c>
      <c r="E357" t="s">
        <v>65</v>
      </c>
      <c r="F357">
        <v>7800</v>
      </c>
      <c r="G357" t="s">
        <v>66</v>
      </c>
      <c r="H357">
        <v>76</v>
      </c>
    </row>
    <row r="358" spans="1:8" x14ac:dyDescent="0.3">
      <c r="A358" t="s">
        <v>91</v>
      </c>
      <c r="B358">
        <v>2015</v>
      </c>
      <c r="C358" t="s">
        <v>271</v>
      </c>
      <c r="D358" t="s">
        <v>272</v>
      </c>
      <c r="E358" t="s">
        <v>65</v>
      </c>
      <c r="F358">
        <v>7800</v>
      </c>
      <c r="G358" t="s">
        <v>66</v>
      </c>
      <c r="H358">
        <v>109</v>
      </c>
    </row>
    <row r="359" spans="1:8" x14ac:dyDescent="0.3">
      <c r="A359" t="s">
        <v>91</v>
      </c>
      <c r="B359">
        <v>2016</v>
      </c>
      <c r="C359" t="s">
        <v>271</v>
      </c>
      <c r="D359" t="s">
        <v>272</v>
      </c>
      <c r="E359" t="s">
        <v>65</v>
      </c>
      <c r="F359">
        <v>7800</v>
      </c>
      <c r="G359" t="s">
        <v>66</v>
      </c>
      <c r="H359">
        <v>95</v>
      </c>
    </row>
    <row r="360" spans="1:8" x14ac:dyDescent="0.3">
      <c r="A360" t="s">
        <v>91</v>
      </c>
      <c r="B360">
        <v>2017</v>
      </c>
      <c r="C360" t="s">
        <v>271</v>
      </c>
      <c r="D360" t="s">
        <v>272</v>
      </c>
      <c r="E360" t="s">
        <v>65</v>
      </c>
      <c r="F360">
        <v>7800</v>
      </c>
      <c r="G360" t="s">
        <v>66</v>
      </c>
      <c r="H360">
        <v>195</v>
      </c>
    </row>
    <row r="361" spans="1:8" x14ac:dyDescent="0.3">
      <c r="A361" t="s">
        <v>91</v>
      </c>
      <c r="B361">
        <v>2018</v>
      </c>
      <c r="C361" t="s">
        <v>271</v>
      </c>
      <c r="D361" t="s">
        <v>272</v>
      </c>
      <c r="E361" t="s">
        <v>65</v>
      </c>
      <c r="F361">
        <v>7800</v>
      </c>
      <c r="G361" t="s">
        <v>66</v>
      </c>
      <c r="H361">
        <v>134</v>
      </c>
    </row>
    <row r="362" spans="1:8" x14ac:dyDescent="0.3">
      <c r="A362" t="s">
        <v>91</v>
      </c>
      <c r="B362">
        <v>2019</v>
      </c>
      <c r="C362" t="s">
        <v>271</v>
      </c>
      <c r="D362" t="s">
        <v>272</v>
      </c>
      <c r="E362" t="s">
        <v>65</v>
      </c>
      <c r="F362">
        <v>7800</v>
      </c>
      <c r="G362" t="s">
        <v>66</v>
      </c>
      <c r="H362">
        <v>152</v>
      </c>
    </row>
    <row r="363" spans="1:8" x14ac:dyDescent="0.3">
      <c r="A363" t="s">
        <v>91</v>
      </c>
      <c r="B363">
        <v>2020</v>
      </c>
      <c r="C363" t="s">
        <v>271</v>
      </c>
      <c r="D363" t="s">
        <v>272</v>
      </c>
      <c r="E363" t="s">
        <v>65</v>
      </c>
      <c r="F363">
        <v>7800</v>
      </c>
      <c r="G363" t="s">
        <v>66</v>
      </c>
      <c r="H363">
        <v>34</v>
      </c>
    </row>
    <row r="364" spans="1:8" x14ac:dyDescent="0.3">
      <c r="A364" t="s">
        <v>91</v>
      </c>
      <c r="B364">
        <v>2021</v>
      </c>
      <c r="C364" t="s">
        <v>271</v>
      </c>
      <c r="D364" t="s">
        <v>272</v>
      </c>
      <c r="E364" t="s">
        <v>65</v>
      </c>
      <c r="F364">
        <v>7800</v>
      </c>
      <c r="G364" t="s">
        <v>66</v>
      </c>
      <c r="H364">
        <v>38</v>
      </c>
    </row>
    <row r="365" spans="1:8" x14ac:dyDescent="0.3">
      <c r="A365" t="s">
        <v>92</v>
      </c>
      <c r="B365">
        <v>2014</v>
      </c>
      <c r="C365" t="s">
        <v>271</v>
      </c>
      <c r="D365" t="s">
        <v>272</v>
      </c>
      <c r="E365" t="s">
        <v>65</v>
      </c>
      <c r="F365">
        <v>3100</v>
      </c>
      <c r="G365" t="s">
        <v>66</v>
      </c>
      <c r="H365">
        <v>5</v>
      </c>
    </row>
    <row r="366" spans="1:8" x14ac:dyDescent="0.3">
      <c r="A366" t="s">
        <v>92</v>
      </c>
      <c r="B366">
        <v>2015</v>
      </c>
      <c r="C366" t="s">
        <v>271</v>
      </c>
      <c r="D366" t="s">
        <v>272</v>
      </c>
      <c r="E366" t="s">
        <v>65</v>
      </c>
      <c r="F366">
        <v>3100</v>
      </c>
      <c r="G366" t="s">
        <v>66</v>
      </c>
      <c r="H366">
        <v>8</v>
      </c>
    </row>
    <row r="367" spans="1:8" x14ac:dyDescent="0.3">
      <c r="A367" t="s">
        <v>92</v>
      </c>
      <c r="B367">
        <v>2016</v>
      </c>
      <c r="C367" t="s">
        <v>271</v>
      </c>
      <c r="D367" t="s">
        <v>272</v>
      </c>
      <c r="E367" t="s">
        <v>65</v>
      </c>
      <c r="F367">
        <v>3100</v>
      </c>
      <c r="G367" t="s">
        <v>66</v>
      </c>
      <c r="H367">
        <v>7</v>
      </c>
    </row>
    <row r="368" spans="1:8" x14ac:dyDescent="0.3">
      <c r="A368" t="s">
        <v>92</v>
      </c>
      <c r="B368">
        <v>2017</v>
      </c>
      <c r="C368" t="s">
        <v>271</v>
      </c>
      <c r="D368" t="s">
        <v>272</v>
      </c>
      <c r="E368" t="s">
        <v>65</v>
      </c>
      <c r="F368">
        <v>3100</v>
      </c>
      <c r="G368" t="s">
        <v>66</v>
      </c>
      <c r="H368">
        <v>11</v>
      </c>
    </row>
    <row r="369" spans="1:8" x14ac:dyDescent="0.3">
      <c r="A369" t="s">
        <v>92</v>
      </c>
      <c r="B369">
        <v>2018</v>
      </c>
      <c r="C369" t="s">
        <v>271</v>
      </c>
      <c r="D369" t="s">
        <v>272</v>
      </c>
      <c r="E369" t="s">
        <v>65</v>
      </c>
      <c r="F369">
        <v>3100</v>
      </c>
      <c r="G369" t="s">
        <v>66</v>
      </c>
      <c r="H369">
        <v>9</v>
      </c>
    </row>
    <row r="370" spans="1:8" x14ac:dyDescent="0.3">
      <c r="A370" t="s">
        <v>92</v>
      </c>
      <c r="B370">
        <v>2019</v>
      </c>
      <c r="C370" t="s">
        <v>271</v>
      </c>
      <c r="D370" t="s">
        <v>272</v>
      </c>
      <c r="E370" t="s">
        <v>65</v>
      </c>
      <c r="F370">
        <v>3100</v>
      </c>
      <c r="G370" t="s">
        <v>66</v>
      </c>
      <c r="H370">
        <v>7</v>
      </c>
    </row>
    <row r="371" spans="1:8" x14ac:dyDescent="0.3">
      <c r="A371" t="s">
        <v>92</v>
      </c>
      <c r="B371">
        <v>2020</v>
      </c>
      <c r="C371" t="s">
        <v>271</v>
      </c>
      <c r="D371" t="s">
        <v>272</v>
      </c>
      <c r="E371" t="s">
        <v>65</v>
      </c>
      <c r="F371">
        <v>3100</v>
      </c>
      <c r="G371" t="s">
        <v>66</v>
      </c>
      <c r="H371">
        <v>2</v>
      </c>
    </row>
    <row r="372" spans="1:8" x14ac:dyDescent="0.3">
      <c r="A372" t="s">
        <v>92</v>
      </c>
      <c r="B372">
        <v>2021</v>
      </c>
      <c r="C372" t="s">
        <v>271</v>
      </c>
      <c r="D372" t="s">
        <v>272</v>
      </c>
      <c r="E372" t="s">
        <v>65</v>
      </c>
      <c r="F372">
        <v>3100</v>
      </c>
      <c r="G372" t="s">
        <v>66</v>
      </c>
      <c r="H372">
        <v>6</v>
      </c>
    </row>
    <row r="373" spans="1:8" x14ac:dyDescent="0.3">
      <c r="A373" t="s">
        <v>188</v>
      </c>
      <c r="B373">
        <v>2019</v>
      </c>
      <c r="C373" t="s">
        <v>271</v>
      </c>
      <c r="D373" t="s">
        <v>272</v>
      </c>
      <c r="E373" t="s">
        <v>65</v>
      </c>
      <c r="F373">
        <v>3600</v>
      </c>
      <c r="G373" t="s">
        <v>66</v>
      </c>
      <c r="H373">
        <v>1</v>
      </c>
    </row>
    <row r="374" spans="1:8" x14ac:dyDescent="0.3">
      <c r="A374" t="s">
        <v>93</v>
      </c>
      <c r="B374">
        <v>2014</v>
      </c>
      <c r="C374" t="s">
        <v>271</v>
      </c>
      <c r="D374" t="s">
        <v>272</v>
      </c>
      <c r="E374" t="s">
        <v>65</v>
      </c>
      <c r="F374">
        <v>12125</v>
      </c>
      <c r="G374" t="s">
        <v>66</v>
      </c>
      <c r="H374">
        <v>4</v>
      </c>
    </row>
    <row r="375" spans="1:8" x14ac:dyDescent="0.3">
      <c r="A375" t="s">
        <v>93</v>
      </c>
      <c r="B375">
        <v>2015</v>
      </c>
      <c r="C375" t="s">
        <v>271</v>
      </c>
      <c r="D375" t="s">
        <v>272</v>
      </c>
      <c r="E375" t="s">
        <v>65</v>
      </c>
      <c r="F375">
        <v>12125</v>
      </c>
      <c r="G375" t="s">
        <v>66</v>
      </c>
      <c r="H375">
        <v>3</v>
      </c>
    </row>
    <row r="376" spans="1:8" x14ac:dyDescent="0.3">
      <c r="A376" t="s">
        <v>93</v>
      </c>
      <c r="B376">
        <v>2016</v>
      </c>
      <c r="C376" t="s">
        <v>271</v>
      </c>
      <c r="D376" t="s">
        <v>272</v>
      </c>
      <c r="E376" t="s">
        <v>65</v>
      </c>
      <c r="F376">
        <v>12125</v>
      </c>
      <c r="G376" t="s">
        <v>66</v>
      </c>
      <c r="H376">
        <v>3</v>
      </c>
    </row>
    <row r="377" spans="1:8" x14ac:dyDescent="0.3">
      <c r="A377" t="s">
        <v>93</v>
      </c>
      <c r="B377">
        <v>2017</v>
      </c>
      <c r="C377" t="s">
        <v>271</v>
      </c>
      <c r="D377" t="s">
        <v>272</v>
      </c>
      <c r="E377" t="s">
        <v>65</v>
      </c>
      <c r="F377">
        <v>12125</v>
      </c>
      <c r="G377" t="s">
        <v>66</v>
      </c>
      <c r="H377">
        <v>1</v>
      </c>
    </row>
    <row r="378" spans="1:8" x14ac:dyDescent="0.3">
      <c r="A378" t="s">
        <v>93</v>
      </c>
      <c r="B378">
        <v>2018</v>
      </c>
      <c r="C378" t="s">
        <v>271</v>
      </c>
      <c r="D378" t="s">
        <v>272</v>
      </c>
      <c r="E378" t="s">
        <v>65</v>
      </c>
      <c r="F378">
        <v>12125</v>
      </c>
      <c r="G378" t="s">
        <v>66</v>
      </c>
      <c r="H378">
        <v>4</v>
      </c>
    </row>
    <row r="379" spans="1:8" x14ac:dyDescent="0.3">
      <c r="A379" t="s">
        <v>93</v>
      </c>
      <c r="B379">
        <v>2019</v>
      </c>
      <c r="C379" t="s">
        <v>271</v>
      </c>
      <c r="D379" t="s">
        <v>272</v>
      </c>
      <c r="E379" t="s">
        <v>65</v>
      </c>
      <c r="F379">
        <v>12125</v>
      </c>
      <c r="G379" t="s">
        <v>66</v>
      </c>
      <c r="H379">
        <v>5</v>
      </c>
    </row>
    <row r="380" spans="1:8" x14ac:dyDescent="0.3">
      <c r="A380" t="s">
        <v>93</v>
      </c>
      <c r="B380">
        <v>2020</v>
      </c>
      <c r="C380" t="s">
        <v>271</v>
      </c>
      <c r="D380" t="s">
        <v>272</v>
      </c>
      <c r="E380" t="s">
        <v>65</v>
      </c>
      <c r="F380">
        <v>12125</v>
      </c>
      <c r="G380" t="s">
        <v>66</v>
      </c>
      <c r="H380">
        <v>5</v>
      </c>
    </row>
    <row r="381" spans="1:8" x14ac:dyDescent="0.3">
      <c r="A381" t="s">
        <v>93</v>
      </c>
      <c r="B381">
        <v>2021</v>
      </c>
      <c r="C381" t="s">
        <v>271</v>
      </c>
      <c r="D381" t="s">
        <v>272</v>
      </c>
      <c r="E381" t="s">
        <v>65</v>
      </c>
      <c r="F381">
        <v>12125</v>
      </c>
      <c r="G381" t="s">
        <v>66</v>
      </c>
      <c r="H381">
        <v>3</v>
      </c>
    </row>
    <row r="382" spans="1:8" x14ac:dyDescent="0.3">
      <c r="A382" t="s">
        <v>94</v>
      </c>
      <c r="B382">
        <v>2014</v>
      </c>
      <c r="C382" t="s">
        <v>271</v>
      </c>
      <c r="D382" t="s">
        <v>272</v>
      </c>
      <c r="E382" t="s">
        <v>65</v>
      </c>
      <c r="F382">
        <v>13870</v>
      </c>
      <c r="G382" t="s">
        <v>66</v>
      </c>
      <c r="H382">
        <v>3</v>
      </c>
    </row>
    <row r="383" spans="1:8" x14ac:dyDescent="0.3">
      <c r="A383" t="s">
        <v>94</v>
      </c>
      <c r="B383">
        <v>2015</v>
      </c>
      <c r="C383" t="s">
        <v>271</v>
      </c>
      <c r="D383" t="s">
        <v>272</v>
      </c>
      <c r="E383" t="s">
        <v>65</v>
      </c>
      <c r="F383">
        <v>13870</v>
      </c>
      <c r="G383" t="s">
        <v>66</v>
      </c>
      <c r="H383">
        <v>1</v>
      </c>
    </row>
    <row r="384" spans="1:8" x14ac:dyDescent="0.3">
      <c r="A384" t="s">
        <v>94</v>
      </c>
      <c r="B384">
        <v>2016</v>
      </c>
      <c r="C384" t="s">
        <v>271</v>
      </c>
      <c r="D384" t="s">
        <v>272</v>
      </c>
      <c r="E384" t="s">
        <v>65</v>
      </c>
      <c r="F384">
        <v>13870</v>
      </c>
      <c r="G384" t="s">
        <v>66</v>
      </c>
      <c r="H384">
        <v>8</v>
      </c>
    </row>
    <row r="385" spans="1:8" x14ac:dyDescent="0.3">
      <c r="A385" t="s">
        <v>94</v>
      </c>
      <c r="B385">
        <v>2017</v>
      </c>
      <c r="C385" t="s">
        <v>271</v>
      </c>
      <c r="D385" t="s">
        <v>272</v>
      </c>
      <c r="E385" t="s">
        <v>65</v>
      </c>
      <c r="F385">
        <v>13870</v>
      </c>
      <c r="G385" t="s">
        <v>66</v>
      </c>
      <c r="H385">
        <v>4</v>
      </c>
    </row>
    <row r="386" spans="1:8" x14ac:dyDescent="0.3">
      <c r="A386" t="s">
        <v>94</v>
      </c>
      <c r="B386">
        <v>2018</v>
      </c>
      <c r="C386" t="s">
        <v>271</v>
      </c>
      <c r="D386" t="s">
        <v>272</v>
      </c>
      <c r="E386" t="s">
        <v>65</v>
      </c>
      <c r="F386">
        <v>13870</v>
      </c>
      <c r="G386" t="s">
        <v>66</v>
      </c>
      <c r="H386">
        <v>2</v>
      </c>
    </row>
    <row r="387" spans="1:8" x14ac:dyDescent="0.3">
      <c r="A387" t="s">
        <v>94</v>
      </c>
      <c r="B387">
        <v>2020</v>
      </c>
      <c r="C387" t="s">
        <v>271</v>
      </c>
      <c r="D387" t="s">
        <v>272</v>
      </c>
      <c r="E387" t="s">
        <v>65</v>
      </c>
      <c r="F387">
        <v>13870</v>
      </c>
      <c r="G387" t="s">
        <v>66</v>
      </c>
      <c r="H387">
        <v>2</v>
      </c>
    </row>
    <row r="388" spans="1:8" x14ac:dyDescent="0.3">
      <c r="A388" t="s">
        <v>94</v>
      </c>
      <c r="B388">
        <v>2021</v>
      </c>
      <c r="C388" t="s">
        <v>271</v>
      </c>
      <c r="D388" t="s">
        <v>272</v>
      </c>
      <c r="E388" t="s">
        <v>65</v>
      </c>
      <c r="F388">
        <v>13870</v>
      </c>
      <c r="G388" t="s">
        <v>66</v>
      </c>
      <c r="H388">
        <v>4</v>
      </c>
    </row>
    <row r="389" spans="1:8" x14ac:dyDescent="0.3">
      <c r="A389" t="s">
        <v>189</v>
      </c>
      <c r="B389">
        <v>2014</v>
      </c>
      <c r="C389" t="s">
        <v>271</v>
      </c>
      <c r="D389" t="s">
        <v>272</v>
      </c>
      <c r="E389" t="s">
        <v>65</v>
      </c>
      <c r="F389">
        <v>10361</v>
      </c>
      <c r="G389" t="s">
        <v>66</v>
      </c>
      <c r="H389">
        <v>1</v>
      </c>
    </row>
    <row r="390" spans="1:8" x14ac:dyDescent="0.3">
      <c r="A390" t="s">
        <v>189</v>
      </c>
      <c r="B390">
        <v>2015</v>
      </c>
      <c r="C390" t="s">
        <v>271</v>
      </c>
      <c r="D390" t="s">
        <v>272</v>
      </c>
      <c r="E390" t="s">
        <v>65</v>
      </c>
      <c r="F390">
        <v>10361</v>
      </c>
      <c r="G390" t="s">
        <v>66</v>
      </c>
      <c r="H390">
        <v>2</v>
      </c>
    </row>
    <row r="391" spans="1:8" x14ac:dyDescent="0.3">
      <c r="A391" t="s">
        <v>189</v>
      </c>
      <c r="B391">
        <v>2017</v>
      </c>
      <c r="C391" t="s">
        <v>271</v>
      </c>
      <c r="D391" t="s">
        <v>272</v>
      </c>
      <c r="E391" t="s">
        <v>65</v>
      </c>
      <c r="F391">
        <v>10361</v>
      </c>
      <c r="G391" t="s">
        <v>66</v>
      </c>
      <c r="H391">
        <v>2</v>
      </c>
    </row>
    <row r="392" spans="1:8" x14ac:dyDescent="0.3">
      <c r="A392" t="s">
        <v>189</v>
      </c>
      <c r="B392">
        <v>2019</v>
      </c>
      <c r="C392" t="s">
        <v>271</v>
      </c>
      <c r="D392" t="s">
        <v>272</v>
      </c>
      <c r="E392" t="s">
        <v>65</v>
      </c>
      <c r="F392">
        <v>10361</v>
      </c>
      <c r="G392" t="s">
        <v>66</v>
      </c>
      <c r="H392">
        <v>6</v>
      </c>
    </row>
    <row r="393" spans="1:8" x14ac:dyDescent="0.3">
      <c r="A393" t="s">
        <v>189</v>
      </c>
      <c r="B393">
        <v>2021</v>
      </c>
      <c r="C393" t="s">
        <v>271</v>
      </c>
      <c r="D393" t="s">
        <v>272</v>
      </c>
      <c r="E393" t="s">
        <v>65</v>
      </c>
      <c r="F393">
        <v>10361</v>
      </c>
      <c r="G393" t="s">
        <v>66</v>
      </c>
      <c r="H393">
        <v>5</v>
      </c>
    </row>
    <row r="394" spans="1:8" x14ac:dyDescent="0.3">
      <c r="A394" t="s">
        <v>95</v>
      </c>
      <c r="B394">
        <v>2016</v>
      </c>
      <c r="C394" t="s">
        <v>271</v>
      </c>
      <c r="D394" t="s">
        <v>272</v>
      </c>
      <c r="E394" t="s">
        <v>65</v>
      </c>
      <c r="F394">
        <v>13870</v>
      </c>
      <c r="G394" t="s">
        <v>66</v>
      </c>
      <c r="H394">
        <v>1</v>
      </c>
    </row>
    <row r="395" spans="1:8" x14ac:dyDescent="0.3">
      <c r="A395" t="s">
        <v>95</v>
      </c>
      <c r="B395">
        <v>2019</v>
      </c>
      <c r="C395" t="s">
        <v>271</v>
      </c>
      <c r="D395" t="s">
        <v>272</v>
      </c>
      <c r="E395" t="s">
        <v>65</v>
      </c>
      <c r="F395">
        <v>13870</v>
      </c>
      <c r="G395" t="s">
        <v>66</v>
      </c>
      <c r="H395">
        <v>1</v>
      </c>
    </row>
    <row r="396" spans="1:8" x14ac:dyDescent="0.3">
      <c r="A396" t="s">
        <v>95</v>
      </c>
      <c r="B396">
        <v>2021</v>
      </c>
      <c r="C396" t="s">
        <v>271</v>
      </c>
      <c r="D396" t="s">
        <v>272</v>
      </c>
      <c r="E396" t="s">
        <v>65</v>
      </c>
      <c r="F396">
        <v>13870</v>
      </c>
      <c r="G396" t="s">
        <v>66</v>
      </c>
      <c r="H396">
        <v>2</v>
      </c>
    </row>
    <row r="397" spans="1:8" x14ac:dyDescent="0.3">
      <c r="A397" t="s">
        <v>190</v>
      </c>
      <c r="B397">
        <v>2014</v>
      </c>
      <c r="C397" t="s">
        <v>271</v>
      </c>
      <c r="D397" t="s">
        <v>272</v>
      </c>
      <c r="E397" t="s">
        <v>65</v>
      </c>
      <c r="F397">
        <v>155000</v>
      </c>
      <c r="G397" t="s">
        <v>83</v>
      </c>
      <c r="H397">
        <v>9</v>
      </c>
    </row>
    <row r="398" spans="1:8" x14ac:dyDescent="0.3">
      <c r="A398" t="s">
        <v>190</v>
      </c>
      <c r="B398">
        <v>2015</v>
      </c>
      <c r="C398" t="s">
        <v>271</v>
      </c>
      <c r="D398" t="s">
        <v>272</v>
      </c>
      <c r="E398" t="s">
        <v>65</v>
      </c>
      <c r="F398">
        <v>155000</v>
      </c>
      <c r="G398" t="s">
        <v>83</v>
      </c>
      <c r="H398">
        <v>12</v>
      </c>
    </row>
    <row r="399" spans="1:8" x14ac:dyDescent="0.3">
      <c r="A399" t="s">
        <v>190</v>
      </c>
      <c r="B399">
        <v>2016</v>
      </c>
      <c r="C399" t="s">
        <v>271</v>
      </c>
      <c r="D399" t="s">
        <v>272</v>
      </c>
      <c r="E399" t="s">
        <v>65</v>
      </c>
      <c r="F399">
        <v>155000</v>
      </c>
      <c r="G399" t="s">
        <v>83</v>
      </c>
      <c r="H399">
        <v>5</v>
      </c>
    </row>
    <row r="400" spans="1:8" x14ac:dyDescent="0.3">
      <c r="A400" t="s">
        <v>190</v>
      </c>
      <c r="B400">
        <v>2017</v>
      </c>
      <c r="C400" t="s">
        <v>271</v>
      </c>
      <c r="D400" t="s">
        <v>272</v>
      </c>
      <c r="E400" t="s">
        <v>65</v>
      </c>
      <c r="F400">
        <v>155000</v>
      </c>
      <c r="G400" t="s">
        <v>83</v>
      </c>
      <c r="H400">
        <v>25</v>
      </c>
    </row>
    <row r="401" spans="1:8" x14ac:dyDescent="0.3">
      <c r="A401" t="s">
        <v>190</v>
      </c>
      <c r="B401">
        <v>2019</v>
      </c>
      <c r="C401" t="s">
        <v>271</v>
      </c>
      <c r="D401" t="s">
        <v>272</v>
      </c>
      <c r="E401" t="s">
        <v>65</v>
      </c>
      <c r="F401">
        <v>155000</v>
      </c>
      <c r="G401" t="s">
        <v>83</v>
      </c>
      <c r="H401">
        <v>40</v>
      </c>
    </row>
    <row r="402" spans="1:8" x14ac:dyDescent="0.3">
      <c r="A402" t="s">
        <v>190</v>
      </c>
      <c r="B402">
        <v>2020</v>
      </c>
      <c r="C402" t="s">
        <v>271</v>
      </c>
      <c r="D402" t="s">
        <v>272</v>
      </c>
      <c r="E402" t="s">
        <v>65</v>
      </c>
      <c r="F402">
        <v>155000</v>
      </c>
      <c r="G402" t="s">
        <v>83</v>
      </c>
      <c r="H402">
        <v>1</v>
      </c>
    </row>
    <row r="403" spans="1:8" x14ac:dyDescent="0.3">
      <c r="A403" t="s">
        <v>190</v>
      </c>
      <c r="B403">
        <v>2021</v>
      </c>
      <c r="C403" t="s">
        <v>271</v>
      </c>
      <c r="D403" t="s">
        <v>272</v>
      </c>
      <c r="E403" t="s">
        <v>65</v>
      </c>
      <c r="F403">
        <v>155000</v>
      </c>
      <c r="G403" t="s">
        <v>83</v>
      </c>
      <c r="H403">
        <v>9</v>
      </c>
    </row>
    <row r="404" spans="1:8" x14ac:dyDescent="0.3">
      <c r="A404" t="s">
        <v>96</v>
      </c>
      <c r="B404">
        <v>2015</v>
      </c>
      <c r="C404" t="s">
        <v>271</v>
      </c>
      <c r="D404" t="s">
        <v>272</v>
      </c>
      <c r="E404" t="s">
        <v>65</v>
      </c>
      <c r="F404">
        <v>4600</v>
      </c>
      <c r="G404" t="s">
        <v>66</v>
      </c>
      <c r="H404">
        <v>1</v>
      </c>
    </row>
    <row r="405" spans="1:8" x14ac:dyDescent="0.3">
      <c r="A405" t="s">
        <v>96</v>
      </c>
      <c r="B405">
        <v>2016</v>
      </c>
      <c r="C405" t="s">
        <v>271</v>
      </c>
      <c r="D405" t="s">
        <v>272</v>
      </c>
      <c r="E405" t="s">
        <v>65</v>
      </c>
      <c r="F405">
        <v>4600</v>
      </c>
      <c r="G405" t="s">
        <v>66</v>
      </c>
      <c r="H405">
        <v>2</v>
      </c>
    </row>
    <row r="406" spans="1:8" x14ac:dyDescent="0.3">
      <c r="A406" t="s">
        <v>96</v>
      </c>
      <c r="B406">
        <v>2018</v>
      </c>
      <c r="C406" t="s">
        <v>271</v>
      </c>
      <c r="D406" t="s">
        <v>272</v>
      </c>
      <c r="E406" t="s">
        <v>65</v>
      </c>
      <c r="F406">
        <v>4600</v>
      </c>
      <c r="G406" t="s">
        <v>66</v>
      </c>
      <c r="H406">
        <v>1</v>
      </c>
    </row>
    <row r="407" spans="1:8" x14ac:dyDescent="0.3">
      <c r="A407" t="s">
        <v>96</v>
      </c>
      <c r="B407">
        <v>2020</v>
      </c>
      <c r="C407" t="s">
        <v>271</v>
      </c>
      <c r="D407" t="s">
        <v>272</v>
      </c>
      <c r="E407" t="s">
        <v>65</v>
      </c>
      <c r="F407">
        <v>4600</v>
      </c>
      <c r="G407" t="s">
        <v>66</v>
      </c>
      <c r="H407">
        <v>3</v>
      </c>
    </row>
    <row r="408" spans="1:8" x14ac:dyDescent="0.3">
      <c r="A408" t="s">
        <v>96</v>
      </c>
      <c r="B408">
        <v>2021</v>
      </c>
      <c r="C408" t="s">
        <v>271</v>
      </c>
      <c r="D408" t="s">
        <v>272</v>
      </c>
      <c r="E408" t="s">
        <v>65</v>
      </c>
      <c r="F408">
        <v>4600</v>
      </c>
      <c r="G408" t="s">
        <v>66</v>
      </c>
      <c r="H408">
        <v>3</v>
      </c>
    </row>
    <row r="409" spans="1:8" x14ac:dyDescent="0.3">
      <c r="A409" t="s">
        <v>191</v>
      </c>
      <c r="B409">
        <v>2015</v>
      </c>
      <c r="C409" t="s">
        <v>271</v>
      </c>
      <c r="D409" t="s">
        <v>272</v>
      </c>
      <c r="E409" t="s">
        <v>65</v>
      </c>
      <c r="F409">
        <v>5990</v>
      </c>
      <c r="G409" t="s">
        <v>66</v>
      </c>
      <c r="H409">
        <v>2</v>
      </c>
    </row>
    <row r="410" spans="1:8" x14ac:dyDescent="0.3">
      <c r="A410" t="s">
        <v>192</v>
      </c>
      <c r="B410">
        <v>2014</v>
      </c>
      <c r="C410" t="s">
        <v>271</v>
      </c>
      <c r="D410" t="s">
        <v>272</v>
      </c>
      <c r="E410" t="s">
        <v>65</v>
      </c>
      <c r="F410">
        <v>4850</v>
      </c>
      <c r="G410" t="s">
        <v>66</v>
      </c>
      <c r="H410">
        <v>8</v>
      </c>
    </row>
    <row r="411" spans="1:8" x14ac:dyDescent="0.3">
      <c r="A411" t="s">
        <v>192</v>
      </c>
      <c r="B411">
        <v>2015</v>
      </c>
      <c r="C411" t="s">
        <v>271</v>
      </c>
      <c r="D411" t="s">
        <v>272</v>
      </c>
      <c r="E411" t="s">
        <v>65</v>
      </c>
      <c r="F411">
        <v>4850</v>
      </c>
      <c r="G411" t="s">
        <v>66</v>
      </c>
      <c r="H411">
        <v>3</v>
      </c>
    </row>
    <row r="412" spans="1:8" x14ac:dyDescent="0.3">
      <c r="A412" t="s">
        <v>192</v>
      </c>
      <c r="B412">
        <v>2016</v>
      </c>
      <c r="C412" t="s">
        <v>271</v>
      </c>
      <c r="D412" t="s">
        <v>272</v>
      </c>
      <c r="E412" t="s">
        <v>65</v>
      </c>
      <c r="F412">
        <v>4850</v>
      </c>
      <c r="G412" t="s">
        <v>66</v>
      </c>
      <c r="H412">
        <v>4</v>
      </c>
    </row>
    <row r="413" spans="1:8" x14ac:dyDescent="0.3">
      <c r="A413" t="s">
        <v>192</v>
      </c>
      <c r="B413">
        <v>2017</v>
      </c>
      <c r="C413" t="s">
        <v>271</v>
      </c>
      <c r="D413" t="s">
        <v>272</v>
      </c>
      <c r="E413" t="s">
        <v>65</v>
      </c>
      <c r="F413">
        <v>4850</v>
      </c>
      <c r="G413" t="s">
        <v>66</v>
      </c>
      <c r="H413">
        <v>3</v>
      </c>
    </row>
    <row r="414" spans="1:8" x14ac:dyDescent="0.3">
      <c r="A414" t="s">
        <v>192</v>
      </c>
      <c r="B414">
        <v>2018</v>
      </c>
      <c r="C414" t="s">
        <v>271</v>
      </c>
      <c r="D414" t="s">
        <v>272</v>
      </c>
      <c r="E414" t="s">
        <v>65</v>
      </c>
      <c r="F414">
        <v>4850</v>
      </c>
      <c r="G414" t="s">
        <v>66</v>
      </c>
      <c r="H414">
        <v>1</v>
      </c>
    </row>
    <row r="415" spans="1:8" x14ac:dyDescent="0.3">
      <c r="A415" t="s">
        <v>192</v>
      </c>
      <c r="B415">
        <v>2019</v>
      </c>
      <c r="C415" t="s">
        <v>271</v>
      </c>
      <c r="D415" t="s">
        <v>272</v>
      </c>
      <c r="E415" t="s">
        <v>65</v>
      </c>
      <c r="F415">
        <v>4850</v>
      </c>
      <c r="G415" t="s">
        <v>66</v>
      </c>
      <c r="H415">
        <v>1</v>
      </c>
    </row>
    <row r="416" spans="1:8" x14ac:dyDescent="0.3">
      <c r="A416" t="s">
        <v>192</v>
      </c>
      <c r="B416">
        <v>2020</v>
      </c>
      <c r="C416" t="s">
        <v>271</v>
      </c>
      <c r="D416" t="s">
        <v>272</v>
      </c>
      <c r="E416" t="s">
        <v>65</v>
      </c>
      <c r="F416">
        <v>4850</v>
      </c>
      <c r="G416" t="s">
        <v>66</v>
      </c>
      <c r="H416">
        <v>1</v>
      </c>
    </row>
    <row r="417" spans="1:8" x14ac:dyDescent="0.3">
      <c r="A417" t="s">
        <v>192</v>
      </c>
      <c r="B417">
        <v>2021</v>
      </c>
      <c r="C417" t="s">
        <v>271</v>
      </c>
      <c r="D417" t="s">
        <v>272</v>
      </c>
      <c r="E417" t="s">
        <v>65</v>
      </c>
      <c r="F417">
        <v>4850</v>
      </c>
      <c r="G417" t="s">
        <v>66</v>
      </c>
      <c r="H417">
        <v>3</v>
      </c>
    </row>
    <row r="418" spans="1:8" x14ac:dyDescent="0.3">
      <c r="A418" t="s">
        <v>97</v>
      </c>
      <c r="B418">
        <v>2014</v>
      </c>
      <c r="C418" t="s">
        <v>271</v>
      </c>
      <c r="D418" t="s">
        <v>272</v>
      </c>
      <c r="E418" t="s">
        <v>65</v>
      </c>
      <c r="F418">
        <v>5974</v>
      </c>
      <c r="G418" t="s">
        <v>66</v>
      </c>
      <c r="H418">
        <v>1</v>
      </c>
    </row>
    <row r="419" spans="1:8" x14ac:dyDescent="0.3">
      <c r="A419" t="s">
        <v>97</v>
      </c>
      <c r="B419">
        <v>2017</v>
      </c>
      <c r="C419" t="s">
        <v>271</v>
      </c>
      <c r="D419" t="s">
        <v>272</v>
      </c>
      <c r="E419" t="s">
        <v>65</v>
      </c>
      <c r="F419">
        <v>5974</v>
      </c>
      <c r="G419" t="s">
        <v>66</v>
      </c>
      <c r="H419">
        <v>2</v>
      </c>
    </row>
    <row r="420" spans="1:8" x14ac:dyDescent="0.3">
      <c r="A420" t="s">
        <v>97</v>
      </c>
      <c r="B420">
        <v>2018</v>
      </c>
      <c r="C420" t="s">
        <v>271</v>
      </c>
      <c r="D420" t="s">
        <v>272</v>
      </c>
      <c r="E420" t="s">
        <v>65</v>
      </c>
      <c r="F420">
        <v>5974</v>
      </c>
      <c r="G420" t="s">
        <v>66</v>
      </c>
      <c r="H420">
        <v>1</v>
      </c>
    </row>
    <row r="421" spans="1:8" x14ac:dyDescent="0.3">
      <c r="A421" t="s">
        <v>97</v>
      </c>
      <c r="B421">
        <v>2019</v>
      </c>
      <c r="C421" t="s">
        <v>271</v>
      </c>
      <c r="D421" t="s">
        <v>272</v>
      </c>
      <c r="E421" t="s">
        <v>65</v>
      </c>
      <c r="F421">
        <v>5974</v>
      </c>
      <c r="G421" t="s">
        <v>66</v>
      </c>
      <c r="H421">
        <v>2</v>
      </c>
    </row>
    <row r="422" spans="1:8" x14ac:dyDescent="0.3">
      <c r="A422" t="s">
        <v>98</v>
      </c>
      <c r="B422">
        <v>2015</v>
      </c>
      <c r="C422" t="s">
        <v>271</v>
      </c>
      <c r="D422" t="s">
        <v>272</v>
      </c>
      <c r="E422" t="s">
        <v>65</v>
      </c>
      <c r="F422">
        <v>6850</v>
      </c>
      <c r="G422" t="s">
        <v>66</v>
      </c>
      <c r="H422">
        <v>1</v>
      </c>
    </row>
    <row r="423" spans="1:8" x14ac:dyDescent="0.3">
      <c r="A423" t="s">
        <v>100</v>
      </c>
      <c r="B423">
        <v>2014</v>
      </c>
      <c r="C423" t="s">
        <v>271</v>
      </c>
      <c r="D423" t="s">
        <v>272</v>
      </c>
      <c r="E423" t="s">
        <v>65</v>
      </c>
      <c r="F423">
        <v>6750</v>
      </c>
      <c r="G423" t="s">
        <v>66</v>
      </c>
      <c r="H423">
        <v>2</v>
      </c>
    </row>
    <row r="424" spans="1:8" x14ac:dyDescent="0.3">
      <c r="A424" t="s">
        <v>100</v>
      </c>
      <c r="B424">
        <v>2015</v>
      </c>
      <c r="C424" t="s">
        <v>271</v>
      </c>
      <c r="D424" t="s">
        <v>272</v>
      </c>
      <c r="E424" t="s">
        <v>65</v>
      </c>
      <c r="F424">
        <v>6750</v>
      </c>
      <c r="G424" t="s">
        <v>66</v>
      </c>
      <c r="H424">
        <v>2</v>
      </c>
    </row>
    <row r="425" spans="1:8" x14ac:dyDescent="0.3">
      <c r="A425" t="s">
        <v>100</v>
      </c>
      <c r="B425">
        <v>2016</v>
      </c>
      <c r="C425" t="s">
        <v>271</v>
      </c>
      <c r="D425" t="s">
        <v>272</v>
      </c>
      <c r="E425" t="s">
        <v>65</v>
      </c>
      <c r="F425">
        <v>6750</v>
      </c>
      <c r="G425" t="s">
        <v>66</v>
      </c>
      <c r="H425">
        <v>5</v>
      </c>
    </row>
    <row r="426" spans="1:8" x14ac:dyDescent="0.3">
      <c r="A426" t="s">
        <v>100</v>
      </c>
      <c r="B426">
        <v>2018</v>
      </c>
      <c r="C426" t="s">
        <v>271</v>
      </c>
      <c r="D426" t="s">
        <v>272</v>
      </c>
      <c r="E426" t="s">
        <v>65</v>
      </c>
      <c r="F426">
        <v>6750</v>
      </c>
      <c r="G426" t="s">
        <v>66</v>
      </c>
      <c r="H426">
        <v>2</v>
      </c>
    </row>
    <row r="427" spans="1:8" x14ac:dyDescent="0.3">
      <c r="A427" t="s">
        <v>100</v>
      </c>
      <c r="B427">
        <v>2019</v>
      </c>
      <c r="C427" t="s">
        <v>271</v>
      </c>
      <c r="D427" t="s">
        <v>272</v>
      </c>
      <c r="E427" t="s">
        <v>65</v>
      </c>
      <c r="F427">
        <v>6750</v>
      </c>
      <c r="G427" t="s">
        <v>66</v>
      </c>
      <c r="H427">
        <v>2</v>
      </c>
    </row>
    <row r="428" spans="1:8" x14ac:dyDescent="0.3">
      <c r="A428" t="s">
        <v>101</v>
      </c>
      <c r="B428">
        <v>2017</v>
      </c>
      <c r="C428" t="s">
        <v>271</v>
      </c>
      <c r="D428" t="s">
        <v>272</v>
      </c>
      <c r="E428" t="s">
        <v>65</v>
      </c>
      <c r="F428">
        <v>7450</v>
      </c>
      <c r="G428" t="s">
        <v>66</v>
      </c>
      <c r="H428">
        <v>1</v>
      </c>
    </row>
    <row r="429" spans="1:8" x14ac:dyDescent="0.3">
      <c r="A429" t="s">
        <v>101</v>
      </c>
      <c r="B429">
        <v>2018</v>
      </c>
      <c r="C429" t="s">
        <v>271</v>
      </c>
      <c r="D429" t="s">
        <v>272</v>
      </c>
      <c r="E429" t="s">
        <v>65</v>
      </c>
      <c r="F429">
        <v>7450</v>
      </c>
      <c r="G429" t="s">
        <v>66</v>
      </c>
      <c r="H429">
        <v>1</v>
      </c>
    </row>
    <row r="430" spans="1:8" x14ac:dyDescent="0.3">
      <c r="A430" t="s">
        <v>193</v>
      </c>
      <c r="B430">
        <v>2020</v>
      </c>
      <c r="C430" t="s">
        <v>271</v>
      </c>
      <c r="D430" t="s">
        <v>272</v>
      </c>
      <c r="E430" t="s">
        <v>65</v>
      </c>
      <c r="F430">
        <v>8598</v>
      </c>
      <c r="G430" t="s">
        <v>66</v>
      </c>
      <c r="H430">
        <v>2</v>
      </c>
    </row>
    <row r="431" spans="1:8" x14ac:dyDescent="0.3">
      <c r="A431" t="s">
        <v>193</v>
      </c>
      <c r="B431">
        <v>2021</v>
      </c>
      <c r="C431" t="s">
        <v>271</v>
      </c>
      <c r="D431" t="s">
        <v>272</v>
      </c>
      <c r="E431" t="s">
        <v>65</v>
      </c>
      <c r="F431">
        <v>8598</v>
      </c>
      <c r="G431" t="s">
        <v>66</v>
      </c>
      <c r="H431">
        <v>1</v>
      </c>
    </row>
    <row r="432" spans="1:8" x14ac:dyDescent="0.3">
      <c r="A432" t="s">
        <v>102</v>
      </c>
      <c r="B432">
        <v>2014</v>
      </c>
      <c r="C432" t="s">
        <v>271</v>
      </c>
      <c r="D432" t="s">
        <v>272</v>
      </c>
      <c r="E432" t="s">
        <v>65</v>
      </c>
      <c r="F432">
        <v>9850</v>
      </c>
      <c r="G432" t="s">
        <v>66</v>
      </c>
      <c r="H432">
        <v>1</v>
      </c>
    </row>
    <row r="433" spans="1:8" x14ac:dyDescent="0.3">
      <c r="A433" t="s">
        <v>102</v>
      </c>
      <c r="B433">
        <v>2016</v>
      </c>
      <c r="C433" t="s">
        <v>271</v>
      </c>
      <c r="D433" t="s">
        <v>272</v>
      </c>
      <c r="E433" t="s">
        <v>65</v>
      </c>
      <c r="F433">
        <v>9850</v>
      </c>
      <c r="G433" t="s">
        <v>66</v>
      </c>
      <c r="H433">
        <v>1</v>
      </c>
    </row>
    <row r="434" spans="1:8" x14ac:dyDescent="0.3">
      <c r="A434" t="s">
        <v>102</v>
      </c>
      <c r="B434">
        <v>2017</v>
      </c>
      <c r="C434" t="s">
        <v>271</v>
      </c>
      <c r="D434" t="s">
        <v>272</v>
      </c>
      <c r="E434" t="s">
        <v>65</v>
      </c>
      <c r="F434">
        <v>9850</v>
      </c>
      <c r="G434" t="s">
        <v>66</v>
      </c>
      <c r="H434">
        <v>2</v>
      </c>
    </row>
    <row r="435" spans="1:8" x14ac:dyDescent="0.3">
      <c r="A435" t="s">
        <v>102</v>
      </c>
      <c r="B435">
        <v>2019</v>
      </c>
      <c r="C435" t="s">
        <v>271</v>
      </c>
      <c r="D435" t="s">
        <v>272</v>
      </c>
      <c r="E435" t="s">
        <v>65</v>
      </c>
      <c r="F435">
        <v>9850</v>
      </c>
      <c r="G435" t="s">
        <v>66</v>
      </c>
      <c r="H435">
        <v>8</v>
      </c>
    </row>
    <row r="436" spans="1:8" x14ac:dyDescent="0.3">
      <c r="A436" t="s">
        <v>102</v>
      </c>
      <c r="B436">
        <v>2021</v>
      </c>
      <c r="C436" t="s">
        <v>271</v>
      </c>
      <c r="D436" t="s">
        <v>272</v>
      </c>
      <c r="E436" t="s">
        <v>65</v>
      </c>
      <c r="F436">
        <v>9850</v>
      </c>
      <c r="G436" t="s">
        <v>66</v>
      </c>
      <c r="H436">
        <v>2</v>
      </c>
    </row>
    <row r="437" spans="1:8" x14ac:dyDescent="0.3">
      <c r="A437" t="s">
        <v>194</v>
      </c>
      <c r="B437">
        <v>2015</v>
      </c>
      <c r="C437" t="s">
        <v>271</v>
      </c>
      <c r="D437" t="s">
        <v>272</v>
      </c>
      <c r="E437" t="s">
        <v>65</v>
      </c>
      <c r="F437">
        <v>9502</v>
      </c>
      <c r="G437" t="s">
        <v>66</v>
      </c>
      <c r="H437">
        <v>1</v>
      </c>
    </row>
    <row r="438" spans="1:8" x14ac:dyDescent="0.3">
      <c r="A438" t="s">
        <v>194</v>
      </c>
      <c r="B438">
        <v>2017</v>
      </c>
      <c r="C438" t="s">
        <v>271</v>
      </c>
      <c r="D438" t="s">
        <v>272</v>
      </c>
      <c r="E438" t="s">
        <v>65</v>
      </c>
      <c r="F438">
        <v>9502</v>
      </c>
      <c r="G438" t="s">
        <v>66</v>
      </c>
      <c r="H438">
        <v>2</v>
      </c>
    </row>
    <row r="439" spans="1:8" x14ac:dyDescent="0.3">
      <c r="A439" t="s">
        <v>195</v>
      </c>
      <c r="B439">
        <v>2014</v>
      </c>
      <c r="C439" t="s">
        <v>271</v>
      </c>
      <c r="D439" t="s">
        <v>272</v>
      </c>
      <c r="E439" t="s">
        <v>65</v>
      </c>
      <c r="F439">
        <v>13227</v>
      </c>
      <c r="G439" t="s">
        <v>66</v>
      </c>
      <c r="H439">
        <v>1</v>
      </c>
    </row>
    <row r="440" spans="1:8" x14ac:dyDescent="0.3">
      <c r="A440" t="s">
        <v>195</v>
      </c>
      <c r="B440">
        <v>2017</v>
      </c>
      <c r="C440" t="s">
        <v>271</v>
      </c>
      <c r="D440" t="s">
        <v>272</v>
      </c>
      <c r="E440" t="s">
        <v>65</v>
      </c>
      <c r="F440">
        <v>13227</v>
      </c>
      <c r="G440" t="s">
        <v>66</v>
      </c>
      <c r="H440">
        <v>1</v>
      </c>
    </row>
    <row r="441" spans="1:8" x14ac:dyDescent="0.3">
      <c r="A441" t="s">
        <v>195</v>
      </c>
      <c r="B441">
        <v>2018</v>
      </c>
      <c r="C441" t="s">
        <v>271</v>
      </c>
      <c r="D441" t="s">
        <v>272</v>
      </c>
      <c r="E441" t="s">
        <v>65</v>
      </c>
      <c r="F441">
        <v>13227</v>
      </c>
      <c r="G441" t="s">
        <v>66</v>
      </c>
      <c r="H441">
        <v>2</v>
      </c>
    </row>
    <row r="442" spans="1:8" x14ac:dyDescent="0.3">
      <c r="A442" t="s">
        <v>196</v>
      </c>
      <c r="B442">
        <v>2014</v>
      </c>
      <c r="C442" t="s">
        <v>271</v>
      </c>
      <c r="D442" t="s">
        <v>272</v>
      </c>
      <c r="E442" t="s">
        <v>65</v>
      </c>
      <c r="F442">
        <v>7716</v>
      </c>
      <c r="G442" t="s">
        <v>66</v>
      </c>
      <c r="H442">
        <v>2</v>
      </c>
    </row>
    <row r="443" spans="1:8" x14ac:dyDescent="0.3">
      <c r="A443" t="s">
        <v>196</v>
      </c>
      <c r="B443">
        <v>2015</v>
      </c>
      <c r="C443" t="s">
        <v>271</v>
      </c>
      <c r="D443" t="s">
        <v>272</v>
      </c>
      <c r="E443" t="s">
        <v>65</v>
      </c>
      <c r="F443">
        <v>7716</v>
      </c>
      <c r="G443" t="s">
        <v>66</v>
      </c>
      <c r="H443">
        <v>2</v>
      </c>
    </row>
    <row r="444" spans="1:8" x14ac:dyDescent="0.3">
      <c r="A444" t="s">
        <v>196</v>
      </c>
      <c r="B444">
        <v>2016</v>
      </c>
      <c r="C444" t="s">
        <v>271</v>
      </c>
      <c r="D444" t="s">
        <v>272</v>
      </c>
      <c r="E444" t="s">
        <v>65</v>
      </c>
      <c r="F444">
        <v>7716</v>
      </c>
      <c r="G444" t="s">
        <v>66</v>
      </c>
      <c r="H444">
        <v>1</v>
      </c>
    </row>
    <row r="445" spans="1:8" x14ac:dyDescent="0.3">
      <c r="A445" t="s">
        <v>196</v>
      </c>
      <c r="B445">
        <v>2017</v>
      </c>
      <c r="C445" t="s">
        <v>271</v>
      </c>
      <c r="D445" t="s">
        <v>272</v>
      </c>
      <c r="E445" t="s">
        <v>65</v>
      </c>
      <c r="F445">
        <v>7716</v>
      </c>
      <c r="G445" t="s">
        <v>66</v>
      </c>
      <c r="H445">
        <v>1</v>
      </c>
    </row>
    <row r="446" spans="1:8" x14ac:dyDescent="0.3">
      <c r="A446" t="s">
        <v>196</v>
      </c>
      <c r="B446">
        <v>2018</v>
      </c>
      <c r="C446" t="s">
        <v>271</v>
      </c>
      <c r="D446" t="s">
        <v>272</v>
      </c>
      <c r="E446" t="s">
        <v>65</v>
      </c>
      <c r="F446">
        <v>7716</v>
      </c>
      <c r="G446" t="s">
        <v>66</v>
      </c>
      <c r="H446">
        <v>6</v>
      </c>
    </row>
    <row r="447" spans="1:8" x14ac:dyDescent="0.3">
      <c r="A447" t="s">
        <v>196</v>
      </c>
      <c r="B447">
        <v>2019</v>
      </c>
      <c r="C447" t="s">
        <v>271</v>
      </c>
      <c r="D447" t="s">
        <v>272</v>
      </c>
      <c r="E447" t="s">
        <v>65</v>
      </c>
      <c r="F447">
        <v>7716</v>
      </c>
      <c r="G447" t="s">
        <v>66</v>
      </c>
      <c r="H447">
        <v>1</v>
      </c>
    </row>
    <row r="448" spans="1:8" x14ac:dyDescent="0.3">
      <c r="A448" t="s">
        <v>196</v>
      </c>
      <c r="B448">
        <v>2020</v>
      </c>
      <c r="C448" t="s">
        <v>271</v>
      </c>
      <c r="D448" t="s">
        <v>272</v>
      </c>
      <c r="E448" t="s">
        <v>65</v>
      </c>
      <c r="F448">
        <v>7716</v>
      </c>
      <c r="G448" t="s">
        <v>66</v>
      </c>
      <c r="H448">
        <v>3</v>
      </c>
    </row>
    <row r="449" spans="1:8" x14ac:dyDescent="0.3">
      <c r="A449" t="s">
        <v>196</v>
      </c>
      <c r="B449">
        <v>2021</v>
      </c>
      <c r="C449" t="s">
        <v>271</v>
      </c>
      <c r="D449" t="s">
        <v>272</v>
      </c>
      <c r="E449" t="s">
        <v>65</v>
      </c>
      <c r="F449">
        <v>7716</v>
      </c>
      <c r="G449" t="s">
        <v>66</v>
      </c>
      <c r="H449">
        <v>7</v>
      </c>
    </row>
    <row r="450" spans="1:8" x14ac:dyDescent="0.3">
      <c r="A450" t="s">
        <v>103</v>
      </c>
      <c r="B450">
        <v>2014</v>
      </c>
      <c r="C450" t="s">
        <v>271</v>
      </c>
      <c r="D450" t="s">
        <v>272</v>
      </c>
      <c r="E450" t="s">
        <v>65</v>
      </c>
      <c r="F450">
        <v>10700</v>
      </c>
      <c r="G450" t="s">
        <v>66</v>
      </c>
      <c r="H450">
        <v>14</v>
      </c>
    </row>
    <row r="451" spans="1:8" x14ac:dyDescent="0.3">
      <c r="A451" t="s">
        <v>103</v>
      </c>
      <c r="B451">
        <v>2015</v>
      </c>
      <c r="C451" t="s">
        <v>271</v>
      </c>
      <c r="D451" t="s">
        <v>272</v>
      </c>
      <c r="E451" t="s">
        <v>65</v>
      </c>
      <c r="F451">
        <v>10700</v>
      </c>
      <c r="G451" t="s">
        <v>66</v>
      </c>
      <c r="H451">
        <v>11</v>
      </c>
    </row>
    <row r="452" spans="1:8" x14ac:dyDescent="0.3">
      <c r="A452" t="s">
        <v>103</v>
      </c>
      <c r="B452">
        <v>2016</v>
      </c>
      <c r="C452" t="s">
        <v>271</v>
      </c>
      <c r="D452" t="s">
        <v>272</v>
      </c>
      <c r="E452" t="s">
        <v>65</v>
      </c>
      <c r="F452">
        <v>10700</v>
      </c>
      <c r="G452" t="s">
        <v>66</v>
      </c>
      <c r="H452">
        <v>8</v>
      </c>
    </row>
    <row r="453" spans="1:8" x14ac:dyDescent="0.3">
      <c r="A453" t="s">
        <v>103</v>
      </c>
      <c r="B453">
        <v>2017</v>
      </c>
      <c r="C453" t="s">
        <v>271</v>
      </c>
      <c r="D453" t="s">
        <v>272</v>
      </c>
      <c r="E453" t="s">
        <v>65</v>
      </c>
      <c r="F453">
        <v>10700</v>
      </c>
      <c r="G453" t="s">
        <v>66</v>
      </c>
      <c r="H453">
        <v>3</v>
      </c>
    </row>
    <row r="454" spans="1:8" x14ac:dyDescent="0.3">
      <c r="A454" t="s">
        <v>103</v>
      </c>
      <c r="B454">
        <v>2018</v>
      </c>
      <c r="C454" t="s">
        <v>271</v>
      </c>
      <c r="D454" t="s">
        <v>272</v>
      </c>
      <c r="E454" t="s">
        <v>65</v>
      </c>
      <c r="F454">
        <v>10700</v>
      </c>
      <c r="G454" t="s">
        <v>66</v>
      </c>
      <c r="H454">
        <v>6</v>
      </c>
    </row>
    <row r="455" spans="1:8" x14ac:dyDescent="0.3">
      <c r="A455" t="s">
        <v>103</v>
      </c>
      <c r="B455">
        <v>2019</v>
      </c>
      <c r="C455" t="s">
        <v>271</v>
      </c>
      <c r="D455" t="s">
        <v>272</v>
      </c>
      <c r="E455" t="s">
        <v>65</v>
      </c>
      <c r="F455">
        <v>10700</v>
      </c>
      <c r="G455" t="s">
        <v>66</v>
      </c>
      <c r="H455">
        <v>7</v>
      </c>
    </row>
    <row r="456" spans="1:8" x14ac:dyDescent="0.3">
      <c r="A456" t="s">
        <v>103</v>
      </c>
      <c r="B456">
        <v>2020</v>
      </c>
      <c r="C456" t="s">
        <v>271</v>
      </c>
      <c r="D456" t="s">
        <v>272</v>
      </c>
      <c r="E456" t="s">
        <v>65</v>
      </c>
      <c r="F456">
        <v>10700</v>
      </c>
      <c r="G456" t="s">
        <v>66</v>
      </c>
      <c r="H456">
        <v>3</v>
      </c>
    </row>
    <row r="457" spans="1:8" x14ac:dyDescent="0.3">
      <c r="A457" t="s">
        <v>103</v>
      </c>
      <c r="B457">
        <v>2021</v>
      </c>
      <c r="C457" t="s">
        <v>271</v>
      </c>
      <c r="D457" t="s">
        <v>272</v>
      </c>
      <c r="E457" t="s">
        <v>65</v>
      </c>
      <c r="F457">
        <v>10700</v>
      </c>
      <c r="G457" t="s">
        <v>66</v>
      </c>
      <c r="H457">
        <v>1</v>
      </c>
    </row>
    <row r="458" spans="1:8" x14ac:dyDescent="0.3">
      <c r="A458" t="s">
        <v>104</v>
      </c>
      <c r="B458">
        <v>2014</v>
      </c>
      <c r="C458" t="s">
        <v>271</v>
      </c>
      <c r="D458" t="s">
        <v>272</v>
      </c>
      <c r="E458" t="s">
        <v>65</v>
      </c>
      <c r="F458">
        <v>14800</v>
      </c>
      <c r="G458" t="s">
        <v>66</v>
      </c>
      <c r="H458">
        <v>21</v>
      </c>
    </row>
    <row r="459" spans="1:8" x14ac:dyDescent="0.3">
      <c r="A459" t="s">
        <v>104</v>
      </c>
      <c r="B459">
        <v>2015</v>
      </c>
      <c r="C459" t="s">
        <v>271</v>
      </c>
      <c r="D459" t="s">
        <v>272</v>
      </c>
      <c r="E459" t="s">
        <v>65</v>
      </c>
      <c r="F459">
        <v>14800</v>
      </c>
      <c r="G459" t="s">
        <v>66</v>
      </c>
      <c r="H459">
        <v>27</v>
      </c>
    </row>
    <row r="460" spans="1:8" x14ac:dyDescent="0.3">
      <c r="A460" t="s">
        <v>104</v>
      </c>
      <c r="B460">
        <v>2016</v>
      </c>
      <c r="C460" t="s">
        <v>271</v>
      </c>
      <c r="D460" t="s">
        <v>272</v>
      </c>
      <c r="E460" t="s">
        <v>65</v>
      </c>
      <c r="F460">
        <v>14800</v>
      </c>
      <c r="G460" t="s">
        <v>66</v>
      </c>
      <c r="H460">
        <v>17</v>
      </c>
    </row>
    <row r="461" spans="1:8" x14ac:dyDescent="0.3">
      <c r="A461" t="s">
        <v>104</v>
      </c>
      <c r="B461">
        <v>2017</v>
      </c>
      <c r="C461" t="s">
        <v>271</v>
      </c>
      <c r="D461" t="s">
        <v>272</v>
      </c>
      <c r="E461" t="s">
        <v>65</v>
      </c>
      <c r="F461">
        <v>14800</v>
      </c>
      <c r="G461" t="s">
        <v>66</v>
      </c>
      <c r="H461">
        <v>38</v>
      </c>
    </row>
    <row r="462" spans="1:8" x14ac:dyDescent="0.3">
      <c r="A462" t="s">
        <v>104</v>
      </c>
      <c r="B462">
        <v>2018</v>
      </c>
      <c r="C462" t="s">
        <v>271</v>
      </c>
      <c r="D462" t="s">
        <v>272</v>
      </c>
      <c r="E462" t="s">
        <v>65</v>
      </c>
      <c r="F462">
        <v>14800</v>
      </c>
      <c r="G462" t="s">
        <v>66</v>
      </c>
      <c r="H462">
        <v>34</v>
      </c>
    </row>
    <row r="463" spans="1:8" x14ac:dyDescent="0.3">
      <c r="A463" t="s">
        <v>104</v>
      </c>
      <c r="B463">
        <v>2019</v>
      </c>
      <c r="C463" t="s">
        <v>271</v>
      </c>
      <c r="D463" t="s">
        <v>272</v>
      </c>
      <c r="E463" t="s">
        <v>65</v>
      </c>
      <c r="F463">
        <v>14800</v>
      </c>
      <c r="G463" t="s">
        <v>66</v>
      </c>
      <c r="H463">
        <v>22</v>
      </c>
    </row>
    <row r="464" spans="1:8" x14ac:dyDescent="0.3">
      <c r="A464" t="s">
        <v>104</v>
      </c>
      <c r="B464">
        <v>2020</v>
      </c>
      <c r="C464" t="s">
        <v>271</v>
      </c>
      <c r="D464" t="s">
        <v>272</v>
      </c>
      <c r="E464" t="s">
        <v>65</v>
      </c>
      <c r="F464">
        <v>14800</v>
      </c>
      <c r="G464" t="s">
        <v>66</v>
      </c>
      <c r="H464">
        <v>9</v>
      </c>
    </row>
    <row r="465" spans="1:8" x14ac:dyDescent="0.3">
      <c r="A465" t="s">
        <v>104</v>
      </c>
      <c r="B465">
        <v>2021</v>
      </c>
      <c r="C465" t="s">
        <v>271</v>
      </c>
      <c r="D465" t="s">
        <v>272</v>
      </c>
      <c r="E465" t="s">
        <v>65</v>
      </c>
      <c r="F465">
        <v>14800</v>
      </c>
      <c r="G465" t="s">
        <v>66</v>
      </c>
      <c r="H465">
        <v>32</v>
      </c>
    </row>
    <row r="466" spans="1:8" x14ac:dyDescent="0.3">
      <c r="A466" t="s">
        <v>197</v>
      </c>
      <c r="B466">
        <v>2018</v>
      </c>
      <c r="C466" t="s">
        <v>271</v>
      </c>
      <c r="D466" t="s">
        <v>272</v>
      </c>
      <c r="E466" t="s">
        <v>65</v>
      </c>
      <c r="F466">
        <v>42300</v>
      </c>
      <c r="G466" t="s">
        <v>66</v>
      </c>
      <c r="H466">
        <v>2</v>
      </c>
    </row>
    <row r="467" spans="1:8" x14ac:dyDescent="0.3">
      <c r="A467" t="s">
        <v>105</v>
      </c>
      <c r="B467">
        <v>2014</v>
      </c>
      <c r="C467" t="s">
        <v>271</v>
      </c>
      <c r="D467" t="s">
        <v>272</v>
      </c>
      <c r="E467" t="s">
        <v>65</v>
      </c>
      <c r="F467">
        <v>16300</v>
      </c>
      <c r="G467" t="s">
        <v>66</v>
      </c>
      <c r="H467">
        <v>13</v>
      </c>
    </row>
    <row r="468" spans="1:8" x14ac:dyDescent="0.3">
      <c r="A468" t="s">
        <v>105</v>
      </c>
      <c r="B468">
        <v>2015</v>
      </c>
      <c r="C468" t="s">
        <v>271</v>
      </c>
      <c r="D468" t="s">
        <v>272</v>
      </c>
      <c r="E468" t="s">
        <v>65</v>
      </c>
      <c r="F468">
        <v>16300</v>
      </c>
      <c r="G468" t="s">
        <v>66</v>
      </c>
      <c r="H468">
        <v>42</v>
      </c>
    </row>
    <row r="469" spans="1:8" x14ac:dyDescent="0.3">
      <c r="A469" t="s">
        <v>105</v>
      </c>
      <c r="B469">
        <v>2016</v>
      </c>
      <c r="C469" t="s">
        <v>271</v>
      </c>
      <c r="D469" t="s">
        <v>272</v>
      </c>
      <c r="E469" t="s">
        <v>65</v>
      </c>
      <c r="F469">
        <v>16300</v>
      </c>
      <c r="G469" t="s">
        <v>66</v>
      </c>
      <c r="H469">
        <v>22</v>
      </c>
    </row>
    <row r="470" spans="1:8" x14ac:dyDescent="0.3">
      <c r="A470" t="s">
        <v>105</v>
      </c>
      <c r="B470">
        <v>2017</v>
      </c>
      <c r="C470" t="s">
        <v>271</v>
      </c>
      <c r="D470" t="s">
        <v>272</v>
      </c>
      <c r="E470" t="s">
        <v>65</v>
      </c>
      <c r="F470">
        <v>16300</v>
      </c>
      <c r="G470" t="s">
        <v>66</v>
      </c>
      <c r="H470">
        <v>11</v>
      </c>
    </row>
    <row r="471" spans="1:8" x14ac:dyDescent="0.3">
      <c r="A471" t="s">
        <v>105</v>
      </c>
      <c r="B471">
        <v>2018</v>
      </c>
      <c r="C471" t="s">
        <v>271</v>
      </c>
      <c r="D471" t="s">
        <v>272</v>
      </c>
      <c r="E471" t="s">
        <v>65</v>
      </c>
      <c r="F471">
        <v>16300</v>
      </c>
      <c r="G471" t="s">
        <v>66</v>
      </c>
      <c r="H471">
        <v>21</v>
      </c>
    </row>
    <row r="472" spans="1:8" x14ac:dyDescent="0.3">
      <c r="A472" t="s">
        <v>105</v>
      </c>
      <c r="B472">
        <v>2019</v>
      </c>
      <c r="C472" t="s">
        <v>271</v>
      </c>
      <c r="D472" t="s">
        <v>272</v>
      </c>
      <c r="E472" t="s">
        <v>65</v>
      </c>
      <c r="F472">
        <v>16300</v>
      </c>
      <c r="G472" t="s">
        <v>66</v>
      </c>
      <c r="H472">
        <v>11</v>
      </c>
    </row>
    <row r="473" spans="1:8" x14ac:dyDescent="0.3">
      <c r="A473" t="s">
        <v>105</v>
      </c>
      <c r="B473">
        <v>2020</v>
      </c>
      <c r="C473" t="s">
        <v>271</v>
      </c>
      <c r="D473" t="s">
        <v>272</v>
      </c>
      <c r="E473" t="s">
        <v>65</v>
      </c>
      <c r="F473">
        <v>16300</v>
      </c>
      <c r="G473" t="s">
        <v>66</v>
      </c>
      <c r="H473">
        <v>4</v>
      </c>
    </row>
    <row r="474" spans="1:8" x14ac:dyDescent="0.3">
      <c r="A474" t="s">
        <v>105</v>
      </c>
      <c r="B474">
        <v>2021</v>
      </c>
      <c r="C474" t="s">
        <v>271</v>
      </c>
      <c r="D474" t="s">
        <v>272</v>
      </c>
      <c r="E474" t="s">
        <v>65</v>
      </c>
      <c r="F474">
        <v>16300</v>
      </c>
      <c r="G474" t="s">
        <v>66</v>
      </c>
      <c r="H474">
        <v>16</v>
      </c>
    </row>
    <row r="475" spans="1:8" x14ac:dyDescent="0.3">
      <c r="A475" t="s">
        <v>106</v>
      </c>
      <c r="B475">
        <v>2014</v>
      </c>
      <c r="C475" t="s">
        <v>271</v>
      </c>
      <c r="D475" t="s">
        <v>272</v>
      </c>
      <c r="E475" t="s">
        <v>65</v>
      </c>
      <c r="F475">
        <v>15000</v>
      </c>
      <c r="G475" t="s">
        <v>66</v>
      </c>
      <c r="H475">
        <v>7</v>
      </c>
    </row>
    <row r="476" spans="1:8" x14ac:dyDescent="0.3">
      <c r="A476" t="s">
        <v>106</v>
      </c>
      <c r="B476">
        <v>2015</v>
      </c>
      <c r="C476" t="s">
        <v>271</v>
      </c>
      <c r="D476" t="s">
        <v>272</v>
      </c>
      <c r="E476" t="s">
        <v>65</v>
      </c>
      <c r="F476">
        <v>15000</v>
      </c>
      <c r="G476" t="s">
        <v>66</v>
      </c>
      <c r="H476">
        <v>10</v>
      </c>
    </row>
    <row r="477" spans="1:8" x14ac:dyDescent="0.3">
      <c r="A477" t="s">
        <v>106</v>
      </c>
      <c r="B477">
        <v>2016</v>
      </c>
      <c r="C477" t="s">
        <v>271</v>
      </c>
      <c r="D477" t="s">
        <v>272</v>
      </c>
      <c r="E477" t="s">
        <v>65</v>
      </c>
      <c r="F477">
        <v>15000</v>
      </c>
      <c r="G477" t="s">
        <v>66</v>
      </c>
      <c r="H477">
        <v>7</v>
      </c>
    </row>
    <row r="478" spans="1:8" x14ac:dyDescent="0.3">
      <c r="A478" t="s">
        <v>106</v>
      </c>
      <c r="B478">
        <v>2017</v>
      </c>
      <c r="C478" t="s">
        <v>271</v>
      </c>
      <c r="D478" t="s">
        <v>272</v>
      </c>
      <c r="E478" t="s">
        <v>65</v>
      </c>
      <c r="F478">
        <v>15000</v>
      </c>
      <c r="G478" t="s">
        <v>66</v>
      </c>
      <c r="H478">
        <v>8</v>
      </c>
    </row>
    <row r="479" spans="1:8" x14ac:dyDescent="0.3">
      <c r="A479" t="s">
        <v>106</v>
      </c>
      <c r="B479">
        <v>2018</v>
      </c>
      <c r="C479" t="s">
        <v>271</v>
      </c>
      <c r="D479" t="s">
        <v>272</v>
      </c>
      <c r="E479" t="s">
        <v>65</v>
      </c>
      <c r="F479">
        <v>15000</v>
      </c>
      <c r="G479" t="s">
        <v>66</v>
      </c>
      <c r="H479">
        <v>12</v>
      </c>
    </row>
    <row r="480" spans="1:8" x14ac:dyDescent="0.3">
      <c r="A480" t="s">
        <v>106</v>
      </c>
      <c r="B480">
        <v>2019</v>
      </c>
      <c r="C480" t="s">
        <v>271</v>
      </c>
      <c r="D480" t="s">
        <v>272</v>
      </c>
      <c r="E480" t="s">
        <v>65</v>
      </c>
      <c r="F480">
        <v>15000</v>
      </c>
      <c r="G480" t="s">
        <v>66</v>
      </c>
      <c r="H480">
        <v>17</v>
      </c>
    </row>
    <row r="481" spans="1:8" x14ac:dyDescent="0.3">
      <c r="A481" t="s">
        <v>106</v>
      </c>
      <c r="B481">
        <v>2020</v>
      </c>
      <c r="C481" t="s">
        <v>271</v>
      </c>
      <c r="D481" t="s">
        <v>272</v>
      </c>
      <c r="E481" t="s">
        <v>65</v>
      </c>
      <c r="F481">
        <v>15000</v>
      </c>
      <c r="G481" t="s">
        <v>66</v>
      </c>
      <c r="H481">
        <v>5</v>
      </c>
    </row>
    <row r="482" spans="1:8" x14ac:dyDescent="0.3">
      <c r="A482" t="s">
        <v>106</v>
      </c>
      <c r="B482">
        <v>2021</v>
      </c>
      <c r="C482" t="s">
        <v>271</v>
      </c>
      <c r="D482" t="s">
        <v>272</v>
      </c>
      <c r="E482" t="s">
        <v>65</v>
      </c>
      <c r="F482">
        <v>15000</v>
      </c>
      <c r="G482" t="s">
        <v>66</v>
      </c>
      <c r="H482">
        <v>15</v>
      </c>
    </row>
    <row r="483" spans="1:8" x14ac:dyDescent="0.3">
      <c r="A483" t="s">
        <v>107</v>
      </c>
      <c r="B483">
        <v>2014</v>
      </c>
      <c r="C483" t="s">
        <v>271</v>
      </c>
      <c r="D483" t="s">
        <v>272</v>
      </c>
      <c r="E483" t="s">
        <v>65</v>
      </c>
      <c r="F483">
        <v>22002</v>
      </c>
      <c r="G483" t="s">
        <v>72</v>
      </c>
      <c r="H483">
        <v>3</v>
      </c>
    </row>
    <row r="484" spans="1:8" x14ac:dyDescent="0.3">
      <c r="A484" t="s">
        <v>107</v>
      </c>
      <c r="B484">
        <v>2015</v>
      </c>
      <c r="C484" t="s">
        <v>271</v>
      </c>
      <c r="D484" t="s">
        <v>272</v>
      </c>
      <c r="E484" t="s">
        <v>65</v>
      </c>
      <c r="F484">
        <v>22002</v>
      </c>
      <c r="G484" t="s">
        <v>72</v>
      </c>
      <c r="H484">
        <v>3</v>
      </c>
    </row>
    <row r="485" spans="1:8" x14ac:dyDescent="0.3">
      <c r="A485" t="s">
        <v>107</v>
      </c>
      <c r="B485">
        <v>2016</v>
      </c>
      <c r="C485" t="s">
        <v>271</v>
      </c>
      <c r="D485" t="s">
        <v>272</v>
      </c>
      <c r="E485" t="s">
        <v>65</v>
      </c>
      <c r="F485">
        <v>22002</v>
      </c>
      <c r="G485" t="s">
        <v>72</v>
      </c>
      <c r="H485">
        <v>1</v>
      </c>
    </row>
    <row r="486" spans="1:8" x14ac:dyDescent="0.3">
      <c r="A486" t="s">
        <v>107</v>
      </c>
      <c r="B486">
        <v>2018</v>
      </c>
      <c r="C486" t="s">
        <v>271</v>
      </c>
      <c r="D486" t="s">
        <v>272</v>
      </c>
      <c r="E486" t="s">
        <v>65</v>
      </c>
      <c r="F486">
        <v>22002</v>
      </c>
      <c r="G486" t="s">
        <v>72</v>
      </c>
      <c r="H486">
        <v>2</v>
      </c>
    </row>
    <row r="487" spans="1:8" x14ac:dyDescent="0.3">
      <c r="A487" t="s">
        <v>107</v>
      </c>
      <c r="B487">
        <v>2019</v>
      </c>
      <c r="C487" t="s">
        <v>271</v>
      </c>
      <c r="D487" t="s">
        <v>272</v>
      </c>
      <c r="E487" t="s">
        <v>65</v>
      </c>
      <c r="F487">
        <v>22002</v>
      </c>
      <c r="G487" t="s">
        <v>72</v>
      </c>
      <c r="H487">
        <v>1</v>
      </c>
    </row>
    <row r="488" spans="1:8" x14ac:dyDescent="0.3">
      <c r="A488" t="s">
        <v>107</v>
      </c>
      <c r="B488">
        <v>2021</v>
      </c>
      <c r="C488" t="s">
        <v>271</v>
      </c>
      <c r="D488" t="s">
        <v>272</v>
      </c>
      <c r="E488" t="s">
        <v>65</v>
      </c>
      <c r="F488">
        <v>22002</v>
      </c>
      <c r="G488" t="s">
        <v>72</v>
      </c>
      <c r="H488">
        <v>2</v>
      </c>
    </row>
    <row r="489" spans="1:8" x14ac:dyDescent="0.3">
      <c r="A489" t="s">
        <v>198</v>
      </c>
      <c r="B489">
        <v>2014</v>
      </c>
      <c r="C489" t="s">
        <v>271</v>
      </c>
      <c r="D489" t="s">
        <v>272</v>
      </c>
      <c r="E489" t="s">
        <v>65</v>
      </c>
      <c r="F489">
        <v>30000</v>
      </c>
      <c r="G489" t="s">
        <v>72</v>
      </c>
      <c r="H489">
        <v>3</v>
      </c>
    </row>
    <row r="490" spans="1:8" x14ac:dyDescent="0.3">
      <c r="A490" t="s">
        <v>198</v>
      </c>
      <c r="B490">
        <v>2015</v>
      </c>
      <c r="C490" t="s">
        <v>271</v>
      </c>
      <c r="D490" t="s">
        <v>272</v>
      </c>
      <c r="E490" t="s">
        <v>65</v>
      </c>
      <c r="F490">
        <v>30000</v>
      </c>
      <c r="G490" t="s">
        <v>72</v>
      </c>
      <c r="H490">
        <v>4</v>
      </c>
    </row>
    <row r="491" spans="1:8" x14ac:dyDescent="0.3">
      <c r="A491" t="s">
        <v>198</v>
      </c>
      <c r="B491">
        <v>2016</v>
      </c>
      <c r="C491" t="s">
        <v>271</v>
      </c>
      <c r="D491" t="s">
        <v>272</v>
      </c>
      <c r="E491" t="s">
        <v>65</v>
      </c>
      <c r="F491">
        <v>30000</v>
      </c>
      <c r="G491" t="s">
        <v>72</v>
      </c>
      <c r="H491">
        <v>23</v>
      </c>
    </row>
    <row r="492" spans="1:8" x14ac:dyDescent="0.3">
      <c r="A492" t="s">
        <v>198</v>
      </c>
      <c r="B492">
        <v>2017</v>
      </c>
      <c r="C492" t="s">
        <v>271</v>
      </c>
      <c r="D492" t="s">
        <v>272</v>
      </c>
      <c r="E492" t="s">
        <v>65</v>
      </c>
      <c r="F492">
        <v>30000</v>
      </c>
      <c r="G492" t="s">
        <v>72</v>
      </c>
      <c r="H492">
        <v>11</v>
      </c>
    </row>
    <row r="493" spans="1:8" x14ac:dyDescent="0.3">
      <c r="A493" t="s">
        <v>198</v>
      </c>
      <c r="B493">
        <v>2018</v>
      </c>
      <c r="C493" t="s">
        <v>271</v>
      </c>
      <c r="D493" t="s">
        <v>272</v>
      </c>
      <c r="E493" t="s">
        <v>65</v>
      </c>
      <c r="F493">
        <v>30000</v>
      </c>
      <c r="G493" t="s">
        <v>72</v>
      </c>
      <c r="H493">
        <v>6</v>
      </c>
    </row>
    <row r="494" spans="1:8" x14ac:dyDescent="0.3">
      <c r="A494" t="s">
        <v>198</v>
      </c>
      <c r="B494">
        <v>2019</v>
      </c>
      <c r="C494" t="s">
        <v>271</v>
      </c>
      <c r="D494" t="s">
        <v>272</v>
      </c>
      <c r="E494" t="s">
        <v>65</v>
      </c>
      <c r="F494">
        <v>30000</v>
      </c>
      <c r="G494" t="s">
        <v>72</v>
      </c>
      <c r="H494">
        <v>5</v>
      </c>
    </row>
    <row r="495" spans="1:8" x14ac:dyDescent="0.3">
      <c r="A495" t="s">
        <v>198</v>
      </c>
      <c r="B495">
        <v>2021</v>
      </c>
      <c r="C495" t="s">
        <v>271</v>
      </c>
      <c r="D495" t="s">
        <v>272</v>
      </c>
      <c r="E495" t="s">
        <v>65</v>
      </c>
      <c r="F495">
        <v>30000</v>
      </c>
      <c r="G495" t="s">
        <v>72</v>
      </c>
      <c r="H495">
        <v>7</v>
      </c>
    </row>
    <row r="496" spans="1:8" x14ac:dyDescent="0.3">
      <c r="A496" t="s">
        <v>199</v>
      </c>
      <c r="B496">
        <v>2019</v>
      </c>
      <c r="C496" t="s">
        <v>271</v>
      </c>
      <c r="D496" t="s">
        <v>272</v>
      </c>
      <c r="E496" t="s">
        <v>65</v>
      </c>
      <c r="F496">
        <v>30800</v>
      </c>
      <c r="G496" t="s">
        <v>72</v>
      </c>
      <c r="H496">
        <v>1</v>
      </c>
    </row>
    <row r="497" spans="1:8" x14ac:dyDescent="0.3">
      <c r="A497" t="s">
        <v>199</v>
      </c>
      <c r="B497">
        <v>2021</v>
      </c>
      <c r="C497" t="s">
        <v>271</v>
      </c>
      <c r="D497" t="s">
        <v>272</v>
      </c>
      <c r="E497" t="s">
        <v>65</v>
      </c>
      <c r="F497">
        <v>30800</v>
      </c>
      <c r="G497" t="s">
        <v>72</v>
      </c>
      <c r="H497">
        <v>1</v>
      </c>
    </row>
    <row r="498" spans="1:8" x14ac:dyDescent="0.3">
      <c r="A498" t="s">
        <v>200</v>
      </c>
      <c r="B498">
        <v>2015</v>
      </c>
      <c r="C498" t="s">
        <v>271</v>
      </c>
      <c r="D498" t="s">
        <v>272</v>
      </c>
      <c r="E498" t="s">
        <v>65</v>
      </c>
      <c r="F498">
        <v>35699</v>
      </c>
      <c r="G498" t="s">
        <v>66</v>
      </c>
      <c r="H498">
        <v>2</v>
      </c>
    </row>
    <row r="499" spans="1:8" x14ac:dyDescent="0.3">
      <c r="A499" t="s">
        <v>200</v>
      </c>
      <c r="B499">
        <v>2016</v>
      </c>
      <c r="C499" t="s">
        <v>271</v>
      </c>
      <c r="D499" t="s">
        <v>272</v>
      </c>
      <c r="E499" t="s">
        <v>65</v>
      </c>
      <c r="F499">
        <v>35699</v>
      </c>
      <c r="G499" t="s">
        <v>66</v>
      </c>
      <c r="H499">
        <v>2</v>
      </c>
    </row>
    <row r="500" spans="1:8" x14ac:dyDescent="0.3">
      <c r="A500" t="s">
        <v>200</v>
      </c>
      <c r="B500">
        <v>2017</v>
      </c>
      <c r="C500" t="s">
        <v>271</v>
      </c>
      <c r="D500" t="s">
        <v>272</v>
      </c>
      <c r="E500" t="s">
        <v>65</v>
      </c>
      <c r="F500">
        <v>35699</v>
      </c>
      <c r="G500" t="s">
        <v>66</v>
      </c>
      <c r="H500">
        <v>6</v>
      </c>
    </row>
    <row r="501" spans="1:8" x14ac:dyDescent="0.3">
      <c r="A501" t="s">
        <v>200</v>
      </c>
      <c r="B501">
        <v>2018</v>
      </c>
      <c r="C501" t="s">
        <v>271</v>
      </c>
      <c r="D501" t="s">
        <v>272</v>
      </c>
      <c r="E501" t="s">
        <v>65</v>
      </c>
      <c r="F501">
        <v>35699</v>
      </c>
      <c r="G501" t="s">
        <v>66</v>
      </c>
      <c r="H501">
        <v>4</v>
      </c>
    </row>
    <row r="502" spans="1:8" x14ac:dyDescent="0.3">
      <c r="A502" t="s">
        <v>200</v>
      </c>
      <c r="B502">
        <v>2019</v>
      </c>
      <c r="C502" t="s">
        <v>271</v>
      </c>
      <c r="D502" t="s">
        <v>272</v>
      </c>
      <c r="E502" t="s">
        <v>65</v>
      </c>
      <c r="F502">
        <v>35699</v>
      </c>
      <c r="G502" t="s">
        <v>66</v>
      </c>
      <c r="H502">
        <v>8</v>
      </c>
    </row>
    <row r="503" spans="1:8" x14ac:dyDescent="0.3">
      <c r="A503" t="s">
        <v>200</v>
      </c>
      <c r="B503">
        <v>2020</v>
      </c>
      <c r="C503" t="s">
        <v>271</v>
      </c>
      <c r="D503" t="s">
        <v>272</v>
      </c>
      <c r="E503" t="s">
        <v>65</v>
      </c>
      <c r="F503">
        <v>35699</v>
      </c>
      <c r="G503" t="s">
        <v>66</v>
      </c>
      <c r="H503">
        <v>1</v>
      </c>
    </row>
    <row r="504" spans="1:8" x14ac:dyDescent="0.3">
      <c r="A504" t="s">
        <v>200</v>
      </c>
      <c r="B504">
        <v>2021</v>
      </c>
      <c r="C504" t="s">
        <v>271</v>
      </c>
      <c r="D504" t="s">
        <v>272</v>
      </c>
      <c r="E504" t="s">
        <v>65</v>
      </c>
      <c r="F504">
        <v>35699</v>
      </c>
      <c r="G504" t="s">
        <v>66</v>
      </c>
      <c r="H504">
        <v>5</v>
      </c>
    </row>
    <row r="505" spans="1:8" x14ac:dyDescent="0.3">
      <c r="A505" t="s">
        <v>201</v>
      </c>
      <c r="B505">
        <v>2016</v>
      </c>
      <c r="C505" t="s">
        <v>271</v>
      </c>
      <c r="D505" t="s">
        <v>272</v>
      </c>
      <c r="E505" t="s">
        <v>65</v>
      </c>
      <c r="F505">
        <v>1300</v>
      </c>
      <c r="G505" t="s">
        <v>66</v>
      </c>
      <c r="H505">
        <v>1</v>
      </c>
    </row>
    <row r="506" spans="1:8" x14ac:dyDescent="0.3">
      <c r="A506" t="s">
        <v>201</v>
      </c>
      <c r="B506">
        <v>2018</v>
      </c>
      <c r="C506" t="s">
        <v>271</v>
      </c>
      <c r="D506" t="s">
        <v>272</v>
      </c>
      <c r="E506" t="s">
        <v>65</v>
      </c>
      <c r="F506">
        <v>1300</v>
      </c>
      <c r="G506" t="s">
        <v>66</v>
      </c>
      <c r="H506">
        <v>1</v>
      </c>
    </row>
    <row r="507" spans="1:8" x14ac:dyDescent="0.3">
      <c r="A507" t="s">
        <v>108</v>
      </c>
      <c r="B507">
        <v>2014</v>
      </c>
      <c r="C507" t="s">
        <v>271</v>
      </c>
      <c r="D507" t="s">
        <v>272</v>
      </c>
      <c r="E507" t="s">
        <v>65</v>
      </c>
      <c r="F507">
        <v>37478</v>
      </c>
      <c r="G507" t="s">
        <v>72</v>
      </c>
      <c r="H507">
        <v>5</v>
      </c>
    </row>
    <row r="508" spans="1:8" x14ac:dyDescent="0.3">
      <c r="A508" t="s">
        <v>108</v>
      </c>
      <c r="B508">
        <v>2015</v>
      </c>
      <c r="C508" t="s">
        <v>271</v>
      </c>
      <c r="D508" t="s">
        <v>272</v>
      </c>
      <c r="E508" t="s">
        <v>65</v>
      </c>
      <c r="F508">
        <v>37478</v>
      </c>
      <c r="G508" t="s">
        <v>72</v>
      </c>
      <c r="H508">
        <v>2</v>
      </c>
    </row>
    <row r="509" spans="1:8" x14ac:dyDescent="0.3">
      <c r="A509" t="s">
        <v>108</v>
      </c>
      <c r="B509">
        <v>2016</v>
      </c>
      <c r="C509" t="s">
        <v>271</v>
      </c>
      <c r="D509" t="s">
        <v>272</v>
      </c>
      <c r="E509" t="s">
        <v>65</v>
      </c>
      <c r="F509">
        <v>37478</v>
      </c>
      <c r="G509" t="s">
        <v>72</v>
      </c>
      <c r="H509">
        <v>2</v>
      </c>
    </row>
    <row r="510" spans="1:8" x14ac:dyDescent="0.3">
      <c r="A510" t="s">
        <v>108</v>
      </c>
      <c r="B510">
        <v>2017</v>
      </c>
      <c r="C510" t="s">
        <v>271</v>
      </c>
      <c r="D510" t="s">
        <v>272</v>
      </c>
      <c r="E510" t="s">
        <v>65</v>
      </c>
      <c r="F510">
        <v>37478</v>
      </c>
      <c r="G510" t="s">
        <v>72</v>
      </c>
      <c r="H510">
        <v>1</v>
      </c>
    </row>
    <row r="511" spans="1:8" x14ac:dyDescent="0.3">
      <c r="A511" t="s">
        <v>108</v>
      </c>
      <c r="B511">
        <v>2018</v>
      </c>
      <c r="C511" t="s">
        <v>271</v>
      </c>
      <c r="D511" t="s">
        <v>272</v>
      </c>
      <c r="E511" t="s">
        <v>65</v>
      </c>
      <c r="F511">
        <v>37478</v>
      </c>
      <c r="G511" t="s">
        <v>72</v>
      </c>
      <c r="H511">
        <v>8</v>
      </c>
    </row>
    <row r="512" spans="1:8" x14ac:dyDescent="0.3">
      <c r="A512" t="s">
        <v>108</v>
      </c>
      <c r="B512">
        <v>2019</v>
      </c>
      <c r="C512" t="s">
        <v>271</v>
      </c>
      <c r="D512" t="s">
        <v>272</v>
      </c>
      <c r="E512" t="s">
        <v>65</v>
      </c>
      <c r="F512">
        <v>37478</v>
      </c>
      <c r="G512" t="s">
        <v>72</v>
      </c>
      <c r="H512">
        <v>14</v>
      </c>
    </row>
    <row r="513" spans="1:8" x14ac:dyDescent="0.3">
      <c r="A513" t="s">
        <v>108</v>
      </c>
      <c r="B513">
        <v>2020</v>
      </c>
      <c r="C513" t="s">
        <v>271</v>
      </c>
      <c r="D513" t="s">
        <v>272</v>
      </c>
      <c r="E513" t="s">
        <v>65</v>
      </c>
      <c r="F513">
        <v>37478</v>
      </c>
      <c r="G513" t="s">
        <v>72</v>
      </c>
      <c r="H513">
        <v>1</v>
      </c>
    </row>
    <row r="514" spans="1:8" x14ac:dyDescent="0.3">
      <c r="A514" t="s">
        <v>108</v>
      </c>
      <c r="B514">
        <v>2021</v>
      </c>
      <c r="C514" t="s">
        <v>271</v>
      </c>
      <c r="D514" t="s">
        <v>272</v>
      </c>
      <c r="E514" t="s">
        <v>65</v>
      </c>
      <c r="F514">
        <v>37478</v>
      </c>
      <c r="G514" t="s">
        <v>72</v>
      </c>
      <c r="H514">
        <v>4</v>
      </c>
    </row>
    <row r="515" spans="1:8" x14ac:dyDescent="0.3">
      <c r="A515" t="s">
        <v>202</v>
      </c>
      <c r="B515">
        <v>2018</v>
      </c>
      <c r="C515" t="s">
        <v>271</v>
      </c>
      <c r="D515" t="s">
        <v>272</v>
      </c>
      <c r="E515" t="s">
        <v>65</v>
      </c>
      <c r="F515">
        <v>40600</v>
      </c>
      <c r="G515" t="s">
        <v>72</v>
      </c>
      <c r="H515">
        <v>2</v>
      </c>
    </row>
    <row r="516" spans="1:8" x14ac:dyDescent="0.3">
      <c r="A516" t="s">
        <v>202</v>
      </c>
      <c r="B516">
        <v>2019</v>
      </c>
      <c r="C516" t="s">
        <v>271</v>
      </c>
      <c r="D516" t="s">
        <v>272</v>
      </c>
      <c r="E516" t="s">
        <v>65</v>
      </c>
      <c r="F516">
        <v>40600</v>
      </c>
      <c r="G516" t="s">
        <v>72</v>
      </c>
      <c r="H516">
        <v>6</v>
      </c>
    </row>
    <row r="517" spans="1:8" x14ac:dyDescent="0.3">
      <c r="A517" t="s">
        <v>202</v>
      </c>
      <c r="B517">
        <v>2020</v>
      </c>
      <c r="C517" t="s">
        <v>271</v>
      </c>
      <c r="D517" t="s">
        <v>272</v>
      </c>
      <c r="E517" t="s">
        <v>65</v>
      </c>
      <c r="F517">
        <v>40600</v>
      </c>
      <c r="G517" t="s">
        <v>72</v>
      </c>
      <c r="H517">
        <v>3</v>
      </c>
    </row>
    <row r="518" spans="1:8" x14ac:dyDescent="0.3">
      <c r="A518" t="s">
        <v>202</v>
      </c>
      <c r="B518">
        <v>2021</v>
      </c>
      <c r="C518" t="s">
        <v>271</v>
      </c>
      <c r="D518" t="s">
        <v>272</v>
      </c>
      <c r="E518" t="s">
        <v>65</v>
      </c>
      <c r="F518">
        <v>40600</v>
      </c>
      <c r="G518" t="s">
        <v>72</v>
      </c>
      <c r="H518">
        <v>1</v>
      </c>
    </row>
    <row r="519" spans="1:8" x14ac:dyDescent="0.3">
      <c r="A519" t="s">
        <v>203</v>
      </c>
      <c r="B519">
        <v>2014</v>
      </c>
      <c r="C519" t="s">
        <v>271</v>
      </c>
      <c r="D519" t="s">
        <v>272</v>
      </c>
      <c r="E519" t="s">
        <v>65</v>
      </c>
      <c r="F519">
        <v>48200</v>
      </c>
      <c r="G519" t="s">
        <v>72</v>
      </c>
      <c r="H519">
        <v>8</v>
      </c>
    </row>
    <row r="520" spans="1:8" x14ac:dyDescent="0.3">
      <c r="A520" t="s">
        <v>203</v>
      </c>
      <c r="B520">
        <v>2015</v>
      </c>
      <c r="C520" t="s">
        <v>271</v>
      </c>
      <c r="D520" t="s">
        <v>272</v>
      </c>
      <c r="E520" t="s">
        <v>65</v>
      </c>
      <c r="F520">
        <v>48200</v>
      </c>
      <c r="G520" t="s">
        <v>72</v>
      </c>
      <c r="H520">
        <v>7</v>
      </c>
    </row>
    <row r="521" spans="1:8" x14ac:dyDescent="0.3">
      <c r="A521" t="s">
        <v>203</v>
      </c>
      <c r="B521">
        <v>2016</v>
      </c>
      <c r="C521" t="s">
        <v>271</v>
      </c>
      <c r="D521" t="s">
        <v>272</v>
      </c>
      <c r="E521" t="s">
        <v>65</v>
      </c>
      <c r="F521">
        <v>48200</v>
      </c>
      <c r="G521" t="s">
        <v>72</v>
      </c>
      <c r="H521">
        <v>10</v>
      </c>
    </row>
    <row r="522" spans="1:8" x14ac:dyDescent="0.3">
      <c r="A522" t="s">
        <v>203</v>
      </c>
      <c r="B522">
        <v>2017</v>
      </c>
      <c r="C522" t="s">
        <v>271</v>
      </c>
      <c r="D522" t="s">
        <v>272</v>
      </c>
      <c r="E522" t="s">
        <v>65</v>
      </c>
      <c r="F522">
        <v>48200</v>
      </c>
      <c r="G522" t="s">
        <v>72</v>
      </c>
      <c r="H522">
        <v>2</v>
      </c>
    </row>
    <row r="523" spans="1:8" x14ac:dyDescent="0.3">
      <c r="A523" t="s">
        <v>203</v>
      </c>
      <c r="B523">
        <v>2018</v>
      </c>
      <c r="C523" t="s">
        <v>271</v>
      </c>
      <c r="D523" t="s">
        <v>272</v>
      </c>
      <c r="E523" t="s">
        <v>65</v>
      </c>
      <c r="F523">
        <v>48200</v>
      </c>
      <c r="G523" t="s">
        <v>72</v>
      </c>
      <c r="H523">
        <v>7</v>
      </c>
    </row>
    <row r="524" spans="1:8" x14ac:dyDescent="0.3">
      <c r="A524" t="s">
        <v>203</v>
      </c>
      <c r="B524">
        <v>2019</v>
      </c>
      <c r="C524" t="s">
        <v>271</v>
      </c>
      <c r="D524" t="s">
        <v>272</v>
      </c>
      <c r="E524" t="s">
        <v>65</v>
      </c>
      <c r="F524">
        <v>48200</v>
      </c>
      <c r="G524" t="s">
        <v>72</v>
      </c>
      <c r="H524">
        <v>3</v>
      </c>
    </row>
    <row r="525" spans="1:8" x14ac:dyDescent="0.3">
      <c r="A525" t="s">
        <v>203</v>
      </c>
      <c r="B525">
        <v>2020</v>
      </c>
      <c r="C525" t="s">
        <v>271</v>
      </c>
      <c r="D525" t="s">
        <v>272</v>
      </c>
      <c r="E525" t="s">
        <v>65</v>
      </c>
      <c r="F525">
        <v>48200</v>
      </c>
      <c r="G525" t="s">
        <v>72</v>
      </c>
      <c r="H525">
        <v>2</v>
      </c>
    </row>
    <row r="526" spans="1:8" x14ac:dyDescent="0.3">
      <c r="A526" t="s">
        <v>203</v>
      </c>
      <c r="B526">
        <v>2021</v>
      </c>
      <c r="C526" t="s">
        <v>271</v>
      </c>
      <c r="D526" t="s">
        <v>272</v>
      </c>
      <c r="E526" t="s">
        <v>65</v>
      </c>
      <c r="F526">
        <v>48200</v>
      </c>
      <c r="G526" t="s">
        <v>72</v>
      </c>
      <c r="H526">
        <v>6</v>
      </c>
    </row>
    <row r="527" spans="1:8" x14ac:dyDescent="0.3">
      <c r="A527" t="s">
        <v>109</v>
      </c>
      <c r="B527">
        <v>2014</v>
      </c>
      <c r="C527" t="s">
        <v>271</v>
      </c>
      <c r="D527" t="s">
        <v>272</v>
      </c>
      <c r="E527" t="s">
        <v>65</v>
      </c>
      <c r="F527">
        <v>3600</v>
      </c>
      <c r="G527" t="s">
        <v>66</v>
      </c>
      <c r="H527">
        <v>1</v>
      </c>
    </row>
    <row r="528" spans="1:8" x14ac:dyDescent="0.3">
      <c r="A528" t="s">
        <v>109</v>
      </c>
      <c r="B528">
        <v>2015</v>
      </c>
      <c r="C528" t="s">
        <v>271</v>
      </c>
      <c r="D528" t="s">
        <v>272</v>
      </c>
      <c r="E528" t="s">
        <v>65</v>
      </c>
      <c r="F528">
        <v>3600</v>
      </c>
      <c r="G528" t="s">
        <v>66</v>
      </c>
      <c r="H528">
        <v>1</v>
      </c>
    </row>
    <row r="529" spans="1:8" x14ac:dyDescent="0.3">
      <c r="A529" t="s">
        <v>109</v>
      </c>
      <c r="B529">
        <v>2017</v>
      </c>
      <c r="C529" t="s">
        <v>271</v>
      </c>
      <c r="D529" t="s">
        <v>272</v>
      </c>
      <c r="E529" t="s">
        <v>65</v>
      </c>
      <c r="F529">
        <v>3600</v>
      </c>
      <c r="G529" t="s">
        <v>66</v>
      </c>
      <c r="H529">
        <v>1</v>
      </c>
    </row>
    <row r="530" spans="1:8" x14ac:dyDescent="0.3">
      <c r="A530" t="s">
        <v>109</v>
      </c>
      <c r="B530">
        <v>2018</v>
      </c>
      <c r="C530" t="s">
        <v>271</v>
      </c>
      <c r="D530" t="s">
        <v>272</v>
      </c>
      <c r="E530" t="s">
        <v>65</v>
      </c>
      <c r="F530">
        <v>3600</v>
      </c>
      <c r="G530" t="s">
        <v>66</v>
      </c>
      <c r="H530">
        <v>1</v>
      </c>
    </row>
    <row r="531" spans="1:8" x14ac:dyDescent="0.3">
      <c r="A531" t="s">
        <v>204</v>
      </c>
      <c r="B531">
        <v>2019</v>
      </c>
      <c r="C531" t="s">
        <v>271</v>
      </c>
      <c r="D531" t="s">
        <v>272</v>
      </c>
      <c r="E531" t="s">
        <v>65</v>
      </c>
      <c r="F531">
        <v>53000</v>
      </c>
      <c r="G531" t="s">
        <v>72</v>
      </c>
      <c r="H531">
        <v>1</v>
      </c>
    </row>
    <row r="532" spans="1:8" x14ac:dyDescent="0.3">
      <c r="A532" t="s">
        <v>294</v>
      </c>
      <c r="B532">
        <v>2014</v>
      </c>
      <c r="C532" t="s">
        <v>271</v>
      </c>
      <c r="D532" t="s">
        <v>272</v>
      </c>
      <c r="E532" t="s">
        <v>65</v>
      </c>
      <c r="F532">
        <v>57000</v>
      </c>
      <c r="G532" t="s">
        <v>72</v>
      </c>
      <c r="H532">
        <v>5</v>
      </c>
    </row>
    <row r="533" spans="1:8" x14ac:dyDescent="0.3">
      <c r="A533" t="s">
        <v>294</v>
      </c>
      <c r="B533">
        <v>2015</v>
      </c>
      <c r="C533" t="s">
        <v>271</v>
      </c>
      <c r="D533" t="s">
        <v>272</v>
      </c>
      <c r="E533" t="s">
        <v>65</v>
      </c>
      <c r="F533">
        <v>57000</v>
      </c>
      <c r="G533" t="s">
        <v>72</v>
      </c>
      <c r="H533">
        <v>10</v>
      </c>
    </row>
    <row r="534" spans="1:8" x14ac:dyDescent="0.3">
      <c r="A534" t="s">
        <v>294</v>
      </c>
      <c r="B534">
        <v>2016</v>
      </c>
      <c r="C534" t="s">
        <v>271</v>
      </c>
      <c r="D534" t="s">
        <v>272</v>
      </c>
      <c r="E534" t="s">
        <v>65</v>
      </c>
      <c r="F534">
        <v>57000</v>
      </c>
      <c r="G534" t="s">
        <v>72</v>
      </c>
      <c r="H534">
        <v>6</v>
      </c>
    </row>
    <row r="535" spans="1:8" x14ac:dyDescent="0.3">
      <c r="A535" t="s">
        <v>294</v>
      </c>
      <c r="B535">
        <v>2017</v>
      </c>
      <c r="C535" t="s">
        <v>271</v>
      </c>
      <c r="D535" t="s">
        <v>272</v>
      </c>
      <c r="E535" t="s">
        <v>65</v>
      </c>
      <c r="F535">
        <v>57000</v>
      </c>
      <c r="G535" t="s">
        <v>72</v>
      </c>
      <c r="H535">
        <v>11</v>
      </c>
    </row>
    <row r="536" spans="1:8" x14ac:dyDescent="0.3">
      <c r="A536" t="s">
        <v>294</v>
      </c>
      <c r="B536">
        <v>2018</v>
      </c>
      <c r="C536" t="s">
        <v>271</v>
      </c>
      <c r="D536" t="s">
        <v>272</v>
      </c>
      <c r="E536" t="s">
        <v>65</v>
      </c>
      <c r="F536">
        <v>57000</v>
      </c>
      <c r="G536" t="s">
        <v>72</v>
      </c>
      <c r="H536">
        <v>1</v>
      </c>
    </row>
    <row r="537" spans="1:8" x14ac:dyDescent="0.3">
      <c r="A537" t="s">
        <v>294</v>
      </c>
      <c r="B537">
        <v>2020</v>
      </c>
      <c r="C537" t="s">
        <v>271</v>
      </c>
      <c r="D537" t="s">
        <v>272</v>
      </c>
      <c r="E537" t="s">
        <v>65</v>
      </c>
      <c r="F537">
        <v>57000</v>
      </c>
      <c r="G537" t="s">
        <v>72</v>
      </c>
      <c r="H537">
        <v>40</v>
      </c>
    </row>
    <row r="538" spans="1:8" x14ac:dyDescent="0.3">
      <c r="A538" t="s">
        <v>294</v>
      </c>
      <c r="B538">
        <v>2021</v>
      </c>
      <c r="C538" t="s">
        <v>271</v>
      </c>
      <c r="D538" t="s">
        <v>272</v>
      </c>
      <c r="E538" t="s">
        <v>65</v>
      </c>
      <c r="F538">
        <v>57000</v>
      </c>
      <c r="G538" t="s">
        <v>72</v>
      </c>
      <c r="H538">
        <v>21</v>
      </c>
    </row>
    <row r="539" spans="1:8" x14ac:dyDescent="0.3">
      <c r="A539" t="s">
        <v>206</v>
      </c>
      <c r="B539">
        <v>2014</v>
      </c>
      <c r="C539" t="s">
        <v>271</v>
      </c>
      <c r="D539" t="s">
        <v>272</v>
      </c>
      <c r="E539" t="s">
        <v>65</v>
      </c>
      <c r="F539">
        <v>30842</v>
      </c>
      <c r="G539" t="s">
        <v>72</v>
      </c>
      <c r="H539">
        <v>9</v>
      </c>
    </row>
    <row r="540" spans="1:8" x14ac:dyDescent="0.3">
      <c r="A540" t="s">
        <v>206</v>
      </c>
      <c r="B540">
        <v>2015</v>
      </c>
      <c r="C540" t="s">
        <v>271</v>
      </c>
      <c r="D540" t="s">
        <v>272</v>
      </c>
      <c r="E540" t="s">
        <v>65</v>
      </c>
      <c r="F540">
        <v>30842</v>
      </c>
      <c r="G540" t="s">
        <v>72</v>
      </c>
      <c r="H540">
        <v>5</v>
      </c>
    </row>
    <row r="541" spans="1:8" x14ac:dyDescent="0.3">
      <c r="A541" t="s">
        <v>206</v>
      </c>
      <c r="B541">
        <v>2016</v>
      </c>
      <c r="C541" t="s">
        <v>271</v>
      </c>
      <c r="D541" t="s">
        <v>272</v>
      </c>
      <c r="E541" t="s">
        <v>65</v>
      </c>
      <c r="F541">
        <v>30842</v>
      </c>
      <c r="G541" t="s">
        <v>72</v>
      </c>
      <c r="H541">
        <v>4</v>
      </c>
    </row>
    <row r="542" spans="1:8" x14ac:dyDescent="0.3">
      <c r="A542" t="s">
        <v>206</v>
      </c>
      <c r="B542">
        <v>2017</v>
      </c>
      <c r="C542" t="s">
        <v>271</v>
      </c>
      <c r="D542" t="s">
        <v>272</v>
      </c>
      <c r="E542" t="s">
        <v>65</v>
      </c>
      <c r="F542">
        <v>30842</v>
      </c>
      <c r="G542" t="s">
        <v>72</v>
      </c>
      <c r="H542">
        <v>1</v>
      </c>
    </row>
    <row r="543" spans="1:8" x14ac:dyDescent="0.3">
      <c r="A543" t="s">
        <v>112</v>
      </c>
      <c r="B543">
        <v>2014</v>
      </c>
      <c r="C543" t="s">
        <v>271</v>
      </c>
      <c r="D543" t="s">
        <v>272</v>
      </c>
      <c r="E543" t="s">
        <v>65</v>
      </c>
      <c r="F543">
        <v>2888</v>
      </c>
      <c r="G543" t="s">
        <v>66</v>
      </c>
      <c r="H543">
        <v>3</v>
      </c>
    </row>
    <row r="544" spans="1:8" x14ac:dyDescent="0.3">
      <c r="A544" t="s">
        <v>112</v>
      </c>
      <c r="B544">
        <v>2015</v>
      </c>
      <c r="C544" t="s">
        <v>271</v>
      </c>
      <c r="D544" t="s">
        <v>272</v>
      </c>
      <c r="E544" t="s">
        <v>65</v>
      </c>
      <c r="F544">
        <v>2888</v>
      </c>
      <c r="G544" t="s">
        <v>66</v>
      </c>
      <c r="H544">
        <v>3</v>
      </c>
    </row>
    <row r="545" spans="1:8" x14ac:dyDescent="0.3">
      <c r="A545" t="s">
        <v>112</v>
      </c>
      <c r="B545">
        <v>2016</v>
      </c>
      <c r="C545" t="s">
        <v>271</v>
      </c>
      <c r="D545" t="s">
        <v>272</v>
      </c>
      <c r="E545" t="s">
        <v>65</v>
      </c>
      <c r="F545">
        <v>2888</v>
      </c>
      <c r="G545" t="s">
        <v>66</v>
      </c>
      <c r="H545">
        <v>1</v>
      </c>
    </row>
    <row r="546" spans="1:8" x14ac:dyDescent="0.3">
      <c r="A546" t="s">
        <v>112</v>
      </c>
      <c r="B546">
        <v>2018</v>
      </c>
      <c r="C546" t="s">
        <v>271</v>
      </c>
      <c r="D546" t="s">
        <v>272</v>
      </c>
      <c r="E546" t="s">
        <v>65</v>
      </c>
      <c r="F546">
        <v>2888</v>
      </c>
      <c r="G546" t="s">
        <v>66</v>
      </c>
      <c r="H546">
        <v>2</v>
      </c>
    </row>
    <row r="547" spans="1:8" x14ac:dyDescent="0.3">
      <c r="A547" t="s">
        <v>112</v>
      </c>
      <c r="B547">
        <v>2020</v>
      </c>
      <c r="C547" t="s">
        <v>271</v>
      </c>
      <c r="D547" t="s">
        <v>272</v>
      </c>
      <c r="E547" t="s">
        <v>65</v>
      </c>
      <c r="F547">
        <v>2888</v>
      </c>
      <c r="G547" t="s">
        <v>66</v>
      </c>
      <c r="H547">
        <v>1</v>
      </c>
    </row>
    <row r="548" spans="1:8" x14ac:dyDescent="0.3">
      <c r="A548" t="s">
        <v>113</v>
      </c>
      <c r="B548">
        <v>2017</v>
      </c>
      <c r="C548" t="s">
        <v>271</v>
      </c>
      <c r="D548" t="s">
        <v>272</v>
      </c>
      <c r="E548" t="s">
        <v>65</v>
      </c>
      <c r="F548">
        <v>4407</v>
      </c>
      <c r="G548" t="s">
        <v>66</v>
      </c>
      <c r="H548">
        <v>1</v>
      </c>
    </row>
    <row r="549" spans="1:8" x14ac:dyDescent="0.3">
      <c r="A549" t="s">
        <v>113</v>
      </c>
      <c r="B549">
        <v>2020</v>
      </c>
      <c r="C549" t="s">
        <v>271</v>
      </c>
      <c r="D549" t="s">
        <v>272</v>
      </c>
      <c r="E549" t="s">
        <v>65</v>
      </c>
      <c r="F549">
        <v>4407</v>
      </c>
      <c r="G549" t="s">
        <v>66</v>
      </c>
      <c r="H549">
        <v>1</v>
      </c>
    </row>
    <row r="550" spans="1:8" x14ac:dyDescent="0.3">
      <c r="A550" t="s">
        <v>207</v>
      </c>
      <c r="B550">
        <v>2014</v>
      </c>
      <c r="C550" t="s">
        <v>271</v>
      </c>
      <c r="D550" t="s">
        <v>272</v>
      </c>
      <c r="E550" t="s">
        <v>65</v>
      </c>
      <c r="F550">
        <v>430000</v>
      </c>
      <c r="G550" t="s">
        <v>83</v>
      </c>
      <c r="H550">
        <v>24</v>
      </c>
    </row>
    <row r="551" spans="1:8" x14ac:dyDescent="0.3">
      <c r="A551" t="s">
        <v>207</v>
      </c>
      <c r="B551">
        <v>2015</v>
      </c>
      <c r="C551" t="s">
        <v>271</v>
      </c>
      <c r="D551" t="s">
        <v>272</v>
      </c>
      <c r="E551" t="s">
        <v>65</v>
      </c>
      <c r="F551">
        <v>430000</v>
      </c>
      <c r="G551" t="s">
        <v>83</v>
      </c>
      <c r="H551">
        <v>44</v>
      </c>
    </row>
    <row r="552" spans="1:8" x14ac:dyDescent="0.3">
      <c r="A552" t="s">
        <v>207</v>
      </c>
      <c r="B552">
        <v>2016</v>
      </c>
      <c r="C552" t="s">
        <v>271</v>
      </c>
      <c r="D552" t="s">
        <v>272</v>
      </c>
      <c r="E552" t="s">
        <v>65</v>
      </c>
      <c r="F552">
        <v>430000</v>
      </c>
      <c r="G552" t="s">
        <v>83</v>
      </c>
      <c r="H552">
        <v>5</v>
      </c>
    </row>
    <row r="553" spans="1:8" x14ac:dyDescent="0.3">
      <c r="A553" t="s">
        <v>207</v>
      </c>
      <c r="B553">
        <v>2017</v>
      </c>
      <c r="C553" t="s">
        <v>271</v>
      </c>
      <c r="D553" t="s">
        <v>272</v>
      </c>
      <c r="E553" t="s">
        <v>65</v>
      </c>
      <c r="F553">
        <v>430000</v>
      </c>
      <c r="G553" t="s">
        <v>83</v>
      </c>
      <c r="H553">
        <v>22</v>
      </c>
    </row>
    <row r="554" spans="1:8" x14ac:dyDescent="0.3">
      <c r="A554" t="s">
        <v>207</v>
      </c>
      <c r="B554">
        <v>2018</v>
      </c>
      <c r="C554" t="s">
        <v>271</v>
      </c>
      <c r="D554" t="s">
        <v>272</v>
      </c>
      <c r="E554" t="s">
        <v>65</v>
      </c>
      <c r="F554">
        <v>430000</v>
      </c>
      <c r="G554" t="s">
        <v>83</v>
      </c>
      <c r="H554">
        <v>15</v>
      </c>
    </row>
    <row r="555" spans="1:8" x14ac:dyDescent="0.3">
      <c r="A555" t="s">
        <v>207</v>
      </c>
      <c r="B555">
        <v>2019</v>
      </c>
      <c r="C555" t="s">
        <v>271</v>
      </c>
      <c r="D555" t="s">
        <v>272</v>
      </c>
      <c r="E555" t="s">
        <v>65</v>
      </c>
      <c r="F555">
        <v>430000</v>
      </c>
      <c r="G555" t="s">
        <v>83</v>
      </c>
      <c r="H555">
        <v>12</v>
      </c>
    </row>
    <row r="556" spans="1:8" x14ac:dyDescent="0.3">
      <c r="A556" t="s">
        <v>207</v>
      </c>
      <c r="B556">
        <v>2020</v>
      </c>
      <c r="C556" t="s">
        <v>271</v>
      </c>
      <c r="D556" t="s">
        <v>272</v>
      </c>
      <c r="E556" t="s">
        <v>65</v>
      </c>
      <c r="F556">
        <v>430000</v>
      </c>
      <c r="G556" t="s">
        <v>83</v>
      </c>
      <c r="H556">
        <v>6</v>
      </c>
    </row>
    <row r="557" spans="1:8" x14ac:dyDescent="0.3">
      <c r="A557" t="s">
        <v>207</v>
      </c>
      <c r="B557">
        <v>2021</v>
      </c>
      <c r="C557" t="s">
        <v>271</v>
      </c>
      <c r="D557" t="s">
        <v>272</v>
      </c>
      <c r="E557" t="s">
        <v>65</v>
      </c>
      <c r="F557">
        <v>430000</v>
      </c>
      <c r="G557" t="s">
        <v>83</v>
      </c>
      <c r="H557">
        <v>16</v>
      </c>
    </row>
    <row r="558" spans="1:8" x14ac:dyDescent="0.3">
      <c r="A558" t="s">
        <v>208</v>
      </c>
      <c r="B558">
        <v>2016</v>
      </c>
      <c r="C558" t="s">
        <v>271</v>
      </c>
      <c r="D558" t="s">
        <v>272</v>
      </c>
      <c r="E558" t="s">
        <v>65</v>
      </c>
      <c r="F558">
        <v>90700</v>
      </c>
      <c r="G558" t="s">
        <v>72</v>
      </c>
      <c r="H558">
        <v>1</v>
      </c>
    </row>
    <row r="559" spans="1:8" x14ac:dyDescent="0.3">
      <c r="A559" t="s">
        <v>209</v>
      </c>
      <c r="B559">
        <v>2014</v>
      </c>
      <c r="C559" t="s">
        <v>271</v>
      </c>
      <c r="D559" t="s">
        <v>272</v>
      </c>
      <c r="E559" t="s">
        <v>65</v>
      </c>
      <c r="F559">
        <v>110098</v>
      </c>
      <c r="G559" t="s">
        <v>72</v>
      </c>
      <c r="H559">
        <v>2</v>
      </c>
    </row>
    <row r="560" spans="1:8" x14ac:dyDescent="0.3">
      <c r="A560" t="s">
        <v>209</v>
      </c>
      <c r="B560">
        <v>2016</v>
      </c>
      <c r="C560" t="s">
        <v>271</v>
      </c>
      <c r="D560" t="s">
        <v>272</v>
      </c>
      <c r="E560" t="s">
        <v>65</v>
      </c>
      <c r="F560">
        <v>110098</v>
      </c>
      <c r="G560" t="s">
        <v>72</v>
      </c>
      <c r="H560">
        <v>2</v>
      </c>
    </row>
    <row r="561" spans="1:8" x14ac:dyDescent="0.3">
      <c r="A561" t="s">
        <v>295</v>
      </c>
      <c r="B561">
        <v>2021</v>
      </c>
      <c r="C561" t="s">
        <v>271</v>
      </c>
      <c r="D561" t="s">
        <v>272</v>
      </c>
      <c r="E561" t="s">
        <v>65</v>
      </c>
      <c r="F561">
        <v>4350</v>
      </c>
      <c r="G561" t="s">
        <v>66</v>
      </c>
      <c r="H561">
        <v>2</v>
      </c>
    </row>
    <row r="562" spans="1:8" x14ac:dyDescent="0.3">
      <c r="A562" t="s">
        <v>210</v>
      </c>
      <c r="B562">
        <v>2021</v>
      </c>
      <c r="C562" t="s">
        <v>271</v>
      </c>
      <c r="D562" t="s">
        <v>272</v>
      </c>
      <c r="E562" t="s">
        <v>65</v>
      </c>
      <c r="F562">
        <v>34392</v>
      </c>
      <c r="G562" t="s">
        <v>72</v>
      </c>
      <c r="H562">
        <v>1</v>
      </c>
    </row>
    <row r="563" spans="1:8" x14ac:dyDescent="0.3">
      <c r="A563" t="s">
        <v>211</v>
      </c>
      <c r="B563">
        <v>2014</v>
      </c>
      <c r="C563" t="s">
        <v>271</v>
      </c>
      <c r="D563" t="s">
        <v>272</v>
      </c>
      <c r="E563" t="s">
        <v>65</v>
      </c>
      <c r="F563">
        <v>63052</v>
      </c>
      <c r="G563" t="s">
        <v>72</v>
      </c>
      <c r="H563">
        <v>3</v>
      </c>
    </row>
    <row r="564" spans="1:8" x14ac:dyDescent="0.3">
      <c r="A564" t="s">
        <v>211</v>
      </c>
      <c r="B564">
        <v>2015</v>
      </c>
      <c r="C564" t="s">
        <v>271</v>
      </c>
      <c r="D564" t="s">
        <v>272</v>
      </c>
      <c r="E564" t="s">
        <v>65</v>
      </c>
      <c r="F564">
        <v>63052</v>
      </c>
      <c r="G564" t="s">
        <v>72</v>
      </c>
      <c r="H564">
        <v>2</v>
      </c>
    </row>
    <row r="565" spans="1:8" x14ac:dyDescent="0.3">
      <c r="A565" t="s">
        <v>211</v>
      </c>
      <c r="B565">
        <v>2021</v>
      </c>
      <c r="C565" t="s">
        <v>271</v>
      </c>
      <c r="D565" t="s">
        <v>272</v>
      </c>
      <c r="E565" t="s">
        <v>65</v>
      </c>
      <c r="F565">
        <v>63052</v>
      </c>
      <c r="G565" t="s">
        <v>72</v>
      </c>
      <c r="H565">
        <v>11</v>
      </c>
    </row>
    <row r="566" spans="1:8" x14ac:dyDescent="0.3">
      <c r="A566" t="s">
        <v>114</v>
      </c>
      <c r="B566">
        <v>2019</v>
      </c>
      <c r="C566" t="s">
        <v>271</v>
      </c>
      <c r="D566" t="s">
        <v>272</v>
      </c>
      <c r="E566" t="s">
        <v>65</v>
      </c>
      <c r="F566">
        <v>12500</v>
      </c>
      <c r="G566" t="s">
        <v>66</v>
      </c>
      <c r="H566">
        <v>1</v>
      </c>
    </row>
    <row r="567" spans="1:8" x14ac:dyDescent="0.3">
      <c r="A567" t="s">
        <v>114</v>
      </c>
      <c r="B567">
        <v>2021</v>
      </c>
      <c r="C567" t="s">
        <v>271</v>
      </c>
      <c r="D567" t="s">
        <v>272</v>
      </c>
      <c r="E567" t="s">
        <v>65</v>
      </c>
      <c r="F567">
        <v>12500</v>
      </c>
      <c r="G567" t="s">
        <v>66</v>
      </c>
      <c r="H567">
        <v>3</v>
      </c>
    </row>
    <row r="568" spans="1:8" x14ac:dyDescent="0.3">
      <c r="A568" t="s">
        <v>212</v>
      </c>
      <c r="B568">
        <v>2014</v>
      </c>
      <c r="C568" t="s">
        <v>271</v>
      </c>
      <c r="D568" t="s">
        <v>272</v>
      </c>
      <c r="E568" t="s">
        <v>65</v>
      </c>
      <c r="F568">
        <v>25353</v>
      </c>
      <c r="G568" t="s">
        <v>72</v>
      </c>
      <c r="H568">
        <v>1</v>
      </c>
    </row>
    <row r="569" spans="1:8" x14ac:dyDescent="0.3">
      <c r="A569" t="s">
        <v>212</v>
      </c>
      <c r="B569">
        <v>2015</v>
      </c>
      <c r="C569" t="s">
        <v>271</v>
      </c>
      <c r="D569" t="s">
        <v>272</v>
      </c>
      <c r="E569" t="s">
        <v>65</v>
      </c>
      <c r="F569">
        <v>25353</v>
      </c>
      <c r="G569" t="s">
        <v>72</v>
      </c>
      <c r="H569">
        <v>1</v>
      </c>
    </row>
    <row r="570" spans="1:8" x14ac:dyDescent="0.3">
      <c r="A570" t="s">
        <v>212</v>
      </c>
      <c r="B570">
        <v>2021</v>
      </c>
      <c r="C570" t="s">
        <v>271</v>
      </c>
      <c r="D570" t="s">
        <v>272</v>
      </c>
      <c r="E570" t="s">
        <v>65</v>
      </c>
      <c r="F570">
        <v>25353</v>
      </c>
      <c r="G570" t="s">
        <v>72</v>
      </c>
      <c r="H570">
        <v>1</v>
      </c>
    </row>
    <row r="571" spans="1:8" x14ac:dyDescent="0.3">
      <c r="A571" t="s">
        <v>213</v>
      </c>
      <c r="B571">
        <v>2017</v>
      </c>
      <c r="C571" t="s">
        <v>271</v>
      </c>
      <c r="D571" t="s">
        <v>272</v>
      </c>
      <c r="E571" t="s">
        <v>65</v>
      </c>
      <c r="F571">
        <v>44070</v>
      </c>
      <c r="G571" t="s">
        <v>72</v>
      </c>
      <c r="H571">
        <v>1</v>
      </c>
    </row>
    <row r="572" spans="1:8" x14ac:dyDescent="0.3">
      <c r="A572" t="s">
        <v>116</v>
      </c>
      <c r="B572">
        <v>2014</v>
      </c>
      <c r="C572" t="s">
        <v>271</v>
      </c>
      <c r="D572" t="s">
        <v>272</v>
      </c>
      <c r="E572" t="s">
        <v>65</v>
      </c>
      <c r="F572">
        <v>10471</v>
      </c>
      <c r="G572" t="s">
        <v>66</v>
      </c>
      <c r="H572">
        <v>8</v>
      </c>
    </row>
    <row r="573" spans="1:8" x14ac:dyDescent="0.3">
      <c r="A573" t="s">
        <v>116</v>
      </c>
      <c r="B573">
        <v>2015</v>
      </c>
      <c r="C573" t="s">
        <v>271</v>
      </c>
      <c r="D573" t="s">
        <v>272</v>
      </c>
      <c r="E573" t="s">
        <v>65</v>
      </c>
      <c r="F573">
        <v>10471</v>
      </c>
      <c r="G573" t="s">
        <v>66</v>
      </c>
      <c r="H573">
        <v>8</v>
      </c>
    </row>
    <row r="574" spans="1:8" x14ac:dyDescent="0.3">
      <c r="A574" t="s">
        <v>116</v>
      </c>
      <c r="B574">
        <v>2016</v>
      </c>
      <c r="C574" t="s">
        <v>271</v>
      </c>
      <c r="D574" t="s">
        <v>272</v>
      </c>
      <c r="E574" t="s">
        <v>65</v>
      </c>
      <c r="F574">
        <v>10471</v>
      </c>
      <c r="G574" t="s">
        <v>66</v>
      </c>
      <c r="H574">
        <v>6</v>
      </c>
    </row>
    <row r="575" spans="1:8" x14ac:dyDescent="0.3">
      <c r="A575" t="s">
        <v>116</v>
      </c>
      <c r="B575">
        <v>2017</v>
      </c>
      <c r="C575" t="s">
        <v>271</v>
      </c>
      <c r="D575" t="s">
        <v>272</v>
      </c>
      <c r="E575" t="s">
        <v>65</v>
      </c>
      <c r="F575">
        <v>10471</v>
      </c>
      <c r="G575" t="s">
        <v>66</v>
      </c>
      <c r="H575">
        <v>7</v>
      </c>
    </row>
    <row r="576" spans="1:8" x14ac:dyDescent="0.3">
      <c r="A576" t="s">
        <v>116</v>
      </c>
      <c r="B576">
        <v>2018</v>
      </c>
      <c r="C576" t="s">
        <v>271</v>
      </c>
      <c r="D576" t="s">
        <v>272</v>
      </c>
      <c r="E576" t="s">
        <v>65</v>
      </c>
      <c r="F576">
        <v>10471</v>
      </c>
      <c r="G576" t="s">
        <v>66</v>
      </c>
      <c r="H576">
        <v>4</v>
      </c>
    </row>
    <row r="577" spans="1:8" x14ac:dyDescent="0.3">
      <c r="A577" t="s">
        <v>218</v>
      </c>
      <c r="B577">
        <v>2014</v>
      </c>
      <c r="C577" t="s">
        <v>271</v>
      </c>
      <c r="D577" t="s">
        <v>272</v>
      </c>
      <c r="E577" t="s">
        <v>65</v>
      </c>
      <c r="F577">
        <v>17528</v>
      </c>
      <c r="G577" t="s">
        <v>66</v>
      </c>
      <c r="H577">
        <v>10</v>
      </c>
    </row>
    <row r="578" spans="1:8" x14ac:dyDescent="0.3">
      <c r="A578" t="s">
        <v>218</v>
      </c>
      <c r="B578">
        <v>2015</v>
      </c>
      <c r="C578" t="s">
        <v>271</v>
      </c>
      <c r="D578" t="s">
        <v>272</v>
      </c>
      <c r="E578" t="s">
        <v>65</v>
      </c>
      <c r="F578">
        <v>17528</v>
      </c>
      <c r="G578" t="s">
        <v>66</v>
      </c>
      <c r="H578">
        <v>8</v>
      </c>
    </row>
    <row r="579" spans="1:8" x14ac:dyDescent="0.3">
      <c r="A579" t="s">
        <v>218</v>
      </c>
      <c r="B579">
        <v>2016</v>
      </c>
      <c r="C579" t="s">
        <v>271</v>
      </c>
      <c r="D579" t="s">
        <v>272</v>
      </c>
      <c r="E579" t="s">
        <v>65</v>
      </c>
      <c r="F579">
        <v>17528</v>
      </c>
      <c r="G579" t="s">
        <v>66</v>
      </c>
      <c r="H579">
        <v>9</v>
      </c>
    </row>
    <row r="580" spans="1:8" x14ac:dyDescent="0.3">
      <c r="A580" t="s">
        <v>218</v>
      </c>
      <c r="B580">
        <v>2017</v>
      </c>
      <c r="C580" t="s">
        <v>271</v>
      </c>
      <c r="D580" t="s">
        <v>272</v>
      </c>
      <c r="E580" t="s">
        <v>65</v>
      </c>
      <c r="F580">
        <v>17528</v>
      </c>
      <c r="G580" t="s">
        <v>66</v>
      </c>
      <c r="H580">
        <v>9</v>
      </c>
    </row>
    <row r="581" spans="1:8" x14ac:dyDescent="0.3">
      <c r="A581" t="s">
        <v>218</v>
      </c>
      <c r="B581">
        <v>2018</v>
      </c>
      <c r="C581" t="s">
        <v>271</v>
      </c>
      <c r="D581" t="s">
        <v>272</v>
      </c>
      <c r="E581" t="s">
        <v>65</v>
      </c>
      <c r="F581">
        <v>17528</v>
      </c>
      <c r="G581" t="s">
        <v>66</v>
      </c>
      <c r="H581">
        <v>6</v>
      </c>
    </row>
    <row r="582" spans="1:8" x14ac:dyDescent="0.3">
      <c r="A582" t="s">
        <v>218</v>
      </c>
      <c r="B582">
        <v>2019</v>
      </c>
      <c r="C582" t="s">
        <v>271</v>
      </c>
      <c r="D582" t="s">
        <v>272</v>
      </c>
      <c r="E582" t="s">
        <v>65</v>
      </c>
      <c r="F582">
        <v>17528</v>
      </c>
      <c r="G582" t="s">
        <v>66</v>
      </c>
      <c r="H582">
        <v>1</v>
      </c>
    </row>
    <row r="583" spans="1:8" x14ac:dyDescent="0.3">
      <c r="A583" t="s">
        <v>218</v>
      </c>
      <c r="B583">
        <v>2021</v>
      </c>
      <c r="C583" t="s">
        <v>271</v>
      </c>
      <c r="D583" t="s">
        <v>272</v>
      </c>
      <c r="E583" t="s">
        <v>65</v>
      </c>
      <c r="F583">
        <v>17528</v>
      </c>
      <c r="G583" t="s">
        <v>66</v>
      </c>
      <c r="H583">
        <v>2</v>
      </c>
    </row>
    <row r="584" spans="1:8" x14ac:dyDescent="0.3">
      <c r="A584" t="s">
        <v>117</v>
      </c>
      <c r="B584">
        <v>2016</v>
      </c>
      <c r="C584" t="s">
        <v>271</v>
      </c>
      <c r="D584" t="s">
        <v>272</v>
      </c>
      <c r="E584" t="s">
        <v>65</v>
      </c>
      <c r="F584">
        <v>39595</v>
      </c>
      <c r="G584" t="s">
        <v>66</v>
      </c>
      <c r="H584">
        <v>1</v>
      </c>
    </row>
    <row r="585" spans="1:8" x14ac:dyDescent="0.3">
      <c r="A585" t="s">
        <v>117</v>
      </c>
      <c r="B585">
        <v>2017</v>
      </c>
      <c r="C585" t="s">
        <v>271</v>
      </c>
      <c r="D585" t="s">
        <v>272</v>
      </c>
      <c r="E585" t="s">
        <v>65</v>
      </c>
      <c r="F585">
        <v>39595</v>
      </c>
      <c r="G585" t="s">
        <v>66</v>
      </c>
      <c r="H585">
        <v>6</v>
      </c>
    </row>
    <row r="586" spans="1:8" x14ac:dyDescent="0.3">
      <c r="A586" t="s">
        <v>117</v>
      </c>
      <c r="B586">
        <v>2018</v>
      </c>
      <c r="C586" t="s">
        <v>271</v>
      </c>
      <c r="D586" t="s">
        <v>272</v>
      </c>
      <c r="E586" t="s">
        <v>65</v>
      </c>
      <c r="F586">
        <v>39595</v>
      </c>
      <c r="G586" t="s">
        <v>66</v>
      </c>
      <c r="H586">
        <v>1</v>
      </c>
    </row>
    <row r="587" spans="1:8" x14ac:dyDescent="0.3">
      <c r="A587" t="s">
        <v>117</v>
      </c>
      <c r="B587">
        <v>2019</v>
      </c>
      <c r="C587" t="s">
        <v>271</v>
      </c>
      <c r="D587" t="s">
        <v>272</v>
      </c>
      <c r="E587" t="s">
        <v>65</v>
      </c>
      <c r="F587">
        <v>39595</v>
      </c>
      <c r="G587" t="s">
        <v>66</v>
      </c>
      <c r="H587">
        <v>2</v>
      </c>
    </row>
    <row r="588" spans="1:8" x14ac:dyDescent="0.3">
      <c r="A588" t="s">
        <v>117</v>
      </c>
      <c r="B588">
        <v>2020</v>
      </c>
      <c r="C588" t="s">
        <v>271</v>
      </c>
      <c r="D588" t="s">
        <v>272</v>
      </c>
      <c r="E588" t="s">
        <v>65</v>
      </c>
      <c r="F588">
        <v>39595</v>
      </c>
      <c r="G588" t="s">
        <v>66</v>
      </c>
      <c r="H588">
        <v>3</v>
      </c>
    </row>
    <row r="589" spans="1:8" x14ac:dyDescent="0.3">
      <c r="A589" t="s">
        <v>117</v>
      </c>
      <c r="B589">
        <v>2021</v>
      </c>
      <c r="C589" t="s">
        <v>271</v>
      </c>
      <c r="D589" t="s">
        <v>272</v>
      </c>
      <c r="E589" t="s">
        <v>65</v>
      </c>
      <c r="F589">
        <v>39595</v>
      </c>
      <c r="G589" t="s">
        <v>66</v>
      </c>
      <c r="H589">
        <v>4</v>
      </c>
    </row>
    <row r="590" spans="1:8" x14ac:dyDescent="0.3">
      <c r="A590" t="s">
        <v>221</v>
      </c>
      <c r="B590">
        <v>2017</v>
      </c>
      <c r="C590" t="s">
        <v>271</v>
      </c>
      <c r="D590" t="s">
        <v>272</v>
      </c>
      <c r="E590" t="s">
        <v>65</v>
      </c>
      <c r="F590">
        <v>7500</v>
      </c>
      <c r="G590" t="s">
        <v>66</v>
      </c>
      <c r="H590">
        <v>7</v>
      </c>
    </row>
    <row r="591" spans="1:8" x14ac:dyDescent="0.3">
      <c r="A591" t="s">
        <v>221</v>
      </c>
      <c r="B591">
        <v>2018</v>
      </c>
      <c r="C591" t="s">
        <v>271</v>
      </c>
      <c r="D591" t="s">
        <v>272</v>
      </c>
      <c r="E591" t="s">
        <v>65</v>
      </c>
      <c r="F591">
        <v>7500</v>
      </c>
      <c r="G591" t="s">
        <v>66</v>
      </c>
      <c r="H591">
        <v>1</v>
      </c>
    </row>
    <row r="592" spans="1:8" x14ac:dyDescent="0.3">
      <c r="A592" t="s">
        <v>221</v>
      </c>
      <c r="B592">
        <v>2019</v>
      </c>
      <c r="C592" t="s">
        <v>271</v>
      </c>
      <c r="D592" t="s">
        <v>272</v>
      </c>
      <c r="E592" t="s">
        <v>65</v>
      </c>
      <c r="F592">
        <v>7500</v>
      </c>
      <c r="G592" t="s">
        <v>66</v>
      </c>
      <c r="H592">
        <v>2</v>
      </c>
    </row>
    <row r="593" spans="1:8" x14ac:dyDescent="0.3">
      <c r="A593" t="s">
        <v>296</v>
      </c>
      <c r="B593">
        <v>2016</v>
      </c>
      <c r="C593" t="s">
        <v>271</v>
      </c>
      <c r="D593" t="s">
        <v>272</v>
      </c>
      <c r="E593" t="s">
        <v>65</v>
      </c>
      <c r="F593">
        <v>68000</v>
      </c>
      <c r="G593" t="s">
        <v>66</v>
      </c>
      <c r="H593">
        <v>1</v>
      </c>
    </row>
    <row r="594" spans="1:8" x14ac:dyDescent="0.3">
      <c r="A594" t="s">
        <v>296</v>
      </c>
      <c r="B594">
        <v>2020</v>
      </c>
      <c r="C594" t="s">
        <v>271</v>
      </c>
      <c r="D594" t="s">
        <v>272</v>
      </c>
      <c r="E594" t="s">
        <v>65</v>
      </c>
      <c r="F594">
        <v>68000</v>
      </c>
      <c r="G594" t="s">
        <v>66</v>
      </c>
      <c r="H594">
        <v>1</v>
      </c>
    </row>
    <row r="595" spans="1:8" x14ac:dyDescent="0.3">
      <c r="A595" t="s">
        <v>118</v>
      </c>
      <c r="B595">
        <v>2015</v>
      </c>
      <c r="C595" t="s">
        <v>271</v>
      </c>
      <c r="D595" t="s">
        <v>272</v>
      </c>
      <c r="E595" t="s">
        <v>65</v>
      </c>
      <c r="F595">
        <v>3306</v>
      </c>
      <c r="G595" t="s">
        <v>66</v>
      </c>
      <c r="H595">
        <v>2</v>
      </c>
    </row>
    <row r="596" spans="1:8" x14ac:dyDescent="0.3">
      <c r="A596" t="s">
        <v>222</v>
      </c>
      <c r="B596">
        <v>2014</v>
      </c>
      <c r="C596" t="s">
        <v>271</v>
      </c>
      <c r="D596" t="s">
        <v>272</v>
      </c>
      <c r="E596" t="s">
        <v>65</v>
      </c>
      <c r="F596">
        <v>51900</v>
      </c>
      <c r="G596" t="s">
        <v>66</v>
      </c>
      <c r="H596">
        <v>50</v>
      </c>
    </row>
    <row r="597" spans="1:8" x14ac:dyDescent="0.3">
      <c r="A597" t="s">
        <v>222</v>
      </c>
      <c r="B597">
        <v>2015</v>
      </c>
      <c r="C597" t="s">
        <v>271</v>
      </c>
      <c r="D597" t="s">
        <v>272</v>
      </c>
      <c r="E597" t="s">
        <v>65</v>
      </c>
      <c r="F597">
        <v>51900</v>
      </c>
      <c r="G597" t="s">
        <v>66</v>
      </c>
      <c r="H597">
        <v>40</v>
      </c>
    </row>
    <row r="598" spans="1:8" x14ac:dyDescent="0.3">
      <c r="A598" t="s">
        <v>222</v>
      </c>
      <c r="B598">
        <v>2016</v>
      </c>
      <c r="C598" t="s">
        <v>271</v>
      </c>
      <c r="D598" t="s">
        <v>272</v>
      </c>
      <c r="E598" t="s">
        <v>65</v>
      </c>
      <c r="F598">
        <v>51900</v>
      </c>
      <c r="G598" t="s">
        <v>66</v>
      </c>
      <c r="H598">
        <v>20</v>
      </c>
    </row>
    <row r="599" spans="1:8" x14ac:dyDescent="0.3">
      <c r="A599" t="s">
        <v>222</v>
      </c>
      <c r="B599">
        <v>2017</v>
      </c>
      <c r="C599" t="s">
        <v>271</v>
      </c>
      <c r="D599" t="s">
        <v>272</v>
      </c>
      <c r="E599" t="s">
        <v>65</v>
      </c>
      <c r="F599">
        <v>51900</v>
      </c>
      <c r="G599" t="s">
        <v>66</v>
      </c>
      <c r="H599">
        <v>6</v>
      </c>
    </row>
    <row r="600" spans="1:8" x14ac:dyDescent="0.3">
      <c r="A600" t="s">
        <v>222</v>
      </c>
      <c r="B600">
        <v>2018</v>
      </c>
      <c r="C600" t="s">
        <v>271</v>
      </c>
      <c r="D600" t="s">
        <v>272</v>
      </c>
      <c r="E600" t="s">
        <v>65</v>
      </c>
      <c r="F600">
        <v>51900</v>
      </c>
      <c r="G600" t="s">
        <v>66</v>
      </c>
      <c r="H600">
        <v>10</v>
      </c>
    </row>
    <row r="601" spans="1:8" x14ac:dyDescent="0.3">
      <c r="A601" t="s">
        <v>222</v>
      </c>
      <c r="B601">
        <v>2019</v>
      </c>
      <c r="C601" t="s">
        <v>271</v>
      </c>
      <c r="D601" t="s">
        <v>272</v>
      </c>
      <c r="E601" t="s">
        <v>65</v>
      </c>
      <c r="F601">
        <v>51900</v>
      </c>
      <c r="G601" t="s">
        <v>66</v>
      </c>
      <c r="H601">
        <v>6</v>
      </c>
    </row>
    <row r="602" spans="1:8" x14ac:dyDescent="0.3">
      <c r="A602" t="s">
        <v>222</v>
      </c>
      <c r="B602">
        <v>2020</v>
      </c>
      <c r="C602" t="s">
        <v>271</v>
      </c>
      <c r="D602" t="s">
        <v>272</v>
      </c>
      <c r="E602" t="s">
        <v>65</v>
      </c>
      <c r="F602">
        <v>51900</v>
      </c>
      <c r="G602" t="s">
        <v>66</v>
      </c>
      <c r="H602">
        <v>7</v>
      </c>
    </row>
    <row r="603" spans="1:8" x14ac:dyDescent="0.3">
      <c r="A603" t="s">
        <v>222</v>
      </c>
      <c r="B603">
        <v>2021</v>
      </c>
      <c r="C603" t="s">
        <v>271</v>
      </c>
      <c r="D603" t="s">
        <v>272</v>
      </c>
      <c r="E603" t="s">
        <v>65</v>
      </c>
      <c r="F603">
        <v>51900</v>
      </c>
      <c r="G603" t="s">
        <v>66</v>
      </c>
      <c r="H603">
        <v>9</v>
      </c>
    </row>
    <row r="604" spans="1:8" x14ac:dyDescent="0.3">
      <c r="A604" t="s">
        <v>223</v>
      </c>
      <c r="B604">
        <v>2016</v>
      </c>
      <c r="C604" t="s">
        <v>271</v>
      </c>
      <c r="D604" t="s">
        <v>272</v>
      </c>
      <c r="E604" t="s">
        <v>65</v>
      </c>
      <c r="F604">
        <v>55997</v>
      </c>
      <c r="G604" t="s">
        <v>66</v>
      </c>
      <c r="H604">
        <v>8</v>
      </c>
    </row>
    <row r="605" spans="1:8" x14ac:dyDescent="0.3">
      <c r="A605" t="s">
        <v>223</v>
      </c>
      <c r="B605">
        <v>2017</v>
      </c>
      <c r="C605" t="s">
        <v>271</v>
      </c>
      <c r="D605" t="s">
        <v>272</v>
      </c>
      <c r="E605" t="s">
        <v>65</v>
      </c>
      <c r="F605">
        <v>55997</v>
      </c>
      <c r="G605" t="s">
        <v>66</v>
      </c>
      <c r="H605">
        <v>42</v>
      </c>
    </row>
    <row r="606" spans="1:8" x14ac:dyDescent="0.3">
      <c r="A606" t="s">
        <v>223</v>
      </c>
      <c r="B606">
        <v>2018</v>
      </c>
      <c r="C606" t="s">
        <v>271</v>
      </c>
      <c r="D606" t="s">
        <v>272</v>
      </c>
      <c r="E606" t="s">
        <v>65</v>
      </c>
      <c r="F606">
        <v>55997</v>
      </c>
      <c r="G606" t="s">
        <v>66</v>
      </c>
      <c r="H606">
        <v>69</v>
      </c>
    </row>
    <row r="607" spans="1:8" x14ac:dyDescent="0.3">
      <c r="A607" t="s">
        <v>223</v>
      </c>
      <c r="B607">
        <v>2019</v>
      </c>
      <c r="C607" t="s">
        <v>271</v>
      </c>
      <c r="D607" t="s">
        <v>272</v>
      </c>
      <c r="E607" t="s">
        <v>65</v>
      </c>
      <c r="F607">
        <v>55997</v>
      </c>
      <c r="G607" t="s">
        <v>66</v>
      </c>
      <c r="H607">
        <v>49</v>
      </c>
    </row>
    <row r="608" spans="1:8" x14ac:dyDescent="0.3">
      <c r="A608" t="s">
        <v>223</v>
      </c>
      <c r="B608">
        <v>2020</v>
      </c>
      <c r="C608" t="s">
        <v>271</v>
      </c>
      <c r="D608" t="s">
        <v>272</v>
      </c>
      <c r="E608" t="s">
        <v>65</v>
      </c>
      <c r="F608">
        <v>55997</v>
      </c>
      <c r="G608" t="s">
        <v>66</v>
      </c>
      <c r="H608">
        <v>55</v>
      </c>
    </row>
    <row r="609" spans="1:8" x14ac:dyDescent="0.3">
      <c r="A609" t="s">
        <v>223</v>
      </c>
      <c r="B609">
        <v>2021</v>
      </c>
      <c r="C609" t="s">
        <v>271</v>
      </c>
      <c r="D609" t="s">
        <v>272</v>
      </c>
      <c r="E609" t="s">
        <v>65</v>
      </c>
      <c r="F609">
        <v>55997</v>
      </c>
      <c r="G609" t="s">
        <v>66</v>
      </c>
      <c r="H609">
        <v>39</v>
      </c>
    </row>
    <row r="610" spans="1:8" x14ac:dyDescent="0.3">
      <c r="A610" t="s">
        <v>119</v>
      </c>
      <c r="B610">
        <v>2014</v>
      </c>
      <c r="C610" t="s">
        <v>271</v>
      </c>
      <c r="D610" t="s">
        <v>272</v>
      </c>
      <c r="E610" t="s">
        <v>65</v>
      </c>
      <c r="F610">
        <v>34833</v>
      </c>
      <c r="G610" t="s">
        <v>72</v>
      </c>
      <c r="H610">
        <v>1</v>
      </c>
    </row>
    <row r="611" spans="1:8" x14ac:dyDescent="0.3">
      <c r="A611" t="s">
        <v>119</v>
      </c>
      <c r="B611">
        <v>2015</v>
      </c>
      <c r="C611" t="s">
        <v>271</v>
      </c>
      <c r="D611" t="s">
        <v>272</v>
      </c>
      <c r="E611" t="s">
        <v>65</v>
      </c>
      <c r="F611">
        <v>34833</v>
      </c>
      <c r="G611" t="s">
        <v>72</v>
      </c>
      <c r="H611">
        <v>4</v>
      </c>
    </row>
    <row r="612" spans="1:8" x14ac:dyDescent="0.3">
      <c r="A612" t="s">
        <v>119</v>
      </c>
      <c r="B612">
        <v>2016</v>
      </c>
      <c r="C612" t="s">
        <v>271</v>
      </c>
      <c r="D612" t="s">
        <v>272</v>
      </c>
      <c r="E612" t="s">
        <v>65</v>
      </c>
      <c r="F612">
        <v>34833</v>
      </c>
      <c r="G612" t="s">
        <v>72</v>
      </c>
      <c r="H612">
        <v>1</v>
      </c>
    </row>
    <row r="613" spans="1:8" x14ac:dyDescent="0.3">
      <c r="A613" t="s">
        <v>119</v>
      </c>
      <c r="B613">
        <v>2017</v>
      </c>
      <c r="C613" t="s">
        <v>271</v>
      </c>
      <c r="D613" t="s">
        <v>272</v>
      </c>
      <c r="E613" t="s">
        <v>65</v>
      </c>
      <c r="F613">
        <v>34833</v>
      </c>
      <c r="G613" t="s">
        <v>72</v>
      </c>
      <c r="H613">
        <v>2</v>
      </c>
    </row>
    <row r="614" spans="1:8" x14ac:dyDescent="0.3">
      <c r="A614" t="s">
        <v>119</v>
      </c>
      <c r="B614">
        <v>2018</v>
      </c>
      <c r="C614" t="s">
        <v>271</v>
      </c>
      <c r="D614" t="s">
        <v>272</v>
      </c>
      <c r="E614" t="s">
        <v>65</v>
      </c>
      <c r="F614">
        <v>34833</v>
      </c>
      <c r="G614" t="s">
        <v>72</v>
      </c>
      <c r="H614">
        <v>2</v>
      </c>
    </row>
    <row r="615" spans="1:8" x14ac:dyDescent="0.3">
      <c r="A615" t="s">
        <v>119</v>
      </c>
      <c r="B615">
        <v>2019</v>
      </c>
      <c r="C615" t="s">
        <v>271</v>
      </c>
      <c r="D615" t="s">
        <v>272</v>
      </c>
      <c r="E615" t="s">
        <v>65</v>
      </c>
      <c r="F615">
        <v>34833</v>
      </c>
      <c r="G615" t="s">
        <v>72</v>
      </c>
      <c r="H615">
        <v>2</v>
      </c>
    </row>
    <row r="616" spans="1:8" x14ac:dyDescent="0.3">
      <c r="A616" t="s">
        <v>119</v>
      </c>
      <c r="B616">
        <v>2020</v>
      </c>
      <c r="C616" t="s">
        <v>271</v>
      </c>
      <c r="D616" t="s">
        <v>272</v>
      </c>
      <c r="E616" t="s">
        <v>65</v>
      </c>
      <c r="F616">
        <v>34833</v>
      </c>
      <c r="G616" t="s">
        <v>72</v>
      </c>
      <c r="H616">
        <v>1</v>
      </c>
    </row>
    <row r="617" spans="1:8" x14ac:dyDescent="0.3">
      <c r="A617" t="s">
        <v>119</v>
      </c>
      <c r="B617">
        <v>2021</v>
      </c>
      <c r="C617" t="s">
        <v>271</v>
      </c>
      <c r="D617" t="s">
        <v>272</v>
      </c>
      <c r="E617" t="s">
        <v>65</v>
      </c>
      <c r="F617">
        <v>34833</v>
      </c>
      <c r="G617" t="s">
        <v>72</v>
      </c>
      <c r="H617">
        <v>5</v>
      </c>
    </row>
    <row r="618" spans="1:8" x14ac:dyDescent="0.3">
      <c r="A618" t="s">
        <v>224</v>
      </c>
      <c r="B618">
        <v>2014</v>
      </c>
      <c r="C618" t="s">
        <v>271</v>
      </c>
      <c r="D618" t="s">
        <v>272</v>
      </c>
      <c r="E618" t="s">
        <v>65</v>
      </c>
      <c r="F618">
        <v>45503</v>
      </c>
      <c r="G618" t="s">
        <v>72</v>
      </c>
      <c r="H618">
        <v>1</v>
      </c>
    </row>
    <row r="619" spans="1:8" x14ac:dyDescent="0.3">
      <c r="A619" t="s">
        <v>224</v>
      </c>
      <c r="B619">
        <v>2015</v>
      </c>
      <c r="C619" t="s">
        <v>271</v>
      </c>
      <c r="D619" t="s">
        <v>272</v>
      </c>
      <c r="E619" t="s">
        <v>65</v>
      </c>
      <c r="F619">
        <v>45503</v>
      </c>
      <c r="G619" t="s">
        <v>72</v>
      </c>
      <c r="H619">
        <v>5</v>
      </c>
    </row>
    <row r="620" spans="1:8" x14ac:dyDescent="0.3">
      <c r="A620" t="s">
        <v>224</v>
      </c>
      <c r="B620">
        <v>2016</v>
      </c>
      <c r="C620" t="s">
        <v>271</v>
      </c>
      <c r="D620" t="s">
        <v>272</v>
      </c>
      <c r="E620" t="s">
        <v>65</v>
      </c>
      <c r="F620">
        <v>45503</v>
      </c>
      <c r="G620" t="s">
        <v>72</v>
      </c>
      <c r="H620">
        <v>1</v>
      </c>
    </row>
    <row r="621" spans="1:8" x14ac:dyDescent="0.3">
      <c r="A621" t="s">
        <v>224</v>
      </c>
      <c r="B621">
        <v>2017</v>
      </c>
      <c r="C621" t="s">
        <v>271</v>
      </c>
      <c r="D621" t="s">
        <v>272</v>
      </c>
      <c r="E621" t="s">
        <v>65</v>
      </c>
      <c r="F621">
        <v>45503</v>
      </c>
      <c r="G621" t="s">
        <v>72</v>
      </c>
      <c r="H621">
        <v>1</v>
      </c>
    </row>
    <row r="622" spans="1:8" x14ac:dyDescent="0.3">
      <c r="A622" t="s">
        <v>224</v>
      </c>
      <c r="B622">
        <v>2018</v>
      </c>
      <c r="C622" t="s">
        <v>271</v>
      </c>
      <c r="D622" t="s">
        <v>272</v>
      </c>
      <c r="E622" t="s">
        <v>65</v>
      </c>
      <c r="F622">
        <v>45503</v>
      </c>
      <c r="G622" t="s">
        <v>72</v>
      </c>
      <c r="H622">
        <v>6</v>
      </c>
    </row>
    <row r="623" spans="1:8" x14ac:dyDescent="0.3">
      <c r="A623" t="s">
        <v>224</v>
      </c>
      <c r="B623">
        <v>2020</v>
      </c>
      <c r="C623" t="s">
        <v>271</v>
      </c>
      <c r="D623" t="s">
        <v>272</v>
      </c>
      <c r="E623" t="s">
        <v>65</v>
      </c>
      <c r="F623">
        <v>45503</v>
      </c>
      <c r="G623" t="s">
        <v>72</v>
      </c>
      <c r="H623">
        <v>1</v>
      </c>
    </row>
    <row r="624" spans="1:8" x14ac:dyDescent="0.3">
      <c r="A624" t="s">
        <v>224</v>
      </c>
      <c r="B624">
        <v>2021</v>
      </c>
      <c r="C624" t="s">
        <v>271</v>
      </c>
      <c r="D624" t="s">
        <v>272</v>
      </c>
      <c r="E624" t="s">
        <v>65</v>
      </c>
      <c r="F624">
        <v>45503</v>
      </c>
      <c r="G624" t="s">
        <v>72</v>
      </c>
      <c r="H624">
        <v>1</v>
      </c>
    </row>
    <row r="625" spans="1:8" x14ac:dyDescent="0.3">
      <c r="A625" t="s">
        <v>225</v>
      </c>
      <c r="B625">
        <v>2015</v>
      </c>
      <c r="C625" t="s">
        <v>271</v>
      </c>
      <c r="D625" t="s">
        <v>272</v>
      </c>
      <c r="E625" t="s">
        <v>65</v>
      </c>
      <c r="F625">
        <v>30325</v>
      </c>
      <c r="G625" t="s">
        <v>72</v>
      </c>
      <c r="H625">
        <v>1</v>
      </c>
    </row>
    <row r="626" spans="1:8" x14ac:dyDescent="0.3">
      <c r="A626" t="s">
        <v>225</v>
      </c>
      <c r="B626">
        <v>2017</v>
      </c>
      <c r="C626" t="s">
        <v>271</v>
      </c>
      <c r="D626" t="s">
        <v>272</v>
      </c>
      <c r="E626" t="s">
        <v>65</v>
      </c>
      <c r="F626">
        <v>30325</v>
      </c>
      <c r="G626" t="s">
        <v>72</v>
      </c>
      <c r="H626">
        <v>2</v>
      </c>
    </row>
    <row r="627" spans="1:8" x14ac:dyDescent="0.3">
      <c r="A627" t="s">
        <v>226</v>
      </c>
      <c r="B627">
        <v>2014</v>
      </c>
      <c r="C627" t="s">
        <v>271</v>
      </c>
      <c r="D627" t="s">
        <v>272</v>
      </c>
      <c r="E627" t="s">
        <v>65</v>
      </c>
      <c r="F627">
        <v>38801</v>
      </c>
      <c r="G627" t="s">
        <v>66</v>
      </c>
      <c r="H627">
        <v>2</v>
      </c>
    </row>
    <row r="628" spans="1:8" x14ac:dyDescent="0.3">
      <c r="A628" t="s">
        <v>226</v>
      </c>
      <c r="B628">
        <v>2015</v>
      </c>
      <c r="C628" t="s">
        <v>271</v>
      </c>
      <c r="D628" t="s">
        <v>272</v>
      </c>
      <c r="E628" t="s">
        <v>65</v>
      </c>
      <c r="F628">
        <v>38801</v>
      </c>
      <c r="G628" t="s">
        <v>66</v>
      </c>
      <c r="H628">
        <v>1</v>
      </c>
    </row>
    <row r="629" spans="1:8" x14ac:dyDescent="0.3">
      <c r="A629" t="s">
        <v>226</v>
      </c>
      <c r="B629">
        <v>2016</v>
      </c>
      <c r="C629" t="s">
        <v>271</v>
      </c>
      <c r="D629" t="s">
        <v>272</v>
      </c>
      <c r="E629" t="s">
        <v>65</v>
      </c>
      <c r="F629">
        <v>38801</v>
      </c>
      <c r="G629" t="s">
        <v>66</v>
      </c>
      <c r="H629">
        <v>5</v>
      </c>
    </row>
    <row r="630" spans="1:8" x14ac:dyDescent="0.3">
      <c r="A630" t="s">
        <v>226</v>
      </c>
      <c r="B630">
        <v>2017</v>
      </c>
      <c r="C630" t="s">
        <v>271</v>
      </c>
      <c r="D630" t="s">
        <v>272</v>
      </c>
      <c r="E630" t="s">
        <v>65</v>
      </c>
      <c r="F630">
        <v>38801</v>
      </c>
      <c r="G630" t="s">
        <v>66</v>
      </c>
      <c r="H630">
        <v>6</v>
      </c>
    </row>
    <row r="631" spans="1:8" x14ac:dyDescent="0.3">
      <c r="A631" t="s">
        <v>226</v>
      </c>
      <c r="B631">
        <v>2018</v>
      </c>
      <c r="C631" t="s">
        <v>271</v>
      </c>
      <c r="D631" t="s">
        <v>272</v>
      </c>
      <c r="E631" t="s">
        <v>65</v>
      </c>
      <c r="F631">
        <v>38801</v>
      </c>
      <c r="G631" t="s">
        <v>66</v>
      </c>
      <c r="H631">
        <v>1</v>
      </c>
    </row>
    <row r="632" spans="1:8" x14ac:dyDescent="0.3">
      <c r="A632" t="s">
        <v>226</v>
      </c>
      <c r="B632">
        <v>2019</v>
      </c>
      <c r="C632" t="s">
        <v>271</v>
      </c>
      <c r="D632" t="s">
        <v>272</v>
      </c>
      <c r="E632" t="s">
        <v>65</v>
      </c>
      <c r="F632">
        <v>38801</v>
      </c>
      <c r="G632" t="s">
        <v>66</v>
      </c>
      <c r="H632">
        <v>2</v>
      </c>
    </row>
    <row r="633" spans="1:8" x14ac:dyDescent="0.3">
      <c r="A633" t="s">
        <v>226</v>
      </c>
      <c r="B633">
        <v>2020</v>
      </c>
      <c r="C633" t="s">
        <v>271</v>
      </c>
      <c r="D633" t="s">
        <v>272</v>
      </c>
      <c r="E633" t="s">
        <v>65</v>
      </c>
      <c r="F633">
        <v>38801</v>
      </c>
      <c r="G633" t="s">
        <v>66</v>
      </c>
      <c r="H633">
        <v>1</v>
      </c>
    </row>
    <row r="634" spans="1:8" x14ac:dyDescent="0.3">
      <c r="A634" t="s">
        <v>226</v>
      </c>
      <c r="B634">
        <v>2021</v>
      </c>
      <c r="C634" t="s">
        <v>271</v>
      </c>
      <c r="D634" t="s">
        <v>272</v>
      </c>
      <c r="E634" t="s">
        <v>65</v>
      </c>
      <c r="F634">
        <v>38801</v>
      </c>
      <c r="G634" t="s">
        <v>66</v>
      </c>
      <c r="H634">
        <v>6</v>
      </c>
    </row>
    <row r="635" spans="1:8" x14ac:dyDescent="0.3">
      <c r="A635" t="s">
        <v>227</v>
      </c>
      <c r="B635">
        <v>2014</v>
      </c>
      <c r="C635" t="s">
        <v>271</v>
      </c>
      <c r="D635" t="s">
        <v>272</v>
      </c>
      <c r="E635" t="s">
        <v>65</v>
      </c>
      <c r="F635">
        <v>70000</v>
      </c>
      <c r="G635" t="s">
        <v>72</v>
      </c>
      <c r="H635">
        <v>1</v>
      </c>
    </row>
    <row r="636" spans="1:8" x14ac:dyDescent="0.3">
      <c r="A636" t="s">
        <v>227</v>
      </c>
      <c r="B636">
        <v>2018</v>
      </c>
      <c r="C636" t="s">
        <v>271</v>
      </c>
      <c r="D636" t="s">
        <v>272</v>
      </c>
      <c r="E636" t="s">
        <v>65</v>
      </c>
      <c r="F636">
        <v>70000</v>
      </c>
      <c r="G636" t="s">
        <v>72</v>
      </c>
      <c r="H636">
        <v>1</v>
      </c>
    </row>
    <row r="637" spans="1:8" x14ac:dyDescent="0.3">
      <c r="A637" t="s">
        <v>227</v>
      </c>
      <c r="B637">
        <v>2019</v>
      </c>
      <c r="C637" t="s">
        <v>271</v>
      </c>
      <c r="D637" t="s">
        <v>272</v>
      </c>
      <c r="E637" t="s">
        <v>65</v>
      </c>
      <c r="F637">
        <v>70000</v>
      </c>
      <c r="G637" t="s">
        <v>72</v>
      </c>
      <c r="H637">
        <v>3</v>
      </c>
    </row>
    <row r="638" spans="1:8" x14ac:dyDescent="0.3">
      <c r="A638" t="s">
        <v>227</v>
      </c>
      <c r="B638">
        <v>2020</v>
      </c>
      <c r="C638" t="s">
        <v>271</v>
      </c>
      <c r="D638" t="s">
        <v>272</v>
      </c>
      <c r="E638" t="s">
        <v>65</v>
      </c>
      <c r="F638">
        <v>70000</v>
      </c>
      <c r="G638" t="s">
        <v>72</v>
      </c>
      <c r="H638">
        <v>3</v>
      </c>
    </row>
    <row r="639" spans="1:8" x14ac:dyDescent="0.3">
      <c r="A639" t="s">
        <v>227</v>
      </c>
      <c r="B639">
        <v>2021</v>
      </c>
      <c r="C639" t="s">
        <v>271</v>
      </c>
      <c r="D639" t="s">
        <v>272</v>
      </c>
      <c r="E639" t="s">
        <v>65</v>
      </c>
      <c r="F639">
        <v>70000</v>
      </c>
      <c r="G639" t="s">
        <v>72</v>
      </c>
      <c r="H639">
        <v>3</v>
      </c>
    </row>
    <row r="640" spans="1:8" x14ac:dyDescent="0.3">
      <c r="A640" t="s">
        <v>228</v>
      </c>
      <c r="B640">
        <v>2015</v>
      </c>
      <c r="C640" t="s">
        <v>271</v>
      </c>
      <c r="D640" t="s">
        <v>272</v>
      </c>
      <c r="E640" t="s">
        <v>65</v>
      </c>
      <c r="F640">
        <v>26100</v>
      </c>
      <c r="G640" t="s">
        <v>72</v>
      </c>
      <c r="H640">
        <v>2</v>
      </c>
    </row>
    <row r="641" spans="1:8" x14ac:dyDescent="0.3">
      <c r="A641" t="s">
        <v>228</v>
      </c>
      <c r="B641">
        <v>2017</v>
      </c>
      <c r="C641" t="s">
        <v>271</v>
      </c>
      <c r="D641" t="s">
        <v>272</v>
      </c>
      <c r="E641" t="s">
        <v>65</v>
      </c>
      <c r="F641">
        <v>26100</v>
      </c>
      <c r="G641" t="s">
        <v>72</v>
      </c>
      <c r="H641">
        <v>1</v>
      </c>
    </row>
    <row r="642" spans="1:8" x14ac:dyDescent="0.3">
      <c r="A642" t="s">
        <v>228</v>
      </c>
      <c r="B642">
        <v>2020</v>
      </c>
      <c r="C642" t="s">
        <v>271</v>
      </c>
      <c r="D642" t="s">
        <v>272</v>
      </c>
      <c r="E642" t="s">
        <v>65</v>
      </c>
      <c r="F642">
        <v>26100</v>
      </c>
      <c r="G642" t="s">
        <v>72</v>
      </c>
      <c r="H642">
        <v>2</v>
      </c>
    </row>
    <row r="643" spans="1:8" x14ac:dyDescent="0.3">
      <c r="A643" t="s">
        <v>228</v>
      </c>
      <c r="B643">
        <v>2021</v>
      </c>
      <c r="C643" t="s">
        <v>271</v>
      </c>
      <c r="D643" t="s">
        <v>272</v>
      </c>
      <c r="E643" t="s">
        <v>65</v>
      </c>
      <c r="F643">
        <v>26100</v>
      </c>
      <c r="G643" t="s">
        <v>72</v>
      </c>
      <c r="H643">
        <v>4</v>
      </c>
    </row>
    <row r="644" spans="1:8" x14ac:dyDescent="0.3">
      <c r="A644" t="s">
        <v>229</v>
      </c>
      <c r="B644">
        <v>2014</v>
      </c>
      <c r="C644" t="s">
        <v>271</v>
      </c>
      <c r="D644" t="s">
        <v>272</v>
      </c>
      <c r="E644" t="s">
        <v>65</v>
      </c>
      <c r="F644">
        <v>12566</v>
      </c>
      <c r="G644" t="s">
        <v>72</v>
      </c>
      <c r="H644">
        <v>1</v>
      </c>
    </row>
    <row r="645" spans="1:8" x14ac:dyDescent="0.3">
      <c r="A645" t="s">
        <v>229</v>
      </c>
      <c r="B645">
        <v>2016</v>
      </c>
      <c r="C645" t="s">
        <v>271</v>
      </c>
      <c r="D645" t="s">
        <v>272</v>
      </c>
      <c r="E645" t="s">
        <v>65</v>
      </c>
      <c r="F645">
        <v>12566</v>
      </c>
      <c r="G645" t="s">
        <v>72</v>
      </c>
      <c r="H645">
        <v>1</v>
      </c>
    </row>
    <row r="646" spans="1:8" x14ac:dyDescent="0.3">
      <c r="A646" t="s">
        <v>229</v>
      </c>
      <c r="B646">
        <v>2018</v>
      </c>
      <c r="C646" t="s">
        <v>271</v>
      </c>
      <c r="D646" t="s">
        <v>272</v>
      </c>
      <c r="E646" t="s">
        <v>65</v>
      </c>
      <c r="F646">
        <v>12566</v>
      </c>
      <c r="G646" t="s">
        <v>72</v>
      </c>
      <c r="H646">
        <v>4</v>
      </c>
    </row>
    <row r="647" spans="1:8" x14ac:dyDescent="0.3">
      <c r="A647" t="s">
        <v>229</v>
      </c>
      <c r="B647">
        <v>2019</v>
      </c>
      <c r="C647" t="s">
        <v>271</v>
      </c>
      <c r="D647" t="s">
        <v>272</v>
      </c>
      <c r="E647" t="s">
        <v>65</v>
      </c>
      <c r="F647">
        <v>12566</v>
      </c>
      <c r="G647" t="s">
        <v>72</v>
      </c>
      <c r="H647">
        <v>6</v>
      </c>
    </row>
    <row r="648" spans="1:8" x14ac:dyDescent="0.3">
      <c r="A648" t="s">
        <v>229</v>
      </c>
      <c r="B648">
        <v>2020</v>
      </c>
      <c r="C648" t="s">
        <v>271</v>
      </c>
      <c r="D648" t="s">
        <v>272</v>
      </c>
      <c r="E648" t="s">
        <v>65</v>
      </c>
      <c r="F648">
        <v>12566</v>
      </c>
      <c r="G648" t="s">
        <v>72</v>
      </c>
      <c r="H648">
        <v>5</v>
      </c>
    </row>
    <row r="649" spans="1:8" x14ac:dyDescent="0.3">
      <c r="A649" t="s">
        <v>229</v>
      </c>
      <c r="B649">
        <v>2021</v>
      </c>
      <c r="C649" t="s">
        <v>271</v>
      </c>
      <c r="D649" t="s">
        <v>272</v>
      </c>
      <c r="E649" t="s">
        <v>65</v>
      </c>
      <c r="F649">
        <v>12566</v>
      </c>
      <c r="G649" t="s">
        <v>72</v>
      </c>
      <c r="H649">
        <v>2</v>
      </c>
    </row>
    <row r="650" spans="1:8" x14ac:dyDescent="0.3">
      <c r="A650" t="s">
        <v>230</v>
      </c>
      <c r="B650">
        <v>2015</v>
      </c>
      <c r="C650" t="s">
        <v>271</v>
      </c>
      <c r="D650" t="s">
        <v>272</v>
      </c>
      <c r="E650" t="s">
        <v>65</v>
      </c>
      <c r="F650">
        <v>33289</v>
      </c>
      <c r="G650" t="s">
        <v>72</v>
      </c>
      <c r="H650">
        <v>2</v>
      </c>
    </row>
    <row r="651" spans="1:8" x14ac:dyDescent="0.3">
      <c r="A651" t="s">
        <v>230</v>
      </c>
      <c r="B651">
        <v>2016</v>
      </c>
      <c r="C651" t="s">
        <v>271</v>
      </c>
      <c r="D651" t="s">
        <v>272</v>
      </c>
      <c r="E651" t="s">
        <v>65</v>
      </c>
      <c r="F651">
        <v>33289</v>
      </c>
      <c r="G651" t="s">
        <v>72</v>
      </c>
      <c r="H651">
        <v>1</v>
      </c>
    </row>
    <row r="652" spans="1:8" x14ac:dyDescent="0.3">
      <c r="A652" t="s">
        <v>230</v>
      </c>
      <c r="B652">
        <v>2018</v>
      </c>
      <c r="C652" t="s">
        <v>271</v>
      </c>
      <c r="D652" t="s">
        <v>272</v>
      </c>
      <c r="E652" t="s">
        <v>65</v>
      </c>
      <c r="F652">
        <v>33289</v>
      </c>
      <c r="G652" t="s">
        <v>72</v>
      </c>
      <c r="H652">
        <v>2</v>
      </c>
    </row>
    <row r="653" spans="1:8" x14ac:dyDescent="0.3">
      <c r="A653" t="s">
        <v>230</v>
      </c>
      <c r="B653">
        <v>2020</v>
      </c>
      <c r="C653" t="s">
        <v>271</v>
      </c>
      <c r="D653" t="s">
        <v>272</v>
      </c>
      <c r="E653" t="s">
        <v>65</v>
      </c>
      <c r="F653">
        <v>33289</v>
      </c>
      <c r="G653" t="s">
        <v>72</v>
      </c>
      <c r="H653">
        <v>5</v>
      </c>
    </row>
    <row r="654" spans="1:8" x14ac:dyDescent="0.3">
      <c r="A654" t="s">
        <v>230</v>
      </c>
      <c r="B654">
        <v>2021</v>
      </c>
      <c r="C654" t="s">
        <v>271</v>
      </c>
      <c r="D654" t="s">
        <v>272</v>
      </c>
      <c r="E654" t="s">
        <v>65</v>
      </c>
      <c r="F654">
        <v>33289</v>
      </c>
      <c r="G654" t="s">
        <v>72</v>
      </c>
      <c r="H654">
        <v>3</v>
      </c>
    </row>
    <row r="655" spans="1:8" x14ac:dyDescent="0.3">
      <c r="A655" t="s">
        <v>231</v>
      </c>
      <c r="B655">
        <v>2014</v>
      </c>
      <c r="C655" t="s">
        <v>271</v>
      </c>
      <c r="D655" t="s">
        <v>272</v>
      </c>
      <c r="E655" t="s">
        <v>65</v>
      </c>
      <c r="F655">
        <v>95901</v>
      </c>
      <c r="G655" t="s">
        <v>72</v>
      </c>
      <c r="H655">
        <v>7</v>
      </c>
    </row>
    <row r="656" spans="1:8" x14ac:dyDescent="0.3">
      <c r="A656" t="s">
        <v>231</v>
      </c>
      <c r="B656">
        <v>2015</v>
      </c>
      <c r="C656" t="s">
        <v>271</v>
      </c>
      <c r="D656" t="s">
        <v>272</v>
      </c>
      <c r="E656" t="s">
        <v>65</v>
      </c>
      <c r="F656">
        <v>95901</v>
      </c>
      <c r="G656" t="s">
        <v>72</v>
      </c>
      <c r="H656">
        <v>9</v>
      </c>
    </row>
    <row r="657" spans="1:8" x14ac:dyDescent="0.3">
      <c r="A657" t="s">
        <v>231</v>
      </c>
      <c r="B657">
        <v>2016</v>
      </c>
      <c r="C657" t="s">
        <v>271</v>
      </c>
      <c r="D657" t="s">
        <v>272</v>
      </c>
      <c r="E657" t="s">
        <v>65</v>
      </c>
      <c r="F657">
        <v>95901</v>
      </c>
      <c r="G657" t="s">
        <v>72</v>
      </c>
      <c r="H657">
        <v>6</v>
      </c>
    </row>
    <row r="658" spans="1:8" x14ac:dyDescent="0.3">
      <c r="A658" t="s">
        <v>231</v>
      </c>
      <c r="B658">
        <v>2017</v>
      </c>
      <c r="C658" t="s">
        <v>271</v>
      </c>
      <c r="D658" t="s">
        <v>272</v>
      </c>
      <c r="E658" t="s">
        <v>65</v>
      </c>
      <c r="F658">
        <v>95901</v>
      </c>
      <c r="G658" t="s">
        <v>72</v>
      </c>
      <c r="H658">
        <v>7</v>
      </c>
    </row>
    <row r="659" spans="1:8" x14ac:dyDescent="0.3">
      <c r="A659" t="s">
        <v>231</v>
      </c>
      <c r="B659">
        <v>2018</v>
      </c>
      <c r="C659" t="s">
        <v>271</v>
      </c>
      <c r="D659" t="s">
        <v>272</v>
      </c>
      <c r="E659" t="s">
        <v>65</v>
      </c>
      <c r="F659">
        <v>95901</v>
      </c>
      <c r="G659" t="s">
        <v>72</v>
      </c>
      <c r="H659">
        <v>10</v>
      </c>
    </row>
    <row r="660" spans="1:8" x14ac:dyDescent="0.3">
      <c r="A660" t="s">
        <v>231</v>
      </c>
      <c r="B660">
        <v>2020</v>
      </c>
      <c r="C660" t="s">
        <v>271</v>
      </c>
      <c r="D660" t="s">
        <v>272</v>
      </c>
      <c r="E660" t="s">
        <v>65</v>
      </c>
      <c r="F660">
        <v>95901</v>
      </c>
      <c r="G660" t="s">
        <v>72</v>
      </c>
      <c r="H660">
        <v>3</v>
      </c>
    </row>
    <row r="661" spans="1:8" x14ac:dyDescent="0.3">
      <c r="A661" t="s">
        <v>231</v>
      </c>
      <c r="B661">
        <v>2021</v>
      </c>
      <c r="C661" t="s">
        <v>271</v>
      </c>
      <c r="D661" t="s">
        <v>272</v>
      </c>
      <c r="E661" t="s">
        <v>65</v>
      </c>
      <c r="F661">
        <v>95901</v>
      </c>
      <c r="G661" t="s">
        <v>72</v>
      </c>
      <c r="H661">
        <v>4</v>
      </c>
    </row>
    <row r="662" spans="1:8" x14ac:dyDescent="0.3">
      <c r="A662" t="s">
        <v>232</v>
      </c>
      <c r="B662">
        <v>2014</v>
      </c>
      <c r="C662" t="s">
        <v>271</v>
      </c>
      <c r="D662" t="s">
        <v>272</v>
      </c>
      <c r="E662" t="s">
        <v>65</v>
      </c>
      <c r="F662">
        <v>73200</v>
      </c>
      <c r="G662" t="s">
        <v>72</v>
      </c>
      <c r="H662">
        <v>2</v>
      </c>
    </row>
    <row r="663" spans="1:8" x14ac:dyDescent="0.3">
      <c r="A663" t="s">
        <v>232</v>
      </c>
      <c r="B663">
        <v>2017</v>
      </c>
      <c r="C663" t="s">
        <v>271</v>
      </c>
      <c r="D663" t="s">
        <v>272</v>
      </c>
      <c r="E663" t="s">
        <v>65</v>
      </c>
      <c r="F663">
        <v>73200</v>
      </c>
      <c r="G663" t="s">
        <v>72</v>
      </c>
      <c r="H663">
        <v>1</v>
      </c>
    </row>
    <row r="664" spans="1:8" x14ac:dyDescent="0.3">
      <c r="A664" t="s">
        <v>232</v>
      </c>
      <c r="B664">
        <v>2019</v>
      </c>
      <c r="C664" t="s">
        <v>271</v>
      </c>
      <c r="D664" t="s">
        <v>272</v>
      </c>
      <c r="E664" t="s">
        <v>65</v>
      </c>
      <c r="F664">
        <v>73200</v>
      </c>
      <c r="G664" t="s">
        <v>72</v>
      </c>
      <c r="H664">
        <v>3</v>
      </c>
    </row>
    <row r="665" spans="1:8" x14ac:dyDescent="0.3">
      <c r="A665" t="s">
        <v>232</v>
      </c>
      <c r="B665">
        <v>2021</v>
      </c>
      <c r="C665" t="s">
        <v>271</v>
      </c>
      <c r="D665" t="s">
        <v>272</v>
      </c>
      <c r="E665" t="s">
        <v>65</v>
      </c>
      <c r="F665">
        <v>73200</v>
      </c>
      <c r="G665" t="s">
        <v>72</v>
      </c>
      <c r="H665">
        <v>5</v>
      </c>
    </row>
    <row r="666" spans="1:8" x14ac:dyDescent="0.3">
      <c r="A666" t="s">
        <v>233</v>
      </c>
      <c r="B666">
        <v>2014</v>
      </c>
      <c r="C666" t="s">
        <v>271</v>
      </c>
      <c r="D666" t="s">
        <v>272</v>
      </c>
      <c r="E666" t="s">
        <v>65</v>
      </c>
      <c r="F666">
        <v>88846</v>
      </c>
      <c r="G666" t="s">
        <v>72</v>
      </c>
      <c r="H666">
        <v>2</v>
      </c>
    </row>
    <row r="667" spans="1:8" x14ac:dyDescent="0.3">
      <c r="A667" t="s">
        <v>233</v>
      </c>
      <c r="B667">
        <v>2015</v>
      </c>
      <c r="C667" t="s">
        <v>271</v>
      </c>
      <c r="D667" t="s">
        <v>272</v>
      </c>
      <c r="E667" t="s">
        <v>65</v>
      </c>
      <c r="F667">
        <v>88846</v>
      </c>
      <c r="G667" t="s">
        <v>72</v>
      </c>
      <c r="H667">
        <v>1</v>
      </c>
    </row>
    <row r="668" spans="1:8" x14ac:dyDescent="0.3">
      <c r="A668" t="s">
        <v>233</v>
      </c>
      <c r="B668">
        <v>2016</v>
      </c>
      <c r="C668" t="s">
        <v>271</v>
      </c>
      <c r="D668" t="s">
        <v>272</v>
      </c>
      <c r="E668" t="s">
        <v>65</v>
      </c>
      <c r="F668">
        <v>88846</v>
      </c>
      <c r="G668" t="s">
        <v>72</v>
      </c>
      <c r="H668">
        <v>4</v>
      </c>
    </row>
    <row r="669" spans="1:8" x14ac:dyDescent="0.3">
      <c r="A669" t="s">
        <v>233</v>
      </c>
      <c r="B669">
        <v>2017</v>
      </c>
      <c r="C669" t="s">
        <v>271</v>
      </c>
      <c r="D669" t="s">
        <v>272</v>
      </c>
      <c r="E669" t="s">
        <v>65</v>
      </c>
      <c r="F669">
        <v>88846</v>
      </c>
      <c r="G669" t="s">
        <v>72</v>
      </c>
      <c r="H669">
        <v>4</v>
      </c>
    </row>
    <row r="670" spans="1:8" x14ac:dyDescent="0.3">
      <c r="A670" t="s">
        <v>233</v>
      </c>
      <c r="B670">
        <v>2018</v>
      </c>
      <c r="C670" t="s">
        <v>271</v>
      </c>
      <c r="D670" t="s">
        <v>272</v>
      </c>
      <c r="E670" t="s">
        <v>65</v>
      </c>
      <c r="F670">
        <v>88846</v>
      </c>
      <c r="G670" t="s">
        <v>72</v>
      </c>
      <c r="H670">
        <v>8</v>
      </c>
    </row>
    <row r="671" spans="1:8" x14ac:dyDescent="0.3">
      <c r="A671" t="s">
        <v>233</v>
      </c>
      <c r="B671">
        <v>2019</v>
      </c>
      <c r="C671" t="s">
        <v>271</v>
      </c>
      <c r="D671" t="s">
        <v>272</v>
      </c>
      <c r="E671" t="s">
        <v>65</v>
      </c>
      <c r="F671">
        <v>88846</v>
      </c>
      <c r="G671" t="s">
        <v>72</v>
      </c>
      <c r="H671">
        <v>5</v>
      </c>
    </row>
    <row r="672" spans="1:8" x14ac:dyDescent="0.3">
      <c r="A672" t="s">
        <v>233</v>
      </c>
      <c r="B672">
        <v>2021</v>
      </c>
      <c r="C672" t="s">
        <v>271</v>
      </c>
      <c r="D672" t="s">
        <v>272</v>
      </c>
      <c r="E672" t="s">
        <v>65</v>
      </c>
      <c r="F672">
        <v>88846</v>
      </c>
      <c r="G672" t="s">
        <v>72</v>
      </c>
      <c r="H672">
        <v>1</v>
      </c>
    </row>
    <row r="673" spans="1:8" x14ac:dyDescent="0.3">
      <c r="A673" t="s">
        <v>234</v>
      </c>
      <c r="B673">
        <v>2014</v>
      </c>
      <c r="C673" t="s">
        <v>271</v>
      </c>
      <c r="D673" t="s">
        <v>272</v>
      </c>
      <c r="E673" t="s">
        <v>65</v>
      </c>
      <c r="F673">
        <v>99600</v>
      </c>
      <c r="G673" t="s">
        <v>72</v>
      </c>
      <c r="H673">
        <v>1</v>
      </c>
    </row>
    <row r="674" spans="1:8" x14ac:dyDescent="0.3">
      <c r="A674" t="s">
        <v>234</v>
      </c>
      <c r="B674">
        <v>2015</v>
      </c>
      <c r="C674" t="s">
        <v>271</v>
      </c>
      <c r="D674" t="s">
        <v>272</v>
      </c>
      <c r="E674" t="s">
        <v>65</v>
      </c>
      <c r="F674">
        <v>99600</v>
      </c>
      <c r="G674" t="s">
        <v>72</v>
      </c>
      <c r="H674">
        <v>14</v>
      </c>
    </row>
    <row r="675" spans="1:8" x14ac:dyDescent="0.3">
      <c r="A675" t="s">
        <v>234</v>
      </c>
      <c r="B675">
        <v>2016</v>
      </c>
      <c r="C675" t="s">
        <v>271</v>
      </c>
      <c r="D675" t="s">
        <v>272</v>
      </c>
      <c r="E675" t="s">
        <v>65</v>
      </c>
      <c r="F675">
        <v>99600</v>
      </c>
      <c r="G675" t="s">
        <v>72</v>
      </c>
      <c r="H675">
        <v>6</v>
      </c>
    </row>
    <row r="676" spans="1:8" x14ac:dyDescent="0.3">
      <c r="A676" t="s">
        <v>234</v>
      </c>
      <c r="B676">
        <v>2017</v>
      </c>
      <c r="C676" t="s">
        <v>271</v>
      </c>
      <c r="D676" t="s">
        <v>272</v>
      </c>
      <c r="E676" t="s">
        <v>65</v>
      </c>
      <c r="F676">
        <v>99600</v>
      </c>
      <c r="G676" t="s">
        <v>72</v>
      </c>
      <c r="H676">
        <v>5</v>
      </c>
    </row>
    <row r="677" spans="1:8" x14ac:dyDescent="0.3">
      <c r="A677" t="s">
        <v>234</v>
      </c>
      <c r="B677">
        <v>2018</v>
      </c>
      <c r="C677" t="s">
        <v>271</v>
      </c>
      <c r="D677" t="s">
        <v>272</v>
      </c>
      <c r="E677" t="s">
        <v>65</v>
      </c>
      <c r="F677">
        <v>99600</v>
      </c>
      <c r="G677" t="s">
        <v>72</v>
      </c>
      <c r="H677">
        <v>5</v>
      </c>
    </row>
    <row r="678" spans="1:8" x14ac:dyDescent="0.3">
      <c r="A678" t="s">
        <v>234</v>
      </c>
      <c r="B678">
        <v>2019</v>
      </c>
      <c r="C678" t="s">
        <v>271</v>
      </c>
      <c r="D678" t="s">
        <v>272</v>
      </c>
      <c r="E678" t="s">
        <v>65</v>
      </c>
      <c r="F678">
        <v>99600</v>
      </c>
      <c r="G678" t="s">
        <v>72</v>
      </c>
      <c r="H678">
        <v>1</v>
      </c>
    </row>
    <row r="679" spans="1:8" x14ac:dyDescent="0.3">
      <c r="A679" t="s">
        <v>234</v>
      </c>
      <c r="B679">
        <v>2020</v>
      </c>
      <c r="C679" t="s">
        <v>271</v>
      </c>
      <c r="D679" t="s">
        <v>272</v>
      </c>
      <c r="E679" t="s">
        <v>65</v>
      </c>
      <c r="F679">
        <v>99600</v>
      </c>
      <c r="G679" t="s">
        <v>72</v>
      </c>
      <c r="H679">
        <v>1</v>
      </c>
    </row>
    <row r="680" spans="1:8" x14ac:dyDescent="0.3">
      <c r="A680" t="s">
        <v>234</v>
      </c>
      <c r="B680">
        <v>2021</v>
      </c>
      <c r="C680" t="s">
        <v>271</v>
      </c>
      <c r="D680" t="s">
        <v>272</v>
      </c>
      <c r="E680" t="s">
        <v>65</v>
      </c>
      <c r="F680">
        <v>99600</v>
      </c>
      <c r="G680" t="s">
        <v>72</v>
      </c>
      <c r="H680">
        <v>2</v>
      </c>
    </row>
    <row r="681" spans="1:8" x14ac:dyDescent="0.3">
      <c r="A681" t="s">
        <v>120</v>
      </c>
      <c r="B681">
        <v>2014</v>
      </c>
      <c r="C681" t="s">
        <v>271</v>
      </c>
      <c r="D681" t="s">
        <v>272</v>
      </c>
      <c r="E681" t="s">
        <v>65</v>
      </c>
      <c r="F681">
        <v>28000</v>
      </c>
      <c r="G681" t="s">
        <v>72</v>
      </c>
      <c r="H681">
        <v>1</v>
      </c>
    </row>
    <row r="682" spans="1:8" x14ac:dyDescent="0.3">
      <c r="A682" t="s">
        <v>120</v>
      </c>
      <c r="B682">
        <v>2015</v>
      </c>
      <c r="C682" t="s">
        <v>271</v>
      </c>
      <c r="D682" t="s">
        <v>272</v>
      </c>
      <c r="E682" t="s">
        <v>65</v>
      </c>
      <c r="F682">
        <v>28000</v>
      </c>
      <c r="G682" t="s">
        <v>72</v>
      </c>
      <c r="H682">
        <v>8</v>
      </c>
    </row>
    <row r="683" spans="1:8" x14ac:dyDescent="0.3">
      <c r="A683" t="s">
        <v>120</v>
      </c>
      <c r="B683">
        <v>2016</v>
      </c>
      <c r="C683" t="s">
        <v>271</v>
      </c>
      <c r="D683" t="s">
        <v>272</v>
      </c>
      <c r="E683" t="s">
        <v>65</v>
      </c>
      <c r="F683">
        <v>28000</v>
      </c>
      <c r="G683" t="s">
        <v>72</v>
      </c>
      <c r="H683">
        <v>3</v>
      </c>
    </row>
    <row r="684" spans="1:8" x14ac:dyDescent="0.3">
      <c r="A684" t="s">
        <v>120</v>
      </c>
      <c r="B684">
        <v>2017</v>
      </c>
      <c r="C684" t="s">
        <v>271</v>
      </c>
      <c r="D684" t="s">
        <v>272</v>
      </c>
      <c r="E684" t="s">
        <v>65</v>
      </c>
      <c r="F684">
        <v>28000</v>
      </c>
      <c r="G684" t="s">
        <v>72</v>
      </c>
      <c r="H684">
        <v>5</v>
      </c>
    </row>
    <row r="685" spans="1:8" x14ac:dyDescent="0.3">
      <c r="A685" t="s">
        <v>120</v>
      </c>
      <c r="B685">
        <v>2018</v>
      </c>
      <c r="C685" t="s">
        <v>271</v>
      </c>
      <c r="D685" t="s">
        <v>272</v>
      </c>
      <c r="E685" t="s">
        <v>65</v>
      </c>
      <c r="F685">
        <v>28000</v>
      </c>
      <c r="G685" t="s">
        <v>72</v>
      </c>
      <c r="H685">
        <v>4</v>
      </c>
    </row>
    <row r="686" spans="1:8" x14ac:dyDescent="0.3">
      <c r="A686" t="s">
        <v>120</v>
      </c>
      <c r="B686">
        <v>2021</v>
      </c>
      <c r="C686" t="s">
        <v>271</v>
      </c>
      <c r="D686" t="s">
        <v>272</v>
      </c>
      <c r="E686" t="s">
        <v>65</v>
      </c>
      <c r="F686">
        <v>28000</v>
      </c>
      <c r="G686" t="s">
        <v>72</v>
      </c>
      <c r="H686">
        <v>4</v>
      </c>
    </row>
    <row r="687" spans="1:8" x14ac:dyDescent="0.3">
      <c r="A687" t="s">
        <v>235</v>
      </c>
      <c r="B687">
        <v>2016</v>
      </c>
      <c r="C687" t="s">
        <v>271</v>
      </c>
      <c r="D687" t="s">
        <v>272</v>
      </c>
      <c r="E687" t="s">
        <v>65</v>
      </c>
      <c r="F687">
        <v>39500</v>
      </c>
      <c r="G687" t="s">
        <v>72</v>
      </c>
      <c r="H687">
        <v>1</v>
      </c>
    </row>
    <row r="688" spans="1:8" x14ac:dyDescent="0.3">
      <c r="A688" t="s">
        <v>235</v>
      </c>
      <c r="B688">
        <v>2017</v>
      </c>
      <c r="C688" t="s">
        <v>271</v>
      </c>
      <c r="D688" t="s">
        <v>272</v>
      </c>
      <c r="E688" t="s">
        <v>65</v>
      </c>
      <c r="F688">
        <v>39500</v>
      </c>
      <c r="G688" t="s">
        <v>72</v>
      </c>
      <c r="H688">
        <v>1</v>
      </c>
    </row>
    <row r="689" spans="1:8" x14ac:dyDescent="0.3">
      <c r="A689" t="s">
        <v>235</v>
      </c>
      <c r="B689">
        <v>2021</v>
      </c>
      <c r="C689" t="s">
        <v>271</v>
      </c>
      <c r="D689" t="s">
        <v>272</v>
      </c>
      <c r="E689" t="s">
        <v>65</v>
      </c>
      <c r="F689">
        <v>39500</v>
      </c>
      <c r="G689" t="s">
        <v>72</v>
      </c>
      <c r="H689">
        <v>1</v>
      </c>
    </row>
    <row r="690" spans="1:8" x14ac:dyDescent="0.3">
      <c r="A690" t="s">
        <v>236</v>
      </c>
      <c r="B690">
        <v>2016</v>
      </c>
      <c r="C690" t="s">
        <v>271</v>
      </c>
      <c r="D690" t="s">
        <v>272</v>
      </c>
      <c r="E690" t="s">
        <v>65</v>
      </c>
      <c r="F690">
        <v>9963</v>
      </c>
      <c r="G690" t="s">
        <v>66</v>
      </c>
      <c r="H690">
        <v>1</v>
      </c>
    </row>
    <row r="691" spans="1:8" x14ac:dyDescent="0.3">
      <c r="A691" t="s">
        <v>238</v>
      </c>
      <c r="B691">
        <v>2014</v>
      </c>
      <c r="C691" t="s">
        <v>271</v>
      </c>
      <c r="D691" t="s">
        <v>272</v>
      </c>
      <c r="E691" t="s">
        <v>65</v>
      </c>
      <c r="F691">
        <v>322500</v>
      </c>
      <c r="G691" t="s">
        <v>83</v>
      </c>
      <c r="H691">
        <v>47</v>
      </c>
    </row>
    <row r="692" spans="1:8" x14ac:dyDescent="0.3">
      <c r="A692" t="s">
        <v>238</v>
      </c>
      <c r="B692">
        <v>2015</v>
      </c>
      <c r="C692" t="s">
        <v>271</v>
      </c>
      <c r="D692" t="s">
        <v>272</v>
      </c>
      <c r="E692" t="s">
        <v>65</v>
      </c>
      <c r="F692">
        <v>322500</v>
      </c>
      <c r="G692" t="s">
        <v>83</v>
      </c>
      <c r="H692">
        <v>56</v>
      </c>
    </row>
    <row r="693" spans="1:8" x14ac:dyDescent="0.3">
      <c r="A693" t="s">
        <v>238</v>
      </c>
      <c r="B693">
        <v>2016</v>
      </c>
      <c r="C693" t="s">
        <v>271</v>
      </c>
      <c r="D693" t="s">
        <v>272</v>
      </c>
      <c r="E693" t="s">
        <v>65</v>
      </c>
      <c r="F693">
        <v>322500</v>
      </c>
      <c r="G693" t="s">
        <v>83</v>
      </c>
      <c r="H693">
        <v>54</v>
      </c>
    </row>
    <row r="694" spans="1:8" x14ac:dyDescent="0.3">
      <c r="A694" t="s">
        <v>238</v>
      </c>
      <c r="B694">
        <v>2017</v>
      </c>
      <c r="C694" t="s">
        <v>271</v>
      </c>
      <c r="D694" t="s">
        <v>272</v>
      </c>
      <c r="E694" t="s">
        <v>65</v>
      </c>
      <c r="F694">
        <v>322500</v>
      </c>
      <c r="G694" t="s">
        <v>83</v>
      </c>
      <c r="H694">
        <v>17</v>
      </c>
    </row>
    <row r="695" spans="1:8" x14ac:dyDescent="0.3">
      <c r="A695" t="s">
        <v>238</v>
      </c>
      <c r="B695">
        <v>2018</v>
      </c>
      <c r="C695" t="s">
        <v>271</v>
      </c>
      <c r="D695" t="s">
        <v>272</v>
      </c>
      <c r="E695" t="s">
        <v>65</v>
      </c>
      <c r="F695">
        <v>322500</v>
      </c>
      <c r="G695" t="s">
        <v>83</v>
      </c>
      <c r="H695">
        <v>36</v>
      </c>
    </row>
    <row r="696" spans="1:8" x14ac:dyDescent="0.3">
      <c r="A696" t="s">
        <v>238</v>
      </c>
      <c r="B696">
        <v>2019</v>
      </c>
      <c r="C696" t="s">
        <v>271</v>
      </c>
      <c r="D696" t="s">
        <v>272</v>
      </c>
      <c r="E696" t="s">
        <v>65</v>
      </c>
      <c r="F696">
        <v>322500</v>
      </c>
      <c r="G696" t="s">
        <v>83</v>
      </c>
      <c r="H696">
        <v>35</v>
      </c>
    </row>
    <row r="697" spans="1:8" x14ac:dyDescent="0.3">
      <c r="A697" t="s">
        <v>238</v>
      </c>
      <c r="B697">
        <v>2020</v>
      </c>
      <c r="C697" t="s">
        <v>271</v>
      </c>
      <c r="D697" t="s">
        <v>272</v>
      </c>
      <c r="E697" t="s">
        <v>65</v>
      </c>
      <c r="F697">
        <v>322500</v>
      </c>
      <c r="G697" t="s">
        <v>83</v>
      </c>
      <c r="H697">
        <v>2</v>
      </c>
    </row>
    <row r="698" spans="1:8" x14ac:dyDescent="0.3">
      <c r="A698" t="s">
        <v>238</v>
      </c>
      <c r="B698">
        <v>2021</v>
      </c>
      <c r="C698" t="s">
        <v>271</v>
      </c>
      <c r="D698" t="s">
        <v>272</v>
      </c>
      <c r="E698" t="s">
        <v>65</v>
      </c>
      <c r="F698">
        <v>322500</v>
      </c>
      <c r="G698" t="s">
        <v>83</v>
      </c>
      <c r="H698">
        <v>12</v>
      </c>
    </row>
    <row r="699" spans="1:8" x14ac:dyDescent="0.3">
      <c r="A699" t="s">
        <v>239</v>
      </c>
      <c r="B699">
        <v>2017</v>
      </c>
      <c r="C699" t="s">
        <v>271</v>
      </c>
      <c r="D699" t="s">
        <v>272</v>
      </c>
      <c r="E699" t="s">
        <v>65</v>
      </c>
      <c r="F699">
        <v>2200</v>
      </c>
      <c r="G699" t="s">
        <v>66</v>
      </c>
      <c r="H699">
        <v>1</v>
      </c>
    </row>
    <row r="700" spans="1:8" x14ac:dyDescent="0.3">
      <c r="A700" t="s">
        <v>240</v>
      </c>
      <c r="B700">
        <v>2018</v>
      </c>
      <c r="C700" t="s">
        <v>271</v>
      </c>
      <c r="D700" t="s">
        <v>272</v>
      </c>
      <c r="E700" t="s">
        <v>65</v>
      </c>
      <c r="F700">
        <v>1425</v>
      </c>
      <c r="G700" t="s">
        <v>66</v>
      </c>
      <c r="H700">
        <v>5</v>
      </c>
    </row>
    <row r="701" spans="1:8" x14ac:dyDescent="0.3">
      <c r="A701" t="s">
        <v>240</v>
      </c>
      <c r="B701">
        <v>2019</v>
      </c>
      <c r="C701" t="s">
        <v>271</v>
      </c>
      <c r="D701" t="s">
        <v>272</v>
      </c>
      <c r="E701" t="s">
        <v>65</v>
      </c>
      <c r="F701">
        <v>1425</v>
      </c>
      <c r="G701" t="s">
        <v>66</v>
      </c>
      <c r="H701">
        <v>1</v>
      </c>
    </row>
    <row r="702" spans="1:8" x14ac:dyDescent="0.3">
      <c r="A702" t="s">
        <v>240</v>
      </c>
      <c r="B702">
        <v>2021</v>
      </c>
      <c r="C702" t="s">
        <v>271</v>
      </c>
      <c r="D702" t="s">
        <v>272</v>
      </c>
      <c r="E702" t="s">
        <v>65</v>
      </c>
      <c r="F702">
        <v>1425</v>
      </c>
      <c r="G702" t="s">
        <v>66</v>
      </c>
      <c r="H702">
        <v>1</v>
      </c>
    </row>
    <row r="703" spans="1:8" x14ac:dyDescent="0.3">
      <c r="A703" t="s">
        <v>241</v>
      </c>
      <c r="B703">
        <v>2014</v>
      </c>
      <c r="C703" t="s">
        <v>271</v>
      </c>
      <c r="D703" t="s">
        <v>272</v>
      </c>
      <c r="E703" t="s">
        <v>65</v>
      </c>
      <c r="F703">
        <v>17698</v>
      </c>
      <c r="G703" t="s">
        <v>72</v>
      </c>
      <c r="H703">
        <v>5</v>
      </c>
    </row>
    <row r="704" spans="1:8" x14ac:dyDescent="0.3">
      <c r="A704" t="s">
        <v>241</v>
      </c>
      <c r="B704">
        <v>2015</v>
      </c>
      <c r="C704" t="s">
        <v>271</v>
      </c>
      <c r="D704" t="s">
        <v>272</v>
      </c>
      <c r="E704" t="s">
        <v>65</v>
      </c>
      <c r="F704">
        <v>17698</v>
      </c>
      <c r="G704" t="s">
        <v>72</v>
      </c>
      <c r="H704">
        <v>6</v>
      </c>
    </row>
    <row r="705" spans="1:8" x14ac:dyDescent="0.3">
      <c r="A705" t="s">
        <v>241</v>
      </c>
      <c r="B705">
        <v>2016</v>
      </c>
      <c r="C705" t="s">
        <v>271</v>
      </c>
      <c r="D705" t="s">
        <v>272</v>
      </c>
      <c r="E705" t="s">
        <v>65</v>
      </c>
      <c r="F705">
        <v>17698</v>
      </c>
      <c r="G705" t="s">
        <v>72</v>
      </c>
      <c r="H705">
        <v>6</v>
      </c>
    </row>
    <row r="706" spans="1:8" x14ac:dyDescent="0.3">
      <c r="A706" t="s">
        <v>241</v>
      </c>
      <c r="B706">
        <v>2017</v>
      </c>
      <c r="C706" t="s">
        <v>271</v>
      </c>
      <c r="D706" t="s">
        <v>272</v>
      </c>
      <c r="E706" t="s">
        <v>65</v>
      </c>
      <c r="F706">
        <v>17698</v>
      </c>
      <c r="G706" t="s">
        <v>72</v>
      </c>
      <c r="H706">
        <v>3</v>
      </c>
    </row>
    <row r="707" spans="1:8" x14ac:dyDescent="0.3">
      <c r="A707" t="s">
        <v>241</v>
      </c>
      <c r="B707">
        <v>2018</v>
      </c>
      <c r="C707" t="s">
        <v>271</v>
      </c>
      <c r="D707" t="s">
        <v>272</v>
      </c>
      <c r="E707" t="s">
        <v>65</v>
      </c>
      <c r="F707">
        <v>17698</v>
      </c>
      <c r="G707" t="s">
        <v>72</v>
      </c>
      <c r="H707">
        <v>1</v>
      </c>
    </row>
    <row r="708" spans="1:8" x14ac:dyDescent="0.3">
      <c r="A708" t="s">
        <v>241</v>
      </c>
      <c r="B708">
        <v>2019</v>
      </c>
      <c r="C708" t="s">
        <v>271</v>
      </c>
      <c r="D708" t="s">
        <v>272</v>
      </c>
      <c r="E708" t="s">
        <v>65</v>
      </c>
      <c r="F708">
        <v>17698</v>
      </c>
      <c r="G708" t="s">
        <v>72</v>
      </c>
      <c r="H708">
        <v>3</v>
      </c>
    </row>
    <row r="709" spans="1:8" x14ac:dyDescent="0.3">
      <c r="A709" t="s">
        <v>241</v>
      </c>
      <c r="B709">
        <v>2020</v>
      </c>
      <c r="C709" t="s">
        <v>271</v>
      </c>
      <c r="D709" t="s">
        <v>272</v>
      </c>
      <c r="E709" t="s">
        <v>65</v>
      </c>
      <c r="F709">
        <v>17698</v>
      </c>
      <c r="G709" t="s">
        <v>72</v>
      </c>
      <c r="H709">
        <v>2</v>
      </c>
    </row>
    <row r="710" spans="1:8" x14ac:dyDescent="0.3">
      <c r="A710" t="s">
        <v>242</v>
      </c>
      <c r="B710">
        <v>2014</v>
      </c>
      <c r="C710" t="s">
        <v>271</v>
      </c>
      <c r="D710" t="s">
        <v>272</v>
      </c>
      <c r="E710" t="s">
        <v>65</v>
      </c>
      <c r="F710">
        <v>18000</v>
      </c>
      <c r="G710" t="s">
        <v>72</v>
      </c>
      <c r="H710">
        <v>1</v>
      </c>
    </row>
    <row r="711" spans="1:8" x14ac:dyDescent="0.3">
      <c r="A711" t="s">
        <v>242</v>
      </c>
      <c r="B711">
        <v>2015</v>
      </c>
      <c r="C711" t="s">
        <v>271</v>
      </c>
      <c r="D711" t="s">
        <v>272</v>
      </c>
      <c r="E711" t="s">
        <v>65</v>
      </c>
      <c r="F711">
        <v>18000</v>
      </c>
      <c r="G711" t="s">
        <v>72</v>
      </c>
      <c r="H711">
        <v>2</v>
      </c>
    </row>
    <row r="712" spans="1:8" x14ac:dyDescent="0.3">
      <c r="A712" t="s">
        <v>242</v>
      </c>
      <c r="B712">
        <v>2016</v>
      </c>
      <c r="C712" t="s">
        <v>271</v>
      </c>
      <c r="D712" t="s">
        <v>272</v>
      </c>
      <c r="E712" t="s">
        <v>65</v>
      </c>
      <c r="F712">
        <v>18000</v>
      </c>
      <c r="G712" t="s">
        <v>72</v>
      </c>
      <c r="H712">
        <v>5</v>
      </c>
    </row>
    <row r="713" spans="1:8" x14ac:dyDescent="0.3">
      <c r="A713" t="s">
        <v>242</v>
      </c>
      <c r="B713">
        <v>2017</v>
      </c>
      <c r="C713" t="s">
        <v>271</v>
      </c>
      <c r="D713" t="s">
        <v>272</v>
      </c>
      <c r="E713" t="s">
        <v>65</v>
      </c>
      <c r="F713">
        <v>18000</v>
      </c>
      <c r="G713" t="s">
        <v>72</v>
      </c>
      <c r="H713">
        <v>2</v>
      </c>
    </row>
    <row r="714" spans="1:8" x14ac:dyDescent="0.3">
      <c r="A714" t="s">
        <v>242</v>
      </c>
      <c r="B714">
        <v>2018</v>
      </c>
      <c r="C714" t="s">
        <v>271</v>
      </c>
      <c r="D714" t="s">
        <v>272</v>
      </c>
      <c r="E714" t="s">
        <v>65</v>
      </c>
      <c r="F714">
        <v>18000</v>
      </c>
      <c r="G714" t="s">
        <v>72</v>
      </c>
      <c r="H714">
        <v>3</v>
      </c>
    </row>
    <row r="715" spans="1:8" x14ac:dyDescent="0.3">
      <c r="A715" t="s">
        <v>242</v>
      </c>
      <c r="B715">
        <v>2019</v>
      </c>
      <c r="C715" t="s">
        <v>271</v>
      </c>
      <c r="D715" t="s">
        <v>272</v>
      </c>
      <c r="E715" t="s">
        <v>65</v>
      </c>
      <c r="F715">
        <v>18000</v>
      </c>
      <c r="G715" t="s">
        <v>72</v>
      </c>
      <c r="H715">
        <v>5</v>
      </c>
    </row>
    <row r="716" spans="1:8" x14ac:dyDescent="0.3">
      <c r="A716" t="s">
        <v>242</v>
      </c>
      <c r="B716">
        <v>2021</v>
      </c>
      <c r="C716" t="s">
        <v>271</v>
      </c>
      <c r="D716" t="s">
        <v>272</v>
      </c>
      <c r="E716" t="s">
        <v>65</v>
      </c>
      <c r="F716">
        <v>18000</v>
      </c>
      <c r="G716" t="s">
        <v>72</v>
      </c>
      <c r="H716">
        <v>1</v>
      </c>
    </row>
    <row r="717" spans="1:8" x14ac:dyDescent="0.3">
      <c r="A717" t="s">
        <v>121</v>
      </c>
      <c r="B717">
        <v>2014</v>
      </c>
      <c r="C717" t="s">
        <v>271</v>
      </c>
      <c r="D717" t="s">
        <v>272</v>
      </c>
      <c r="E717" t="s">
        <v>65</v>
      </c>
      <c r="F717">
        <v>21500</v>
      </c>
      <c r="G717" t="s">
        <v>72</v>
      </c>
      <c r="H717">
        <v>16</v>
      </c>
    </row>
    <row r="718" spans="1:8" x14ac:dyDescent="0.3">
      <c r="A718" t="s">
        <v>121</v>
      </c>
      <c r="B718">
        <v>2015</v>
      </c>
      <c r="C718" t="s">
        <v>271</v>
      </c>
      <c r="D718" t="s">
        <v>272</v>
      </c>
      <c r="E718" t="s">
        <v>65</v>
      </c>
      <c r="F718">
        <v>21500</v>
      </c>
      <c r="G718" t="s">
        <v>72</v>
      </c>
      <c r="H718">
        <v>27</v>
      </c>
    </row>
    <row r="719" spans="1:8" x14ac:dyDescent="0.3">
      <c r="A719" t="s">
        <v>121</v>
      </c>
      <c r="B719">
        <v>2016</v>
      </c>
      <c r="C719" t="s">
        <v>271</v>
      </c>
      <c r="D719" t="s">
        <v>272</v>
      </c>
      <c r="E719" t="s">
        <v>65</v>
      </c>
      <c r="F719">
        <v>21500</v>
      </c>
      <c r="G719" t="s">
        <v>72</v>
      </c>
      <c r="H719">
        <v>34</v>
      </c>
    </row>
    <row r="720" spans="1:8" x14ac:dyDescent="0.3">
      <c r="A720" t="s">
        <v>121</v>
      </c>
      <c r="B720">
        <v>2017</v>
      </c>
      <c r="C720" t="s">
        <v>271</v>
      </c>
      <c r="D720" t="s">
        <v>272</v>
      </c>
      <c r="E720" t="s">
        <v>65</v>
      </c>
      <c r="F720">
        <v>21500</v>
      </c>
      <c r="G720" t="s">
        <v>72</v>
      </c>
      <c r="H720">
        <v>23</v>
      </c>
    </row>
    <row r="721" spans="1:8" x14ac:dyDescent="0.3">
      <c r="A721" t="s">
        <v>121</v>
      </c>
      <c r="B721">
        <v>2018</v>
      </c>
      <c r="C721" t="s">
        <v>271</v>
      </c>
      <c r="D721" t="s">
        <v>272</v>
      </c>
      <c r="E721" t="s">
        <v>65</v>
      </c>
      <c r="F721">
        <v>21500</v>
      </c>
      <c r="G721" t="s">
        <v>72</v>
      </c>
      <c r="H721">
        <v>15</v>
      </c>
    </row>
    <row r="722" spans="1:8" x14ac:dyDescent="0.3">
      <c r="A722" t="s">
        <v>121</v>
      </c>
      <c r="B722">
        <v>2019</v>
      </c>
      <c r="C722" t="s">
        <v>271</v>
      </c>
      <c r="D722" t="s">
        <v>272</v>
      </c>
      <c r="E722" t="s">
        <v>65</v>
      </c>
      <c r="F722">
        <v>21500</v>
      </c>
      <c r="G722" t="s">
        <v>72</v>
      </c>
      <c r="H722">
        <v>9</v>
      </c>
    </row>
    <row r="723" spans="1:8" x14ac:dyDescent="0.3">
      <c r="A723" t="s">
        <v>121</v>
      </c>
      <c r="B723">
        <v>2020</v>
      </c>
      <c r="C723" t="s">
        <v>271</v>
      </c>
      <c r="D723" t="s">
        <v>272</v>
      </c>
      <c r="E723" t="s">
        <v>65</v>
      </c>
      <c r="F723">
        <v>21500</v>
      </c>
      <c r="G723" t="s">
        <v>72</v>
      </c>
      <c r="H723">
        <v>3</v>
      </c>
    </row>
    <row r="724" spans="1:8" x14ac:dyDescent="0.3">
      <c r="A724" t="s">
        <v>121</v>
      </c>
      <c r="B724">
        <v>2021</v>
      </c>
      <c r="C724" t="s">
        <v>271</v>
      </c>
      <c r="D724" t="s">
        <v>272</v>
      </c>
      <c r="E724" t="s">
        <v>65</v>
      </c>
      <c r="F724">
        <v>21500</v>
      </c>
      <c r="G724" t="s">
        <v>72</v>
      </c>
      <c r="H724">
        <v>6</v>
      </c>
    </row>
    <row r="725" spans="1:8" x14ac:dyDescent="0.3">
      <c r="A725" t="s">
        <v>243</v>
      </c>
      <c r="B725">
        <v>2015</v>
      </c>
      <c r="C725" t="s">
        <v>271</v>
      </c>
      <c r="D725" t="s">
        <v>272</v>
      </c>
      <c r="E725" t="s">
        <v>65</v>
      </c>
      <c r="F725">
        <v>23500</v>
      </c>
      <c r="G725" t="s">
        <v>72</v>
      </c>
      <c r="H725">
        <v>8</v>
      </c>
    </row>
    <row r="726" spans="1:8" x14ac:dyDescent="0.3">
      <c r="A726" t="s">
        <v>243</v>
      </c>
      <c r="B726">
        <v>2016</v>
      </c>
      <c r="C726" t="s">
        <v>271</v>
      </c>
      <c r="D726" t="s">
        <v>272</v>
      </c>
      <c r="E726" t="s">
        <v>65</v>
      </c>
      <c r="F726">
        <v>23500</v>
      </c>
      <c r="G726" t="s">
        <v>72</v>
      </c>
      <c r="H726">
        <v>9</v>
      </c>
    </row>
    <row r="727" spans="1:8" x14ac:dyDescent="0.3">
      <c r="A727" t="s">
        <v>243</v>
      </c>
      <c r="B727">
        <v>2017</v>
      </c>
      <c r="C727" t="s">
        <v>271</v>
      </c>
      <c r="D727" t="s">
        <v>272</v>
      </c>
      <c r="E727" t="s">
        <v>65</v>
      </c>
      <c r="F727">
        <v>23500</v>
      </c>
      <c r="G727" t="s">
        <v>72</v>
      </c>
      <c r="H727">
        <v>4</v>
      </c>
    </row>
    <row r="728" spans="1:8" x14ac:dyDescent="0.3">
      <c r="A728" t="s">
        <v>243</v>
      </c>
      <c r="B728">
        <v>2018</v>
      </c>
      <c r="C728" t="s">
        <v>271</v>
      </c>
      <c r="D728" t="s">
        <v>272</v>
      </c>
      <c r="E728" t="s">
        <v>65</v>
      </c>
      <c r="F728">
        <v>23500</v>
      </c>
      <c r="G728" t="s">
        <v>72</v>
      </c>
      <c r="H728">
        <v>11</v>
      </c>
    </row>
    <row r="729" spans="1:8" x14ac:dyDescent="0.3">
      <c r="A729" t="s">
        <v>243</v>
      </c>
      <c r="B729">
        <v>2019</v>
      </c>
      <c r="C729" t="s">
        <v>271</v>
      </c>
      <c r="D729" t="s">
        <v>272</v>
      </c>
      <c r="E729" t="s">
        <v>65</v>
      </c>
      <c r="F729">
        <v>23500</v>
      </c>
      <c r="G729" t="s">
        <v>72</v>
      </c>
      <c r="H729">
        <v>6</v>
      </c>
    </row>
    <row r="730" spans="1:8" x14ac:dyDescent="0.3">
      <c r="A730" t="s">
        <v>243</v>
      </c>
      <c r="B730">
        <v>2020</v>
      </c>
      <c r="C730" t="s">
        <v>271</v>
      </c>
      <c r="D730" t="s">
        <v>272</v>
      </c>
      <c r="E730" t="s">
        <v>65</v>
      </c>
      <c r="F730">
        <v>23500</v>
      </c>
      <c r="G730" t="s">
        <v>72</v>
      </c>
      <c r="H730">
        <v>1</v>
      </c>
    </row>
    <row r="731" spans="1:8" x14ac:dyDescent="0.3">
      <c r="A731" t="s">
        <v>243</v>
      </c>
      <c r="B731">
        <v>2021</v>
      </c>
      <c r="C731" t="s">
        <v>271</v>
      </c>
      <c r="D731" t="s">
        <v>272</v>
      </c>
      <c r="E731" t="s">
        <v>65</v>
      </c>
      <c r="F731">
        <v>23500</v>
      </c>
      <c r="G731" t="s">
        <v>72</v>
      </c>
      <c r="H731">
        <v>6</v>
      </c>
    </row>
    <row r="732" spans="1:8" x14ac:dyDescent="0.3">
      <c r="A732" t="s">
        <v>122</v>
      </c>
      <c r="B732">
        <v>2020</v>
      </c>
      <c r="C732" t="s">
        <v>271</v>
      </c>
      <c r="D732" t="s">
        <v>272</v>
      </c>
      <c r="E732" t="s">
        <v>65</v>
      </c>
      <c r="F732">
        <v>3086</v>
      </c>
      <c r="G732" t="s">
        <v>66</v>
      </c>
      <c r="H732">
        <v>2</v>
      </c>
    </row>
    <row r="733" spans="1:8" x14ac:dyDescent="0.3">
      <c r="A733" t="s">
        <v>122</v>
      </c>
      <c r="B733">
        <v>2021</v>
      </c>
      <c r="C733" t="s">
        <v>271</v>
      </c>
      <c r="D733" t="s">
        <v>272</v>
      </c>
      <c r="E733" t="s">
        <v>65</v>
      </c>
      <c r="F733">
        <v>3086</v>
      </c>
      <c r="G733" t="s">
        <v>66</v>
      </c>
      <c r="H733">
        <v>1</v>
      </c>
    </row>
    <row r="734" spans="1:8" x14ac:dyDescent="0.3">
      <c r="A734" t="s">
        <v>123</v>
      </c>
      <c r="B734">
        <v>2014</v>
      </c>
      <c r="C734" t="s">
        <v>271</v>
      </c>
      <c r="D734" t="s">
        <v>272</v>
      </c>
      <c r="E734" t="s">
        <v>65</v>
      </c>
      <c r="F734">
        <v>2579</v>
      </c>
      <c r="G734" t="s">
        <v>66</v>
      </c>
      <c r="H734">
        <v>2</v>
      </c>
    </row>
    <row r="735" spans="1:8" x14ac:dyDescent="0.3">
      <c r="A735" t="s">
        <v>123</v>
      </c>
      <c r="B735">
        <v>2015</v>
      </c>
      <c r="C735" t="s">
        <v>271</v>
      </c>
      <c r="D735" t="s">
        <v>272</v>
      </c>
      <c r="E735" t="s">
        <v>65</v>
      </c>
      <c r="F735">
        <v>2579</v>
      </c>
      <c r="G735" t="s">
        <v>66</v>
      </c>
      <c r="H735">
        <v>3</v>
      </c>
    </row>
    <row r="736" spans="1:8" x14ac:dyDescent="0.3">
      <c r="A736" t="s">
        <v>123</v>
      </c>
      <c r="B736">
        <v>2016</v>
      </c>
      <c r="C736" t="s">
        <v>271</v>
      </c>
      <c r="D736" t="s">
        <v>272</v>
      </c>
      <c r="E736" t="s">
        <v>65</v>
      </c>
      <c r="F736">
        <v>2579</v>
      </c>
      <c r="G736" t="s">
        <v>66</v>
      </c>
      <c r="H736">
        <v>1</v>
      </c>
    </row>
    <row r="737" spans="1:8" x14ac:dyDescent="0.3">
      <c r="A737" t="s">
        <v>123</v>
      </c>
      <c r="B737">
        <v>2017</v>
      </c>
      <c r="C737" t="s">
        <v>271</v>
      </c>
      <c r="D737" t="s">
        <v>272</v>
      </c>
      <c r="E737" t="s">
        <v>65</v>
      </c>
      <c r="F737">
        <v>2579</v>
      </c>
      <c r="G737" t="s">
        <v>66</v>
      </c>
      <c r="H737">
        <v>1</v>
      </c>
    </row>
    <row r="738" spans="1:8" x14ac:dyDescent="0.3">
      <c r="A738" t="s">
        <v>123</v>
      </c>
      <c r="B738">
        <v>2018</v>
      </c>
      <c r="C738" t="s">
        <v>271</v>
      </c>
      <c r="D738" t="s">
        <v>272</v>
      </c>
      <c r="E738" t="s">
        <v>65</v>
      </c>
      <c r="F738">
        <v>2579</v>
      </c>
      <c r="G738" t="s">
        <v>66</v>
      </c>
      <c r="H738">
        <v>3</v>
      </c>
    </row>
    <row r="739" spans="1:8" x14ac:dyDescent="0.3">
      <c r="A739" t="s">
        <v>123</v>
      </c>
      <c r="B739">
        <v>2019</v>
      </c>
      <c r="C739" t="s">
        <v>271</v>
      </c>
      <c r="D739" t="s">
        <v>272</v>
      </c>
      <c r="E739" t="s">
        <v>65</v>
      </c>
      <c r="F739">
        <v>2579</v>
      </c>
      <c r="G739" t="s">
        <v>66</v>
      </c>
      <c r="H739">
        <v>6</v>
      </c>
    </row>
    <row r="740" spans="1:8" x14ac:dyDescent="0.3">
      <c r="A740" t="s">
        <v>123</v>
      </c>
      <c r="B740">
        <v>2020</v>
      </c>
      <c r="C740" t="s">
        <v>271</v>
      </c>
      <c r="D740" t="s">
        <v>272</v>
      </c>
      <c r="E740" t="s">
        <v>65</v>
      </c>
      <c r="F740">
        <v>2579</v>
      </c>
      <c r="G740" t="s">
        <v>66</v>
      </c>
      <c r="H740">
        <v>1</v>
      </c>
    </row>
    <row r="741" spans="1:8" x14ac:dyDescent="0.3">
      <c r="A741" t="s">
        <v>123</v>
      </c>
      <c r="B741">
        <v>2021</v>
      </c>
      <c r="C741" t="s">
        <v>271</v>
      </c>
      <c r="D741" t="s">
        <v>272</v>
      </c>
      <c r="E741" t="s">
        <v>65</v>
      </c>
      <c r="F741">
        <v>2579</v>
      </c>
      <c r="G741" t="s">
        <v>66</v>
      </c>
      <c r="H741">
        <v>3</v>
      </c>
    </row>
    <row r="742" spans="1:8" x14ac:dyDescent="0.3">
      <c r="A742" t="s">
        <v>124</v>
      </c>
      <c r="B742">
        <v>2015</v>
      </c>
      <c r="C742" t="s">
        <v>271</v>
      </c>
      <c r="D742" t="s">
        <v>272</v>
      </c>
      <c r="E742" t="s">
        <v>65</v>
      </c>
      <c r="F742">
        <v>12500</v>
      </c>
      <c r="G742" t="s">
        <v>66</v>
      </c>
      <c r="H742">
        <v>1</v>
      </c>
    </row>
    <row r="743" spans="1:8" x14ac:dyDescent="0.3">
      <c r="A743" t="s">
        <v>124</v>
      </c>
      <c r="B743">
        <v>2019</v>
      </c>
      <c r="C743" t="s">
        <v>271</v>
      </c>
      <c r="D743" t="s">
        <v>272</v>
      </c>
      <c r="E743" t="s">
        <v>65</v>
      </c>
      <c r="F743">
        <v>12500</v>
      </c>
      <c r="G743" t="s">
        <v>66</v>
      </c>
      <c r="H743">
        <v>2</v>
      </c>
    </row>
    <row r="744" spans="1:8" x14ac:dyDescent="0.3">
      <c r="A744" t="s">
        <v>124</v>
      </c>
      <c r="B744">
        <v>2021</v>
      </c>
      <c r="C744" t="s">
        <v>271</v>
      </c>
      <c r="D744" t="s">
        <v>272</v>
      </c>
      <c r="E744" t="s">
        <v>65</v>
      </c>
      <c r="F744">
        <v>12500</v>
      </c>
      <c r="G744" t="s">
        <v>66</v>
      </c>
      <c r="H744">
        <v>1</v>
      </c>
    </row>
    <row r="745" spans="1:8" x14ac:dyDescent="0.3">
      <c r="A745" t="s">
        <v>246</v>
      </c>
      <c r="B745">
        <v>2014</v>
      </c>
      <c r="C745" t="s">
        <v>271</v>
      </c>
      <c r="D745" t="s">
        <v>272</v>
      </c>
      <c r="E745" t="s">
        <v>65</v>
      </c>
      <c r="F745">
        <v>149500</v>
      </c>
      <c r="G745" t="s">
        <v>72</v>
      </c>
      <c r="H745">
        <v>1</v>
      </c>
    </row>
    <row r="746" spans="1:8" x14ac:dyDescent="0.3">
      <c r="A746" t="s">
        <v>248</v>
      </c>
      <c r="B746">
        <v>2016</v>
      </c>
      <c r="C746" t="s">
        <v>271</v>
      </c>
      <c r="D746" t="s">
        <v>272</v>
      </c>
      <c r="E746" t="s">
        <v>65</v>
      </c>
      <c r="F746">
        <v>11799</v>
      </c>
      <c r="G746" t="s">
        <v>66</v>
      </c>
      <c r="H746">
        <v>3</v>
      </c>
    </row>
    <row r="747" spans="1:8" x14ac:dyDescent="0.3">
      <c r="A747" t="s">
        <v>297</v>
      </c>
      <c r="B747">
        <v>2016</v>
      </c>
      <c r="C747" t="s">
        <v>271</v>
      </c>
      <c r="D747" t="s">
        <v>272</v>
      </c>
      <c r="E747" t="s">
        <v>65</v>
      </c>
      <c r="F747">
        <v>85980</v>
      </c>
      <c r="G747" t="s">
        <v>72</v>
      </c>
      <c r="H747">
        <v>3</v>
      </c>
    </row>
    <row r="748" spans="1:8" x14ac:dyDescent="0.3">
      <c r="A748" t="s">
        <v>297</v>
      </c>
      <c r="B748">
        <v>2017</v>
      </c>
      <c r="C748" t="s">
        <v>271</v>
      </c>
      <c r="D748" t="s">
        <v>272</v>
      </c>
      <c r="E748" t="s">
        <v>65</v>
      </c>
      <c r="F748">
        <v>85980</v>
      </c>
      <c r="G748" t="s">
        <v>72</v>
      </c>
      <c r="H748">
        <v>32</v>
      </c>
    </row>
    <row r="749" spans="1:8" x14ac:dyDescent="0.3">
      <c r="A749" t="s">
        <v>297</v>
      </c>
      <c r="B749">
        <v>2018</v>
      </c>
      <c r="C749" t="s">
        <v>271</v>
      </c>
      <c r="D749" t="s">
        <v>272</v>
      </c>
      <c r="E749" t="s">
        <v>65</v>
      </c>
      <c r="F749">
        <v>85980</v>
      </c>
      <c r="G749" t="s">
        <v>72</v>
      </c>
      <c r="H749">
        <v>202</v>
      </c>
    </row>
    <row r="750" spans="1:8" x14ac:dyDescent="0.3">
      <c r="A750" t="s">
        <v>297</v>
      </c>
      <c r="B750">
        <v>2019</v>
      </c>
      <c r="C750" t="s">
        <v>271</v>
      </c>
      <c r="D750" t="s">
        <v>272</v>
      </c>
      <c r="E750" t="s">
        <v>65</v>
      </c>
      <c r="F750">
        <v>85980</v>
      </c>
      <c r="G750" t="s">
        <v>72</v>
      </c>
      <c r="H750">
        <v>207</v>
      </c>
    </row>
    <row r="751" spans="1:8" x14ac:dyDescent="0.3">
      <c r="A751" t="s">
        <v>297</v>
      </c>
      <c r="B751">
        <v>2020</v>
      </c>
      <c r="C751" t="s">
        <v>271</v>
      </c>
      <c r="D751" t="s">
        <v>272</v>
      </c>
      <c r="E751" t="s">
        <v>65</v>
      </c>
      <c r="F751">
        <v>85980</v>
      </c>
      <c r="G751" t="s">
        <v>72</v>
      </c>
      <c r="H751">
        <v>1</v>
      </c>
    </row>
    <row r="752" spans="1:8" x14ac:dyDescent="0.3">
      <c r="A752" t="s">
        <v>249</v>
      </c>
      <c r="B752">
        <v>2014</v>
      </c>
      <c r="C752" t="s">
        <v>271</v>
      </c>
      <c r="D752" t="s">
        <v>272</v>
      </c>
      <c r="E752" t="s">
        <v>65</v>
      </c>
      <c r="F752">
        <v>11574</v>
      </c>
      <c r="G752" t="s">
        <v>66</v>
      </c>
      <c r="H752">
        <v>1</v>
      </c>
    </row>
    <row r="753" spans="1:8" x14ac:dyDescent="0.3">
      <c r="A753" t="s">
        <v>125</v>
      </c>
      <c r="B753">
        <v>2014</v>
      </c>
      <c r="C753" t="s">
        <v>271</v>
      </c>
      <c r="D753" t="s">
        <v>272</v>
      </c>
      <c r="E753" t="s">
        <v>65</v>
      </c>
      <c r="F753">
        <v>12100</v>
      </c>
      <c r="G753" t="s">
        <v>66</v>
      </c>
      <c r="H753">
        <v>1</v>
      </c>
    </row>
    <row r="754" spans="1:8" x14ac:dyDescent="0.3">
      <c r="A754" t="s">
        <v>125</v>
      </c>
      <c r="B754">
        <v>2015</v>
      </c>
      <c r="C754" t="s">
        <v>271</v>
      </c>
      <c r="D754" t="s">
        <v>272</v>
      </c>
      <c r="E754" t="s">
        <v>65</v>
      </c>
      <c r="F754">
        <v>12100</v>
      </c>
      <c r="G754" t="s">
        <v>66</v>
      </c>
      <c r="H754">
        <v>11</v>
      </c>
    </row>
    <row r="755" spans="1:8" x14ac:dyDescent="0.3">
      <c r="A755" t="s">
        <v>125</v>
      </c>
      <c r="B755">
        <v>2016</v>
      </c>
      <c r="C755" t="s">
        <v>271</v>
      </c>
      <c r="D755" t="s">
        <v>272</v>
      </c>
      <c r="E755" t="s">
        <v>65</v>
      </c>
      <c r="F755">
        <v>12100</v>
      </c>
      <c r="G755" t="s">
        <v>66</v>
      </c>
      <c r="H755">
        <v>8</v>
      </c>
    </row>
    <row r="756" spans="1:8" x14ac:dyDescent="0.3">
      <c r="A756" t="s">
        <v>125</v>
      </c>
      <c r="B756">
        <v>2017</v>
      </c>
      <c r="C756" t="s">
        <v>271</v>
      </c>
      <c r="D756" t="s">
        <v>272</v>
      </c>
      <c r="E756" t="s">
        <v>65</v>
      </c>
      <c r="F756">
        <v>12100</v>
      </c>
      <c r="G756" t="s">
        <v>66</v>
      </c>
      <c r="H756">
        <v>5</v>
      </c>
    </row>
    <row r="757" spans="1:8" x14ac:dyDescent="0.3">
      <c r="A757" t="s">
        <v>125</v>
      </c>
      <c r="B757">
        <v>2018</v>
      </c>
      <c r="C757" t="s">
        <v>271</v>
      </c>
      <c r="D757" t="s">
        <v>272</v>
      </c>
      <c r="E757" t="s">
        <v>65</v>
      </c>
      <c r="F757">
        <v>12100</v>
      </c>
      <c r="G757" t="s">
        <v>66</v>
      </c>
      <c r="H757">
        <v>1</v>
      </c>
    </row>
    <row r="758" spans="1:8" x14ac:dyDescent="0.3">
      <c r="A758" t="s">
        <v>125</v>
      </c>
      <c r="B758">
        <v>2019</v>
      </c>
      <c r="C758" t="s">
        <v>271</v>
      </c>
      <c r="D758" t="s">
        <v>272</v>
      </c>
      <c r="E758" t="s">
        <v>65</v>
      </c>
      <c r="F758">
        <v>12100</v>
      </c>
      <c r="G758" t="s">
        <v>66</v>
      </c>
      <c r="H758">
        <v>3</v>
      </c>
    </row>
    <row r="759" spans="1:8" x14ac:dyDescent="0.3">
      <c r="A759" t="s">
        <v>125</v>
      </c>
      <c r="B759">
        <v>2020</v>
      </c>
      <c r="C759" t="s">
        <v>271</v>
      </c>
      <c r="D759" t="s">
        <v>272</v>
      </c>
      <c r="E759" t="s">
        <v>65</v>
      </c>
      <c r="F759">
        <v>12100</v>
      </c>
      <c r="G759" t="s">
        <v>66</v>
      </c>
      <c r="H759">
        <v>1</v>
      </c>
    </row>
    <row r="760" spans="1:8" x14ac:dyDescent="0.3">
      <c r="A760" t="s">
        <v>125</v>
      </c>
      <c r="B760">
        <v>2021</v>
      </c>
      <c r="C760" t="s">
        <v>271</v>
      </c>
      <c r="D760" t="s">
        <v>272</v>
      </c>
      <c r="E760" t="s">
        <v>65</v>
      </c>
      <c r="F760">
        <v>12100</v>
      </c>
      <c r="G760" t="s">
        <v>66</v>
      </c>
      <c r="H760">
        <v>2</v>
      </c>
    </row>
    <row r="761" spans="1:8" x14ac:dyDescent="0.3">
      <c r="A761" t="s">
        <v>126</v>
      </c>
      <c r="B761">
        <v>2014</v>
      </c>
      <c r="C761" t="s">
        <v>271</v>
      </c>
      <c r="D761" t="s">
        <v>272</v>
      </c>
      <c r="E761" t="s">
        <v>65</v>
      </c>
      <c r="F761">
        <v>2548</v>
      </c>
      <c r="G761" t="s">
        <v>66</v>
      </c>
      <c r="H761">
        <v>7</v>
      </c>
    </row>
    <row r="762" spans="1:8" x14ac:dyDescent="0.3">
      <c r="A762" t="s">
        <v>126</v>
      </c>
      <c r="B762">
        <v>2015</v>
      </c>
      <c r="C762" t="s">
        <v>271</v>
      </c>
      <c r="D762" t="s">
        <v>272</v>
      </c>
      <c r="E762" t="s">
        <v>65</v>
      </c>
      <c r="F762">
        <v>2548</v>
      </c>
      <c r="G762" t="s">
        <v>66</v>
      </c>
      <c r="H762">
        <v>20</v>
      </c>
    </row>
    <row r="763" spans="1:8" x14ac:dyDescent="0.3">
      <c r="A763" t="s">
        <v>126</v>
      </c>
      <c r="B763">
        <v>2016</v>
      </c>
      <c r="C763" t="s">
        <v>271</v>
      </c>
      <c r="D763" t="s">
        <v>272</v>
      </c>
      <c r="E763" t="s">
        <v>65</v>
      </c>
      <c r="F763">
        <v>2548</v>
      </c>
      <c r="G763" t="s">
        <v>66</v>
      </c>
      <c r="H763">
        <v>21</v>
      </c>
    </row>
    <row r="764" spans="1:8" x14ac:dyDescent="0.3">
      <c r="A764" t="s">
        <v>126</v>
      </c>
      <c r="B764">
        <v>2017</v>
      </c>
      <c r="C764" t="s">
        <v>271</v>
      </c>
      <c r="D764" t="s">
        <v>272</v>
      </c>
      <c r="E764" t="s">
        <v>65</v>
      </c>
      <c r="F764">
        <v>2548</v>
      </c>
      <c r="G764" t="s">
        <v>66</v>
      </c>
      <c r="H764">
        <v>21</v>
      </c>
    </row>
    <row r="765" spans="1:8" x14ac:dyDescent="0.3">
      <c r="A765" t="s">
        <v>126</v>
      </c>
      <c r="B765">
        <v>2018</v>
      </c>
      <c r="C765" t="s">
        <v>271</v>
      </c>
      <c r="D765" t="s">
        <v>272</v>
      </c>
      <c r="E765" t="s">
        <v>65</v>
      </c>
      <c r="F765">
        <v>2548</v>
      </c>
      <c r="G765" t="s">
        <v>66</v>
      </c>
      <c r="H765">
        <v>43</v>
      </c>
    </row>
    <row r="766" spans="1:8" x14ac:dyDescent="0.3">
      <c r="A766" t="s">
        <v>126</v>
      </c>
      <c r="B766">
        <v>2019</v>
      </c>
      <c r="C766" t="s">
        <v>271</v>
      </c>
      <c r="D766" t="s">
        <v>272</v>
      </c>
      <c r="E766" t="s">
        <v>65</v>
      </c>
      <c r="F766">
        <v>2548</v>
      </c>
      <c r="G766" t="s">
        <v>66</v>
      </c>
      <c r="H766">
        <v>43</v>
      </c>
    </row>
    <row r="767" spans="1:8" x14ac:dyDescent="0.3">
      <c r="A767" t="s">
        <v>126</v>
      </c>
      <c r="B767">
        <v>2020</v>
      </c>
      <c r="C767" t="s">
        <v>271</v>
      </c>
      <c r="D767" t="s">
        <v>272</v>
      </c>
      <c r="E767" t="s">
        <v>65</v>
      </c>
      <c r="F767">
        <v>2548</v>
      </c>
      <c r="G767" t="s">
        <v>66</v>
      </c>
      <c r="H767">
        <v>30</v>
      </c>
    </row>
    <row r="768" spans="1:8" x14ac:dyDescent="0.3">
      <c r="A768" t="s">
        <v>126</v>
      </c>
      <c r="B768">
        <v>2021</v>
      </c>
      <c r="C768" t="s">
        <v>271</v>
      </c>
      <c r="D768" t="s">
        <v>272</v>
      </c>
      <c r="E768" t="s">
        <v>65</v>
      </c>
      <c r="F768">
        <v>2548</v>
      </c>
      <c r="G768" t="s">
        <v>66</v>
      </c>
      <c r="H768">
        <v>44</v>
      </c>
    </row>
    <row r="769" spans="1:8" x14ac:dyDescent="0.3">
      <c r="A769" t="s">
        <v>127</v>
      </c>
      <c r="B769">
        <v>2014</v>
      </c>
      <c r="C769" t="s">
        <v>271</v>
      </c>
      <c r="D769" t="s">
        <v>272</v>
      </c>
      <c r="E769" t="s">
        <v>65</v>
      </c>
      <c r="F769">
        <v>2150</v>
      </c>
      <c r="G769" t="s">
        <v>66</v>
      </c>
      <c r="H769">
        <v>2</v>
      </c>
    </row>
    <row r="770" spans="1:8" x14ac:dyDescent="0.3">
      <c r="A770" t="s">
        <v>127</v>
      </c>
      <c r="B770">
        <v>2015</v>
      </c>
      <c r="C770" t="s">
        <v>271</v>
      </c>
      <c r="D770" t="s">
        <v>272</v>
      </c>
      <c r="E770" t="s">
        <v>65</v>
      </c>
      <c r="F770">
        <v>2150</v>
      </c>
      <c r="G770" t="s">
        <v>66</v>
      </c>
      <c r="H770">
        <v>1</v>
      </c>
    </row>
    <row r="771" spans="1:8" x14ac:dyDescent="0.3">
      <c r="A771" t="s">
        <v>127</v>
      </c>
      <c r="B771">
        <v>2016</v>
      </c>
      <c r="C771" t="s">
        <v>271</v>
      </c>
      <c r="D771" t="s">
        <v>272</v>
      </c>
      <c r="E771" t="s">
        <v>65</v>
      </c>
      <c r="F771">
        <v>2150</v>
      </c>
      <c r="G771" t="s">
        <v>66</v>
      </c>
      <c r="H771">
        <v>2</v>
      </c>
    </row>
    <row r="772" spans="1:8" x14ac:dyDescent="0.3">
      <c r="A772" t="s">
        <v>128</v>
      </c>
      <c r="B772">
        <v>2014</v>
      </c>
      <c r="C772" t="s">
        <v>271</v>
      </c>
      <c r="D772" t="s">
        <v>272</v>
      </c>
      <c r="E772" t="s">
        <v>65</v>
      </c>
      <c r="F772">
        <v>2866</v>
      </c>
      <c r="G772" t="s">
        <v>66</v>
      </c>
      <c r="H772">
        <v>1</v>
      </c>
    </row>
    <row r="773" spans="1:8" x14ac:dyDescent="0.3">
      <c r="A773" t="s">
        <v>128</v>
      </c>
      <c r="B773">
        <v>2016</v>
      </c>
      <c r="C773" t="s">
        <v>271</v>
      </c>
      <c r="D773" t="s">
        <v>272</v>
      </c>
      <c r="E773" t="s">
        <v>65</v>
      </c>
      <c r="F773">
        <v>2866</v>
      </c>
      <c r="G773" t="s">
        <v>66</v>
      </c>
      <c r="H773">
        <v>2</v>
      </c>
    </row>
    <row r="774" spans="1:8" x14ac:dyDescent="0.3">
      <c r="A774" t="s">
        <v>128</v>
      </c>
      <c r="B774">
        <v>2017</v>
      </c>
      <c r="C774" t="s">
        <v>271</v>
      </c>
      <c r="D774" t="s">
        <v>272</v>
      </c>
      <c r="E774" t="s">
        <v>65</v>
      </c>
      <c r="F774">
        <v>2866</v>
      </c>
      <c r="G774" t="s">
        <v>66</v>
      </c>
      <c r="H774">
        <v>1</v>
      </c>
    </row>
    <row r="775" spans="1:8" x14ac:dyDescent="0.3">
      <c r="A775" t="s">
        <v>128</v>
      </c>
      <c r="B775">
        <v>2018</v>
      </c>
      <c r="C775" t="s">
        <v>271</v>
      </c>
      <c r="D775" t="s">
        <v>272</v>
      </c>
      <c r="E775" t="s">
        <v>65</v>
      </c>
      <c r="F775">
        <v>2866</v>
      </c>
      <c r="G775" t="s">
        <v>66</v>
      </c>
      <c r="H775">
        <v>5</v>
      </c>
    </row>
    <row r="776" spans="1:8" x14ac:dyDescent="0.3">
      <c r="A776" t="s">
        <v>128</v>
      </c>
      <c r="B776">
        <v>2019</v>
      </c>
      <c r="C776" t="s">
        <v>271</v>
      </c>
      <c r="D776" t="s">
        <v>272</v>
      </c>
      <c r="E776" t="s">
        <v>65</v>
      </c>
      <c r="F776">
        <v>2866</v>
      </c>
      <c r="G776" t="s">
        <v>66</v>
      </c>
      <c r="H776">
        <v>2</v>
      </c>
    </row>
    <row r="777" spans="1:8" x14ac:dyDescent="0.3">
      <c r="A777" t="s">
        <v>128</v>
      </c>
      <c r="B777">
        <v>2020</v>
      </c>
      <c r="C777" t="s">
        <v>271</v>
      </c>
      <c r="D777" t="s">
        <v>272</v>
      </c>
      <c r="E777" t="s">
        <v>65</v>
      </c>
      <c r="F777">
        <v>2866</v>
      </c>
      <c r="G777" t="s">
        <v>66</v>
      </c>
      <c r="H777">
        <v>8</v>
      </c>
    </row>
    <row r="778" spans="1:8" x14ac:dyDescent="0.3">
      <c r="A778" t="s">
        <v>128</v>
      </c>
      <c r="B778">
        <v>2021</v>
      </c>
      <c r="C778" t="s">
        <v>271</v>
      </c>
      <c r="D778" t="s">
        <v>272</v>
      </c>
      <c r="E778" t="s">
        <v>65</v>
      </c>
      <c r="F778">
        <v>2866</v>
      </c>
      <c r="G778" t="s">
        <v>66</v>
      </c>
      <c r="H778">
        <v>1</v>
      </c>
    </row>
    <row r="779" spans="1:8" x14ac:dyDescent="0.3">
      <c r="A779" t="s">
        <v>250</v>
      </c>
      <c r="B779">
        <v>2014</v>
      </c>
      <c r="C779" t="s">
        <v>271</v>
      </c>
      <c r="D779" t="s">
        <v>272</v>
      </c>
      <c r="E779" t="s">
        <v>65</v>
      </c>
      <c r="F779">
        <v>135000</v>
      </c>
      <c r="G779" t="s">
        <v>72</v>
      </c>
      <c r="H779">
        <v>270</v>
      </c>
    </row>
    <row r="780" spans="1:8" x14ac:dyDescent="0.3">
      <c r="A780" t="s">
        <v>250</v>
      </c>
      <c r="B780">
        <v>2015</v>
      </c>
      <c r="C780" t="s">
        <v>271</v>
      </c>
      <c r="D780" t="s">
        <v>272</v>
      </c>
      <c r="E780" t="s">
        <v>65</v>
      </c>
      <c r="F780">
        <v>135000</v>
      </c>
      <c r="G780" t="s">
        <v>72</v>
      </c>
      <c r="H780">
        <v>372</v>
      </c>
    </row>
    <row r="781" spans="1:8" x14ac:dyDescent="0.3">
      <c r="A781" t="s">
        <v>250</v>
      </c>
      <c r="B781">
        <v>2016</v>
      </c>
      <c r="C781" t="s">
        <v>271</v>
      </c>
      <c r="D781" t="s">
        <v>272</v>
      </c>
      <c r="E781" t="s">
        <v>65</v>
      </c>
      <c r="F781">
        <v>135000</v>
      </c>
      <c r="G781" t="s">
        <v>72</v>
      </c>
      <c r="H781">
        <v>312</v>
      </c>
    </row>
    <row r="782" spans="1:8" x14ac:dyDescent="0.3">
      <c r="A782" t="s">
        <v>250</v>
      </c>
      <c r="B782">
        <v>2017</v>
      </c>
      <c r="C782" t="s">
        <v>271</v>
      </c>
      <c r="D782" t="s">
        <v>272</v>
      </c>
      <c r="E782" t="s">
        <v>65</v>
      </c>
      <c r="F782">
        <v>135000</v>
      </c>
      <c r="G782" t="s">
        <v>72</v>
      </c>
      <c r="H782">
        <v>180</v>
      </c>
    </row>
    <row r="783" spans="1:8" x14ac:dyDescent="0.3">
      <c r="A783" t="s">
        <v>250</v>
      </c>
      <c r="B783">
        <v>2018</v>
      </c>
      <c r="C783" t="s">
        <v>271</v>
      </c>
      <c r="D783" t="s">
        <v>272</v>
      </c>
      <c r="E783" t="s">
        <v>65</v>
      </c>
      <c r="F783">
        <v>135000</v>
      </c>
      <c r="G783" t="s">
        <v>72</v>
      </c>
      <c r="H783">
        <v>148</v>
      </c>
    </row>
    <row r="784" spans="1:8" x14ac:dyDescent="0.3">
      <c r="A784" t="s">
        <v>250</v>
      </c>
      <c r="B784">
        <v>2019</v>
      </c>
      <c r="C784" t="s">
        <v>271</v>
      </c>
      <c r="D784" t="s">
        <v>272</v>
      </c>
      <c r="E784" t="s">
        <v>65</v>
      </c>
      <c r="F784">
        <v>135000</v>
      </c>
      <c r="G784" t="s">
        <v>72</v>
      </c>
      <c r="H784">
        <v>90</v>
      </c>
    </row>
    <row r="785" spans="1:8" x14ac:dyDescent="0.3">
      <c r="A785" t="s">
        <v>250</v>
      </c>
      <c r="B785">
        <v>2020</v>
      </c>
      <c r="C785" t="s">
        <v>271</v>
      </c>
      <c r="D785" t="s">
        <v>272</v>
      </c>
      <c r="E785" t="s">
        <v>65</v>
      </c>
      <c r="F785">
        <v>135000</v>
      </c>
      <c r="G785" t="s">
        <v>72</v>
      </c>
      <c r="H785">
        <v>73</v>
      </c>
    </row>
    <row r="786" spans="1:8" x14ac:dyDescent="0.3">
      <c r="A786" t="s">
        <v>250</v>
      </c>
      <c r="B786">
        <v>2021</v>
      </c>
      <c r="C786" t="s">
        <v>271</v>
      </c>
      <c r="D786" t="s">
        <v>272</v>
      </c>
      <c r="E786" t="s">
        <v>65</v>
      </c>
      <c r="F786">
        <v>135000</v>
      </c>
      <c r="G786" t="s">
        <v>72</v>
      </c>
      <c r="H786">
        <v>108</v>
      </c>
    </row>
    <row r="787" spans="1:8" x14ac:dyDescent="0.3">
      <c r="A787" t="s">
        <v>129</v>
      </c>
      <c r="B787">
        <v>2017</v>
      </c>
      <c r="C787" t="s">
        <v>271</v>
      </c>
      <c r="D787" t="s">
        <v>272</v>
      </c>
      <c r="E787" t="s">
        <v>65</v>
      </c>
      <c r="F787">
        <v>3615</v>
      </c>
      <c r="G787" t="s">
        <v>66</v>
      </c>
      <c r="H787">
        <v>1</v>
      </c>
    </row>
    <row r="788" spans="1:8" x14ac:dyDescent="0.3">
      <c r="A788" t="s">
        <v>129</v>
      </c>
      <c r="B788">
        <v>2018</v>
      </c>
      <c r="C788" t="s">
        <v>271</v>
      </c>
      <c r="D788" t="s">
        <v>272</v>
      </c>
      <c r="E788" t="s">
        <v>65</v>
      </c>
      <c r="F788">
        <v>3615</v>
      </c>
      <c r="G788" t="s">
        <v>66</v>
      </c>
      <c r="H788">
        <v>1</v>
      </c>
    </row>
    <row r="789" spans="1:8" x14ac:dyDescent="0.3">
      <c r="A789" t="s">
        <v>129</v>
      </c>
      <c r="B789">
        <v>2021</v>
      </c>
      <c r="C789" t="s">
        <v>271</v>
      </c>
      <c r="D789" t="s">
        <v>272</v>
      </c>
      <c r="E789" t="s">
        <v>65</v>
      </c>
      <c r="F789">
        <v>3615</v>
      </c>
      <c r="G789" t="s">
        <v>66</v>
      </c>
      <c r="H789">
        <v>1</v>
      </c>
    </row>
    <row r="790" spans="1:8" x14ac:dyDescent="0.3">
      <c r="A790" t="s">
        <v>130</v>
      </c>
      <c r="B790">
        <v>2014</v>
      </c>
      <c r="C790" t="s">
        <v>271</v>
      </c>
      <c r="D790" t="s">
        <v>272</v>
      </c>
      <c r="E790" t="s">
        <v>65</v>
      </c>
      <c r="F790">
        <v>4850</v>
      </c>
      <c r="G790" t="s">
        <v>66</v>
      </c>
      <c r="H790">
        <v>4</v>
      </c>
    </row>
    <row r="791" spans="1:8" x14ac:dyDescent="0.3">
      <c r="A791" t="s">
        <v>130</v>
      </c>
      <c r="B791">
        <v>2015</v>
      </c>
      <c r="C791" t="s">
        <v>271</v>
      </c>
      <c r="D791" t="s">
        <v>272</v>
      </c>
      <c r="E791" t="s">
        <v>65</v>
      </c>
      <c r="F791">
        <v>4850</v>
      </c>
      <c r="G791" t="s">
        <v>66</v>
      </c>
      <c r="H791">
        <v>5</v>
      </c>
    </row>
    <row r="792" spans="1:8" x14ac:dyDescent="0.3">
      <c r="A792" t="s">
        <v>130</v>
      </c>
      <c r="B792">
        <v>2016</v>
      </c>
      <c r="C792" t="s">
        <v>271</v>
      </c>
      <c r="D792" t="s">
        <v>272</v>
      </c>
      <c r="E792" t="s">
        <v>65</v>
      </c>
      <c r="F792">
        <v>4850</v>
      </c>
      <c r="G792" t="s">
        <v>66</v>
      </c>
      <c r="H792">
        <v>1</v>
      </c>
    </row>
    <row r="793" spans="1:8" x14ac:dyDescent="0.3">
      <c r="A793" t="s">
        <v>130</v>
      </c>
      <c r="B793">
        <v>2017</v>
      </c>
      <c r="C793" t="s">
        <v>271</v>
      </c>
      <c r="D793" t="s">
        <v>272</v>
      </c>
      <c r="E793" t="s">
        <v>65</v>
      </c>
      <c r="F793">
        <v>4850</v>
      </c>
      <c r="G793" t="s">
        <v>66</v>
      </c>
      <c r="H793">
        <v>3</v>
      </c>
    </row>
    <row r="794" spans="1:8" x14ac:dyDescent="0.3">
      <c r="A794" t="s">
        <v>130</v>
      </c>
      <c r="B794">
        <v>2018</v>
      </c>
      <c r="C794" t="s">
        <v>271</v>
      </c>
      <c r="D794" t="s">
        <v>272</v>
      </c>
      <c r="E794" t="s">
        <v>65</v>
      </c>
      <c r="F794">
        <v>4850</v>
      </c>
      <c r="G794" t="s">
        <v>66</v>
      </c>
      <c r="H794">
        <v>4</v>
      </c>
    </row>
    <row r="795" spans="1:8" x14ac:dyDescent="0.3">
      <c r="A795" t="s">
        <v>130</v>
      </c>
      <c r="B795">
        <v>2019</v>
      </c>
      <c r="C795" t="s">
        <v>271</v>
      </c>
      <c r="D795" t="s">
        <v>272</v>
      </c>
      <c r="E795" t="s">
        <v>65</v>
      </c>
      <c r="F795">
        <v>4850</v>
      </c>
      <c r="G795" t="s">
        <v>66</v>
      </c>
      <c r="H795">
        <v>6</v>
      </c>
    </row>
    <row r="796" spans="1:8" x14ac:dyDescent="0.3">
      <c r="A796" t="s">
        <v>130</v>
      </c>
      <c r="B796">
        <v>2020</v>
      </c>
      <c r="C796" t="s">
        <v>271</v>
      </c>
      <c r="D796" t="s">
        <v>272</v>
      </c>
      <c r="E796" t="s">
        <v>65</v>
      </c>
      <c r="F796">
        <v>4850</v>
      </c>
      <c r="G796" t="s">
        <v>66</v>
      </c>
      <c r="H796">
        <v>5</v>
      </c>
    </row>
    <row r="797" spans="1:8" x14ac:dyDescent="0.3">
      <c r="A797" t="s">
        <v>130</v>
      </c>
      <c r="B797">
        <v>2021</v>
      </c>
      <c r="C797" t="s">
        <v>271</v>
      </c>
      <c r="D797" t="s">
        <v>272</v>
      </c>
      <c r="E797" t="s">
        <v>65</v>
      </c>
      <c r="F797">
        <v>4850</v>
      </c>
      <c r="G797" t="s">
        <v>66</v>
      </c>
      <c r="H797">
        <v>1</v>
      </c>
    </row>
    <row r="798" spans="1:8" x14ac:dyDescent="0.3">
      <c r="A798" t="s">
        <v>131</v>
      </c>
      <c r="B798">
        <v>2018</v>
      </c>
      <c r="C798" t="s">
        <v>271</v>
      </c>
      <c r="D798" t="s">
        <v>272</v>
      </c>
      <c r="E798" t="s">
        <v>65</v>
      </c>
      <c r="F798">
        <v>1950</v>
      </c>
      <c r="G798" t="s">
        <v>66</v>
      </c>
      <c r="H798">
        <v>1</v>
      </c>
    </row>
    <row r="799" spans="1:8" x14ac:dyDescent="0.3">
      <c r="A799" t="s">
        <v>132</v>
      </c>
      <c r="B799">
        <v>2014</v>
      </c>
      <c r="C799" t="s">
        <v>271</v>
      </c>
      <c r="D799" t="s">
        <v>272</v>
      </c>
      <c r="E799" t="s">
        <v>65</v>
      </c>
      <c r="F799">
        <v>3200</v>
      </c>
      <c r="G799" t="s">
        <v>66</v>
      </c>
      <c r="H799">
        <v>1</v>
      </c>
    </row>
    <row r="800" spans="1:8" x14ac:dyDescent="0.3">
      <c r="A800" t="s">
        <v>132</v>
      </c>
      <c r="B800">
        <v>2015</v>
      </c>
      <c r="C800" t="s">
        <v>271</v>
      </c>
      <c r="D800" t="s">
        <v>272</v>
      </c>
      <c r="E800" t="s">
        <v>65</v>
      </c>
      <c r="F800">
        <v>3200</v>
      </c>
      <c r="G800" t="s">
        <v>66</v>
      </c>
      <c r="H800">
        <v>1</v>
      </c>
    </row>
    <row r="801" spans="1:8" x14ac:dyDescent="0.3">
      <c r="A801" t="s">
        <v>132</v>
      </c>
      <c r="B801">
        <v>2017</v>
      </c>
      <c r="C801" t="s">
        <v>271</v>
      </c>
      <c r="D801" t="s">
        <v>272</v>
      </c>
      <c r="E801" t="s">
        <v>65</v>
      </c>
      <c r="F801">
        <v>3200</v>
      </c>
      <c r="G801" t="s">
        <v>66</v>
      </c>
      <c r="H801">
        <v>2</v>
      </c>
    </row>
    <row r="802" spans="1:8" x14ac:dyDescent="0.3">
      <c r="A802" t="s">
        <v>132</v>
      </c>
      <c r="B802">
        <v>2018</v>
      </c>
      <c r="C802" t="s">
        <v>271</v>
      </c>
      <c r="D802" t="s">
        <v>272</v>
      </c>
      <c r="E802" t="s">
        <v>65</v>
      </c>
      <c r="F802">
        <v>3200</v>
      </c>
      <c r="G802" t="s">
        <v>66</v>
      </c>
      <c r="H802">
        <v>1</v>
      </c>
    </row>
    <row r="803" spans="1:8" x14ac:dyDescent="0.3">
      <c r="A803" t="s">
        <v>132</v>
      </c>
      <c r="B803">
        <v>2019</v>
      </c>
      <c r="C803" t="s">
        <v>271</v>
      </c>
      <c r="D803" t="s">
        <v>272</v>
      </c>
      <c r="E803" t="s">
        <v>65</v>
      </c>
      <c r="F803">
        <v>3200</v>
      </c>
      <c r="G803" t="s">
        <v>66</v>
      </c>
      <c r="H803">
        <v>1</v>
      </c>
    </row>
    <row r="804" spans="1:8" x14ac:dyDescent="0.3">
      <c r="A804" t="s">
        <v>132</v>
      </c>
      <c r="B804">
        <v>2020</v>
      </c>
      <c r="C804" t="s">
        <v>271</v>
      </c>
      <c r="D804" t="s">
        <v>272</v>
      </c>
      <c r="E804" t="s">
        <v>65</v>
      </c>
      <c r="F804">
        <v>3200</v>
      </c>
      <c r="G804" t="s">
        <v>66</v>
      </c>
      <c r="H804">
        <v>1</v>
      </c>
    </row>
    <row r="805" spans="1:8" x14ac:dyDescent="0.3">
      <c r="A805" t="s">
        <v>132</v>
      </c>
      <c r="B805">
        <v>2021</v>
      </c>
      <c r="C805" t="s">
        <v>271</v>
      </c>
      <c r="D805" t="s">
        <v>272</v>
      </c>
      <c r="E805" t="s">
        <v>65</v>
      </c>
      <c r="F805">
        <v>3200</v>
      </c>
      <c r="G805" t="s">
        <v>66</v>
      </c>
      <c r="H805">
        <v>1</v>
      </c>
    </row>
    <row r="806" spans="1:8" x14ac:dyDescent="0.3">
      <c r="A806" t="s">
        <v>251</v>
      </c>
      <c r="B806">
        <v>2015</v>
      </c>
      <c r="C806" t="s">
        <v>271</v>
      </c>
      <c r="D806" t="s">
        <v>272</v>
      </c>
      <c r="E806" t="s">
        <v>65</v>
      </c>
      <c r="F806">
        <v>5200</v>
      </c>
      <c r="G806" t="s">
        <v>66</v>
      </c>
      <c r="H806">
        <v>1</v>
      </c>
    </row>
    <row r="807" spans="1:8" x14ac:dyDescent="0.3">
      <c r="A807" t="s">
        <v>251</v>
      </c>
      <c r="B807">
        <v>2016</v>
      </c>
      <c r="C807" t="s">
        <v>271</v>
      </c>
      <c r="D807" t="s">
        <v>272</v>
      </c>
      <c r="E807" t="s">
        <v>65</v>
      </c>
      <c r="F807">
        <v>5200</v>
      </c>
      <c r="G807" t="s">
        <v>66</v>
      </c>
      <c r="H807">
        <v>2</v>
      </c>
    </row>
    <row r="808" spans="1:8" x14ac:dyDescent="0.3">
      <c r="A808" t="s">
        <v>251</v>
      </c>
      <c r="B808">
        <v>2017</v>
      </c>
      <c r="C808" t="s">
        <v>271</v>
      </c>
      <c r="D808" t="s">
        <v>272</v>
      </c>
      <c r="E808" t="s">
        <v>65</v>
      </c>
      <c r="F808">
        <v>5200</v>
      </c>
      <c r="G808" t="s">
        <v>66</v>
      </c>
      <c r="H808">
        <v>2</v>
      </c>
    </row>
    <row r="809" spans="1:8" x14ac:dyDescent="0.3">
      <c r="A809" t="s">
        <v>133</v>
      </c>
      <c r="B809">
        <v>2014</v>
      </c>
      <c r="C809" t="s">
        <v>271</v>
      </c>
      <c r="D809" t="s">
        <v>272</v>
      </c>
      <c r="E809" t="s">
        <v>65</v>
      </c>
      <c r="F809">
        <v>2150</v>
      </c>
      <c r="G809" t="s">
        <v>66</v>
      </c>
      <c r="H809">
        <v>3</v>
      </c>
    </row>
    <row r="810" spans="1:8" x14ac:dyDescent="0.3">
      <c r="A810" t="s">
        <v>133</v>
      </c>
      <c r="B810">
        <v>2015</v>
      </c>
      <c r="C810" t="s">
        <v>271</v>
      </c>
      <c r="D810" t="s">
        <v>272</v>
      </c>
      <c r="E810" t="s">
        <v>65</v>
      </c>
      <c r="F810">
        <v>2150</v>
      </c>
      <c r="G810" t="s">
        <v>66</v>
      </c>
      <c r="H810">
        <v>9</v>
      </c>
    </row>
    <row r="811" spans="1:8" x14ac:dyDescent="0.3">
      <c r="A811" t="s">
        <v>133</v>
      </c>
      <c r="B811">
        <v>2016</v>
      </c>
      <c r="C811" t="s">
        <v>271</v>
      </c>
      <c r="D811" t="s">
        <v>272</v>
      </c>
      <c r="E811" t="s">
        <v>65</v>
      </c>
      <c r="F811">
        <v>2150</v>
      </c>
      <c r="G811" t="s">
        <v>66</v>
      </c>
      <c r="H811">
        <v>9</v>
      </c>
    </row>
    <row r="812" spans="1:8" x14ac:dyDescent="0.3">
      <c r="A812" t="s">
        <v>133</v>
      </c>
      <c r="B812">
        <v>2017</v>
      </c>
      <c r="C812" t="s">
        <v>271</v>
      </c>
      <c r="D812" t="s">
        <v>272</v>
      </c>
      <c r="E812" t="s">
        <v>65</v>
      </c>
      <c r="F812">
        <v>2150</v>
      </c>
      <c r="G812" t="s">
        <v>66</v>
      </c>
      <c r="H812">
        <v>3</v>
      </c>
    </row>
    <row r="813" spans="1:8" x14ac:dyDescent="0.3">
      <c r="A813" t="s">
        <v>133</v>
      </c>
      <c r="B813">
        <v>2018</v>
      </c>
      <c r="C813" t="s">
        <v>271</v>
      </c>
      <c r="D813" t="s">
        <v>272</v>
      </c>
      <c r="E813" t="s">
        <v>65</v>
      </c>
      <c r="F813">
        <v>2150</v>
      </c>
      <c r="G813" t="s">
        <v>66</v>
      </c>
      <c r="H813">
        <v>1</v>
      </c>
    </row>
    <row r="814" spans="1:8" x14ac:dyDescent="0.3">
      <c r="A814" t="s">
        <v>133</v>
      </c>
      <c r="B814">
        <v>2019</v>
      </c>
      <c r="C814" t="s">
        <v>271</v>
      </c>
      <c r="D814" t="s">
        <v>272</v>
      </c>
      <c r="E814" t="s">
        <v>65</v>
      </c>
      <c r="F814">
        <v>2150</v>
      </c>
      <c r="G814" t="s">
        <v>66</v>
      </c>
      <c r="H814">
        <v>1</v>
      </c>
    </row>
    <row r="815" spans="1:8" x14ac:dyDescent="0.3">
      <c r="A815" t="s">
        <v>133</v>
      </c>
      <c r="B815">
        <v>2020</v>
      </c>
      <c r="C815" t="s">
        <v>271</v>
      </c>
      <c r="D815" t="s">
        <v>272</v>
      </c>
      <c r="E815" t="s">
        <v>65</v>
      </c>
      <c r="F815">
        <v>2150</v>
      </c>
      <c r="G815" t="s">
        <v>66</v>
      </c>
      <c r="H815">
        <v>2</v>
      </c>
    </row>
    <row r="816" spans="1:8" x14ac:dyDescent="0.3">
      <c r="A816" t="s">
        <v>133</v>
      </c>
      <c r="B816">
        <v>2021</v>
      </c>
      <c r="C816" t="s">
        <v>271</v>
      </c>
      <c r="D816" t="s">
        <v>272</v>
      </c>
      <c r="E816" t="s">
        <v>65</v>
      </c>
      <c r="F816">
        <v>2150</v>
      </c>
      <c r="G816" t="s">
        <v>66</v>
      </c>
      <c r="H816">
        <v>3</v>
      </c>
    </row>
    <row r="817" spans="1:8" x14ac:dyDescent="0.3">
      <c r="A817" t="s">
        <v>134</v>
      </c>
      <c r="B817">
        <v>2014</v>
      </c>
      <c r="C817" t="s">
        <v>271</v>
      </c>
      <c r="D817" t="s">
        <v>272</v>
      </c>
      <c r="E817" t="s">
        <v>65</v>
      </c>
      <c r="F817">
        <v>3725</v>
      </c>
      <c r="G817" t="s">
        <v>66</v>
      </c>
      <c r="H817">
        <v>1</v>
      </c>
    </row>
    <row r="818" spans="1:8" x14ac:dyDescent="0.3">
      <c r="A818" t="s">
        <v>134</v>
      </c>
      <c r="B818">
        <v>2016</v>
      </c>
      <c r="C818" t="s">
        <v>271</v>
      </c>
      <c r="D818" t="s">
        <v>272</v>
      </c>
      <c r="E818" t="s">
        <v>65</v>
      </c>
      <c r="F818">
        <v>3725</v>
      </c>
      <c r="G818" t="s">
        <v>66</v>
      </c>
      <c r="H818">
        <v>3</v>
      </c>
    </row>
    <row r="819" spans="1:8" x14ac:dyDescent="0.3">
      <c r="A819" t="s">
        <v>134</v>
      </c>
      <c r="B819">
        <v>2018</v>
      </c>
      <c r="C819" t="s">
        <v>271</v>
      </c>
      <c r="D819" t="s">
        <v>272</v>
      </c>
      <c r="E819" t="s">
        <v>65</v>
      </c>
      <c r="F819">
        <v>3725</v>
      </c>
      <c r="G819" t="s">
        <v>66</v>
      </c>
      <c r="H819">
        <v>2</v>
      </c>
    </row>
    <row r="820" spans="1:8" x14ac:dyDescent="0.3">
      <c r="A820" t="s">
        <v>134</v>
      </c>
      <c r="B820">
        <v>2019</v>
      </c>
      <c r="C820" t="s">
        <v>271</v>
      </c>
      <c r="D820" t="s">
        <v>272</v>
      </c>
      <c r="E820" t="s">
        <v>65</v>
      </c>
      <c r="F820">
        <v>3725</v>
      </c>
      <c r="G820" t="s">
        <v>66</v>
      </c>
      <c r="H820">
        <v>1</v>
      </c>
    </row>
    <row r="821" spans="1:8" x14ac:dyDescent="0.3">
      <c r="A821" t="s">
        <v>134</v>
      </c>
      <c r="B821">
        <v>2020</v>
      </c>
      <c r="C821" t="s">
        <v>271</v>
      </c>
      <c r="D821" t="s">
        <v>272</v>
      </c>
      <c r="E821" t="s">
        <v>65</v>
      </c>
      <c r="F821">
        <v>3725</v>
      </c>
      <c r="G821" t="s">
        <v>66</v>
      </c>
      <c r="H821">
        <v>3</v>
      </c>
    </row>
    <row r="822" spans="1:8" x14ac:dyDescent="0.3">
      <c r="A822" t="s">
        <v>252</v>
      </c>
      <c r="B822">
        <v>2015</v>
      </c>
      <c r="C822" t="s">
        <v>271</v>
      </c>
      <c r="D822" t="s">
        <v>272</v>
      </c>
      <c r="E822" t="s">
        <v>65</v>
      </c>
      <c r="F822">
        <v>6500</v>
      </c>
      <c r="G822" t="s">
        <v>66</v>
      </c>
      <c r="H822">
        <v>3</v>
      </c>
    </row>
    <row r="823" spans="1:8" x14ac:dyDescent="0.3">
      <c r="A823" t="s">
        <v>252</v>
      </c>
      <c r="B823">
        <v>2016</v>
      </c>
      <c r="C823" t="s">
        <v>271</v>
      </c>
      <c r="D823" t="s">
        <v>272</v>
      </c>
      <c r="E823" t="s">
        <v>65</v>
      </c>
      <c r="F823">
        <v>6500</v>
      </c>
      <c r="G823" t="s">
        <v>66</v>
      </c>
      <c r="H823">
        <v>5</v>
      </c>
    </row>
    <row r="824" spans="1:8" x14ac:dyDescent="0.3">
      <c r="A824" t="s">
        <v>252</v>
      </c>
      <c r="B824">
        <v>2017</v>
      </c>
      <c r="C824" t="s">
        <v>271</v>
      </c>
      <c r="D824" t="s">
        <v>272</v>
      </c>
      <c r="E824" t="s">
        <v>65</v>
      </c>
      <c r="F824">
        <v>6500</v>
      </c>
      <c r="G824" t="s">
        <v>66</v>
      </c>
      <c r="H824">
        <v>3</v>
      </c>
    </row>
    <row r="825" spans="1:8" x14ac:dyDescent="0.3">
      <c r="A825" t="s">
        <v>252</v>
      </c>
      <c r="B825">
        <v>2018</v>
      </c>
      <c r="C825" t="s">
        <v>271</v>
      </c>
      <c r="D825" t="s">
        <v>272</v>
      </c>
      <c r="E825" t="s">
        <v>65</v>
      </c>
      <c r="F825">
        <v>6500</v>
      </c>
      <c r="G825" t="s">
        <v>66</v>
      </c>
      <c r="H825">
        <v>6</v>
      </c>
    </row>
    <row r="826" spans="1:8" x14ac:dyDescent="0.3">
      <c r="A826" t="s">
        <v>252</v>
      </c>
      <c r="B826">
        <v>2019</v>
      </c>
      <c r="C826" t="s">
        <v>271</v>
      </c>
      <c r="D826" t="s">
        <v>272</v>
      </c>
      <c r="E826" t="s">
        <v>65</v>
      </c>
      <c r="F826">
        <v>6500</v>
      </c>
      <c r="G826" t="s">
        <v>66</v>
      </c>
      <c r="H826">
        <v>5</v>
      </c>
    </row>
    <row r="827" spans="1:8" x14ac:dyDescent="0.3">
      <c r="A827" t="s">
        <v>252</v>
      </c>
      <c r="B827">
        <v>2020</v>
      </c>
      <c r="C827" t="s">
        <v>271</v>
      </c>
      <c r="D827" t="s">
        <v>272</v>
      </c>
      <c r="E827" t="s">
        <v>65</v>
      </c>
      <c r="F827">
        <v>6500</v>
      </c>
      <c r="G827" t="s">
        <v>66</v>
      </c>
      <c r="H827">
        <v>1</v>
      </c>
    </row>
    <row r="828" spans="1:8" x14ac:dyDescent="0.3">
      <c r="A828" t="s">
        <v>135</v>
      </c>
      <c r="B828">
        <v>2014</v>
      </c>
      <c r="C828" t="s">
        <v>271</v>
      </c>
      <c r="D828" t="s">
        <v>272</v>
      </c>
      <c r="E828" t="s">
        <v>65</v>
      </c>
      <c r="F828">
        <v>3400</v>
      </c>
      <c r="G828" t="s">
        <v>66</v>
      </c>
      <c r="H828">
        <v>1</v>
      </c>
    </row>
    <row r="829" spans="1:8" x14ac:dyDescent="0.3">
      <c r="A829" t="s">
        <v>135</v>
      </c>
      <c r="B829">
        <v>2015</v>
      </c>
      <c r="C829" t="s">
        <v>271</v>
      </c>
      <c r="D829" t="s">
        <v>272</v>
      </c>
      <c r="E829" t="s">
        <v>65</v>
      </c>
      <c r="F829">
        <v>3400</v>
      </c>
      <c r="G829" t="s">
        <v>66</v>
      </c>
      <c r="H829">
        <v>2</v>
      </c>
    </row>
    <row r="830" spans="1:8" x14ac:dyDescent="0.3">
      <c r="A830" t="s">
        <v>135</v>
      </c>
      <c r="B830">
        <v>2016</v>
      </c>
      <c r="C830" t="s">
        <v>271</v>
      </c>
      <c r="D830" t="s">
        <v>272</v>
      </c>
      <c r="E830" t="s">
        <v>65</v>
      </c>
      <c r="F830">
        <v>3400</v>
      </c>
      <c r="G830" t="s">
        <v>66</v>
      </c>
      <c r="H830">
        <v>1</v>
      </c>
    </row>
    <row r="831" spans="1:8" x14ac:dyDescent="0.3">
      <c r="A831" t="s">
        <v>135</v>
      </c>
      <c r="B831">
        <v>2017</v>
      </c>
      <c r="C831" t="s">
        <v>271</v>
      </c>
      <c r="D831" t="s">
        <v>272</v>
      </c>
      <c r="E831" t="s">
        <v>65</v>
      </c>
      <c r="F831">
        <v>3400</v>
      </c>
      <c r="G831" t="s">
        <v>66</v>
      </c>
      <c r="H831">
        <v>1</v>
      </c>
    </row>
    <row r="832" spans="1:8" x14ac:dyDescent="0.3">
      <c r="A832" t="s">
        <v>135</v>
      </c>
      <c r="B832">
        <v>2018</v>
      </c>
      <c r="C832" t="s">
        <v>271</v>
      </c>
      <c r="D832" t="s">
        <v>272</v>
      </c>
      <c r="E832" t="s">
        <v>65</v>
      </c>
      <c r="F832">
        <v>3400</v>
      </c>
      <c r="G832" t="s">
        <v>66</v>
      </c>
      <c r="H832">
        <v>1</v>
      </c>
    </row>
    <row r="833" spans="1:8" x14ac:dyDescent="0.3">
      <c r="A833" t="s">
        <v>135</v>
      </c>
      <c r="B833">
        <v>2019</v>
      </c>
      <c r="C833" t="s">
        <v>271</v>
      </c>
      <c r="D833" t="s">
        <v>272</v>
      </c>
      <c r="E833" t="s">
        <v>65</v>
      </c>
      <c r="F833">
        <v>3400</v>
      </c>
      <c r="G833" t="s">
        <v>66</v>
      </c>
      <c r="H833">
        <v>3</v>
      </c>
    </row>
    <row r="834" spans="1:8" x14ac:dyDescent="0.3">
      <c r="A834" t="s">
        <v>135</v>
      </c>
      <c r="B834">
        <v>2020</v>
      </c>
      <c r="C834" t="s">
        <v>271</v>
      </c>
      <c r="D834" t="s">
        <v>272</v>
      </c>
      <c r="E834" t="s">
        <v>65</v>
      </c>
      <c r="F834">
        <v>3400</v>
      </c>
      <c r="G834" t="s">
        <v>66</v>
      </c>
      <c r="H834">
        <v>2</v>
      </c>
    </row>
    <row r="835" spans="1:8" x14ac:dyDescent="0.3">
      <c r="A835" t="s">
        <v>135</v>
      </c>
      <c r="B835">
        <v>2021</v>
      </c>
      <c r="C835" t="s">
        <v>271</v>
      </c>
      <c r="D835" t="s">
        <v>272</v>
      </c>
      <c r="E835" t="s">
        <v>65</v>
      </c>
      <c r="F835">
        <v>3400</v>
      </c>
      <c r="G835" t="s">
        <v>66</v>
      </c>
      <c r="H835">
        <v>10</v>
      </c>
    </row>
    <row r="836" spans="1:8" x14ac:dyDescent="0.3">
      <c r="A836" t="s">
        <v>136</v>
      </c>
      <c r="B836">
        <v>2014</v>
      </c>
      <c r="C836" t="s">
        <v>271</v>
      </c>
      <c r="D836" t="s">
        <v>272</v>
      </c>
      <c r="E836" t="s">
        <v>65</v>
      </c>
      <c r="F836">
        <v>4629</v>
      </c>
      <c r="G836" t="s">
        <v>66</v>
      </c>
      <c r="H836">
        <v>1</v>
      </c>
    </row>
    <row r="837" spans="1:8" x14ac:dyDescent="0.3">
      <c r="A837" t="s">
        <v>136</v>
      </c>
      <c r="B837">
        <v>2015</v>
      </c>
      <c r="C837" t="s">
        <v>271</v>
      </c>
      <c r="D837" t="s">
        <v>272</v>
      </c>
      <c r="E837" t="s">
        <v>65</v>
      </c>
      <c r="F837">
        <v>4629</v>
      </c>
      <c r="G837" t="s">
        <v>66</v>
      </c>
      <c r="H837">
        <v>3</v>
      </c>
    </row>
    <row r="838" spans="1:8" x14ac:dyDescent="0.3">
      <c r="A838" t="s">
        <v>136</v>
      </c>
      <c r="B838">
        <v>2016</v>
      </c>
      <c r="C838" t="s">
        <v>271</v>
      </c>
      <c r="D838" t="s">
        <v>272</v>
      </c>
      <c r="E838" t="s">
        <v>65</v>
      </c>
      <c r="F838">
        <v>4629</v>
      </c>
      <c r="G838" t="s">
        <v>66</v>
      </c>
      <c r="H838">
        <v>5</v>
      </c>
    </row>
    <row r="839" spans="1:8" x14ac:dyDescent="0.3">
      <c r="A839" t="s">
        <v>136</v>
      </c>
      <c r="B839">
        <v>2017</v>
      </c>
      <c r="C839" t="s">
        <v>271</v>
      </c>
      <c r="D839" t="s">
        <v>272</v>
      </c>
      <c r="E839" t="s">
        <v>65</v>
      </c>
      <c r="F839">
        <v>4629</v>
      </c>
      <c r="G839" t="s">
        <v>66</v>
      </c>
      <c r="H839">
        <v>7</v>
      </c>
    </row>
    <row r="840" spans="1:8" x14ac:dyDescent="0.3">
      <c r="A840" t="s">
        <v>136</v>
      </c>
      <c r="B840">
        <v>2018</v>
      </c>
      <c r="C840" t="s">
        <v>271</v>
      </c>
      <c r="D840" t="s">
        <v>272</v>
      </c>
      <c r="E840" t="s">
        <v>65</v>
      </c>
      <c r="F840">
        <v>4629</v>
      </c>
      <c r="G840" t="s">
        <v>66</v>
      </c>
      <c r="H840">
        <v>7</v>
      </c>
    </row>
    <row r="841" spans="1:8" x14ac:dyDescent="0.3">
      <c r="A841" t="s">
        <v>136</v>
      </c>
      <c r="B841">
        <v>2019</v>
      </c>
      <c r="C841" t="s">
        <v>271</v>
      </c>
      <c r="D841" t="s">
        <v>272</v>
      </c>
      <c r="E841" t="s">
        <v>65</v>
      </c>
      <c r="F841">
        <v>4629</v>
      </c>
      <c r="G841" t="s">
        <v>66</v>
      </c>
      <c r="H841">
        <v>6</v>
      </c>
    </row>
    <row r="842" spans="1:8" x14ac:dyDescent="0.3">
      <c r="A842" t="s">
        <v>136</v>
      </c>
      <c r="B842">
        <v>2020</v>
      </c>
      <c r="C842" t="s">
        <v>271</v>
      </c>
      <c r="D842" t="s">
        <v>272</v>
      </c>
      <c r="E842" t="s">
        <v>65</v>
      </c>
      <c r="F842">
        <v>4629</v>
      </c>
      <c r="G842" t="s">
        <v>66</v>
      </c>
      <c r="H842">
        <v>2</v>
      </c>
    </row>
    <row r="843" spans="1:8" x14ac:dyDescent="0.3">
      <c r="A843" t="s">
        <v>136</v>
      </c>
      <c r="B843">
        <v>2021</v>
      </c>
      <c r="C843" t="s">
        <v>271</v>
      </c>
      <c r="D843" t="s">
        <v>272</v>
      </c>
      <c r="E843" t="s">
        <v>65</v>
      </c>
      <c r="F843">
        <v>4629</v>
      </c>
      <c r="G843" t="s">
        <v>66</v>
      </c>
      <c r="H843">
        <v>2</v>
      </c>
    </row>
    <row r="844" spans="1:8" x14ac:dyDescent="0.3">
      <c r="A844" t="s">
        <v>253</v>
      </c>
      <c r="B844">
        <v>2014</v>
      </c>
      <c r="C844" t="s">
        <v>271</v>
      </c>
      <c r="D844" t="s">
        <v>272</v>
      </c>
      <c r="E844" t="s">
        <v>65</v>
      </c>
      <c r="F844">
        <v>3798</v>
      </c>
      <c r="G844" t="s">
        <v>66</v>
      </c>
      <c r="H844">
        <v>8</v>
      </c>
    </row>
    <row r="845" spans="1:8" x14ac:dyDescent="0.3">
      <c r="A845" t="s">
        <v>253</v>
      </c>
      <c r="B845">
        <v>2015</v>
      </c>
      <c r="C845" t="s">
        <v>271</v>
      </c>
      <c r="D845" t="s">
        <v>272</v>
      </c>
      <c r="E845" t="s">
        <v>65</v>
      </c>
      <c r="F845">
        <v>3798</v>
      </c>
      <c r="G845" t="s">
        <v>66</v>
      </c>
      <c r="H845">
        <v>6</v>
      </c>
    </row>
    <row r="846" spans="1:8" x14ac:dyDescent="0.3">
      <c r="A846" t="s">
        <v>253</v>
      </c>
      <c r="B846">
        <v>2016</v>
      </c>
      <c r="C846" t="s">
        <v>271</v>
      </c>
      <c r="D846" t="s">
        <v>272</v>
      </c>
      <c r="E846" t="s">
        <v>65</v>
      </c>
      <c r="F846">
        <v>3798</v>
      </c>
      <c r="G846" t="s">
        <v>66</v>
      </c>
      <c r="H846">
        <v>6</v>
      </c>
    </row>
    <row r="847" spans="1:8" x14ac:dyDescent="0.3">
      <c r="A847" t="s">
        <v>253</v>
      </c>
      <c r="B847">
        <v>2017</v>
      </c>
      <c r="C847" t="s">
        <v>271</v>
      </c>
      <c r="D847" t="s">
        <v>272</v>
      </c>
      <c r="E847" t="s">
        <v>65</v>
      </c>
      <c r="F847">
        <v>3798</v>
      </c>
      <c r="G847" t="s">
        <v>66</v>
      </c>
      <c r="H847">
        <v>2</v>
      </c>
    </row>
    <row r="848" spans="1:8" x14ac:dyDescent="0.3">
      <c r="A848" t="s">
        <v>253</v>
      </c>
      <c r="B848">
        <v>2019</v>
      </c>
      <c r="C848" t="s">
        <v>271</v>
      </c>
      <c r="D848" t="s">
        <v>272</v>
      </c>
      <c r="E848" t="s">
        <v>65</v>
      </c>
      <c r="F848">
        <v>3798</v>
      </c>
      <c r="G848" t="s">
        <v>66</v>
      </c>
      <c r="H848">
        <v>3</v>
      </c>
    </row>
    <row r="849" spans="1:8" x14ac:dyDescent="0.3">
      <c r="A849" t="s">
        <v>137</v>
      </c>
      <c r="B849">
        <v>2014</v>
      </c>
      <c r="C849" t="s">
        <v>271</v>
      </c>
      <c r="D849" t="s">
        <v>272</v>
      </c>
      <c r="E849" t="s">
        <v>65</v>
      </c>
      <c r="F849">
        <v>4299</v>
      </c>
      <c r="G849" t="s">
        <v>66</v>
      </c>
      <c r="H849">
        <v>2</v>
      </c>
    </row>
    <row r="850" spans="1:8" x14ac:dyDescent="0.3">
      <c r="A850" t="s">
        <v>137</v>
      </c>
      <c r="B850">
        <v>2015</v>
      </c>
      <c r="C850" t="s">
        <v>271</v>
      </c>
      <c r="D850" t="s">
        <v>272</v>
      </c>
      <c r="E850" t="s">
        <v>65</v>
      </c>
      <c r="F850">
        <v>4299</v>
      </c>
      <c r="G850" t="s">
        <v>66</v>
      </c>
      <c r="H850">
        <v>6</v>
      </c>
    </row>
    <row r="851" spans="1:8" x14ac:dyDescent="0.3">
      <c r="A851" t="s">
        <v>137</v>
      </c>
      <c r="B851">
        <v>2016</v>
      </c>
      <c r="C851" t="s">
        <v>271</v>
      </c>
      <c r="D851" t="s">
        <v>272</v>
      </c>
      <c r="E851" t="s">
        <v>65</v>
      </c>
      <c r="F851">
        <v>4299</v>
      </c>
      <c r="G851" t="s">
        <v>66</v>
      </c>
      <c r="H851">
        <v>4</v>
      </c>
    </row>
    <row r="852" spans="1:8" x14ac:dyDescent="0.3">
      <c r="A852" t="s">
        <v>137</v>
      </c>
      <c r="B852">
        <v>2018</v>
      </c>
      <c r="C852" t="s">
        <v>271</v>
      </c>
      <c r="D852" t="s">
        <v>272</v>
      </c>
      <c r="E852" t="s">
        <v>65</v>
      </c>
      <c r="F852">
        <v>4299</v>
      </c>
      <c r="G852" t="s">
        <v>66</v>
      </c>
      <c r="H852">
        <v>4</v>
      </c>
    </row>
    <row r="853" spans="1:8" x14ac:dyDescent="0.3">
      <c r="A853" t="s">
        <v>137</v>
      </c>
      <c r="B853">
        <v>2019</v>
      </c>
      <c r="C853" t="s">
        <v>271</v>
      </c>
      <c r="D853" t="s">
        <v>272</v>
      </c>
      <c r="E853" t="s">
        <v>65</v>
      </c>
      <c r="F853">
        <v>4299</v>
      </c>
      <c r="G853" t="s">
        <v>66</v>
      </c>
      <c r="H853">
        <v>2</v>
      </c>
    </row>
    <row r="854" spans="1:8" x14ac:dyDescent="0.3">
      <c r="A854" t="s">
        <v>137</v>
      </c>
      <c r="B854">
        <v>2020</v>
      </c>
      <c r="C854" t="s">
        <v>271</v>
      </c>
      <c r="D854" t="s">
        <v>272</v>
      </c>
      <c r="E854" t="s">
        <v>65</v>
      </c>
      <c r="F854">
        <v>4299</v>
      </c>
      <c r="G854" t="s">
        <v>66</v>
      </c>
      <c r="H854">
        <v>1</v>
      </c>
    </row>
    <row r="855" spans="1:8" x14ac:dyDescent="0.3">
      <c r="A855" t="s">
        <v>137</v>
      </c>
      <c r="B855">
        <v>2021</v>
      </c>
      <c r="C855" t="s">
        <v>271</v>
      </c>
      <c r="D855" t="s">
        <v>272</v>
      </c>
      <c r="E855" t="s">
        <v>65</v>
      </c>
      <c r="F855">
        <v>4299</v>
      </c>
      <c r="G855" t="s">
        <v>66</v>
      </c>
      <c r="H855">
        <v>1</v>
      </c>
    </row>
    <row r="856" spans="1:8" x14ac:dyDescent="0.3">
      <c r="A856" t="s">
        <v>254</v>
      </c>
      <c r="B856">
        <v>2014</v>
      </c>
      <c r="C856" t="s">
        <v>271</v>
      </c>
      <c r="D856" t="s">
        <v>272</v>
      </c>
      <c r="E856" t="s">
        <v>65</v>
      </c>
      <c r="F856">
        <v>8699</v>
      </c>
      <c r="G856" t="s">
        <v>66</v>
      </c>
      <c r="H856">
        <v>1</v>
      </c>
    </row>
    <row r="857" spans="1:8" x14ac:dyDescent="0.3">
      <c r="A857" t="s">
        <v>254</v>
      </c>
      <c r="B857">
        <v>2018</v>
      </c>
      <c r="C857" t="s">
        <v>271</v>
      </c>
      <c r="D857" t="s">
        <v>272</v>
      </c>
      <c r="E857" t="s">
        <v>65</v>
      </c>
      <c r="F857">
        <v>8699</v>
      </c>
      <c r="G857" t="s">
        <v>66</v>
      </c>
      <c r="H857">
        <v>4</v>
      </c>
    </row>
    <row r="858" spans="1:8" x14ac:dyDescent="0.3">
      <c r="A858" t="s">
        <v>254</v>
      </c>
      <c r="B858">
        <v>2019</v>
      </c>
      <c r="C858" t="s">
        <v>271</v>
      </c>
      <c r="D858" t="s">
        <v>272</v>
      </c>
      <c r="E858" t="s">
        <v>65</v>
      </c>
      <c r="F858">
        <v>8699</v>
      </c>
      <c r="G858" t="s">
        <v>66</v>
      </c>
      <c r="H858">
        <v>1</v>
      </c>
    </row>
    <row r="859" spans="1:8" x14ac:dyDescent="0.3">
      <c r="A859" t="s">
        <v>138</v>
      </c>
      <c r="B859">
        <v>2014</v>
      </c>
      <c r="C859" t="s">
        <v>271</v>
      </c>
      <c r="D859" t="s">
        <v>272</v>
      </c>
      <c r="E859" t="s">
        <v>65</v>
      </c>
      <c r="F859">
        <v>9479</v>
      </c>
      <c r="G859" t="s">
        <v>66</v>
      </c>
      <c r="H859">
        <v>1</v>
      </c>
    </row>
    <row r="860" spans="1:8" x14ac:dyDescent="0.3">
      <c r="A860" t="s">
        <v>138</v>
      </c>
      <c r="B860">
        <v>2015</v>
      </c>
      <c r="C860" t="s">
        <v>271</v>
      </c>
      <c r="D860" t="s">
        <v>272</v>
      </c>
      <c r="E860" t="s">
        <v>65</v>
      </c>
      <c r="F860">
        <v>9479</v>
      </c>
      <c r="G860" t="s">
        <v>66</v>
      </c>
      <c r="H860">
        <v>1</v>
      </c>
    </row>
    <row r="861" spans="1:8" x14ac:dyDescent="0.3">
      <c r="A861" t="s">
        <v>138</v>
      </c>
      <c r="B861">
        <v>2017</v>
      </c>
      <c r="C861" t="s">
        <v>271</v>
      </c>
      <c r="D861" t="s">
        <v>272</v>
      </c>
      <c r="E861" t="s">
        <v>65</v>
      </c>
      <c r="F861">
        <v>9479</v>
      </c>
      <c r="G861" t="s">
        <v>66</v>
      </c>
      <c r="H861">
        <v>1</v>
      </c>
    </row>
    <row r="862" spans="1:8" x14ac:dyDescent="0.3">
      <c r="A862" t="s">
        <v>138</v>
      </c>
      <c r="B862">
        <v>2018</v>
      </c>
      <c r="C862" t="s">
        <v>271</v>
      </c>
      <c r="D862" t="s">
        <v>272</v>
      </c>
      <c r="E862" t="s">
        <v>65</v>
      </c>
      <c r="F862">
        <v>9479</v>
      </c>
      <c r="G862" t="s">
        <v>66</v>
      </c>
      <c r="H862">
        <v>1</v>
      </c>
    </row>
    <row r="863" spans="1:8" x14ac:dyDescent="0.3">
      <c r="A863" t="s">
        <v>139</v>
      </c>
      <c r="B863">
        <v>2014</v>
      </c>
      <c r="C863" t="s">
        <v>271</v>
      </c>
      <c r="D863" t="s">
        <v>272</v>
      </c>
      <c r="E863" t="s">
        <v>65</v>
      </c>
      <c r="F863">
        <v>9039</v>
      </c>
      <c r="G863" t="s">
        <v>66</v>
      </c>
      <c r="H863">
        <v>21</v>
      </c>
    </row>
    <row r="864" spans="1:8" x14ac:dyDescent="0.3">
      <c r="A864" t="s">
        <v>139</v>
      </c>
      <c r="B864">
        <v>2015</v>
      </c>
      <c r="C864" t="s">
        <v>271</v>
      </c>
      <c r="D864" t="s">
        <v>272</v>
      </c>
      <c r="E864" t="s">
        <v>65</v>
      </c>
      <c r="F864">
        <v>9039</v>
      </c>
      <c r="G864" t="s">
        <v>66</v>
      </c>
      <c r="H864">
        <v>50</v>
      </c>
    </row>
    <row r="865" spans="1:8" x14ac:dyDescent="0.3">
      <c r="A865" t="s">
        <v>139</v>
      </c>
      <c r="B865">
        <v>2016</v>
      </c>
      <c r="C865" t="s">
        <v>271</v>
      </c>
      <c r="D865" t="s">
        <v>272</v>
      </c>
      <c r="E865" t="s">
        <v>65</v>
      </c>
      <c r="F865">
        <v>9039</v>
      </c>
      <c r="G865" t="s">
        <v>66</v>
      </c>
      <c r="H865">
        <v>58</v>
      </c>
    </row>
    <row r="866" spans="1:8" x14ac:dyDescent="0.3">
      <c r="A866" t="s">
        <v>139</v>
      </c>
      <c r="B866">
        <v>2017</v>
      </c>
      <c r="C866" t="s">
        <v>271</v>
      </c>
      <c r="D866" t="s">
        <v>272</v>
      </c>
      <c r="E866" t="s">
        <v>65</v>
      </c>
      <c r="F866">
        <v>9039</v>
      </c>
      <c r="G866" t="s">
        <v>66</v>
      </c>
      <c r="H866">
        <v>148</v>
      </c>
    </row>
    <row r="867" spans="1:8" x14ac:dyDescent="0.3">
      <c r="A867" t="s">
        <v>139</v>
      </c>
      <c r="B867">
        <v>2018</v>
      </c>
      <c r="C867" t="s">
        <v>271</v>
      </c>
      <c r="D867" t="s">
        <v>272</v>
      </c>
      <c r="E867" t="s">
        <v>65</v>
      </c>
      <c r="F867">
        <v>9039</v>
      </c>
      <c r="G867" t="s">
        <v>66</v>
      </c>
      <c r="H867">
        <v>231</v>
      </c>
    </row>
    <row r="868" spans="1:8" x14ac:dyDescent="0.3">
      <c r="A868" t="s">
        <v>139</v>
      </c>
      <c r="B868">
        <v>2019</v>
      </c>
      <c r="C868" t="s">
        <v>271</v>
      </c>
      <c r="D868" t="s">
        <v>272</v>
      </c>
      <c r="E868" t="s">
        <v>65</v>
      </c>
      <c r="F868">
        <v>9039</v>
      </c>
      <c r="G868" t="s">
        <v>66</v>
      </c>
      <c r="H868">
        <v>223</v>
      </c>
    </row>
    <row r="869" spans="1:8" x14ac:dyDescent="0.3">
      <c r="A869" t="s">
        <v>139</v>
      </c>
      <c r="B869">
        <v>2020</v>
      </c>
      <c r="C869" t="s">
        <v>271</v>
      </c>
      <c r="D869" t="s">
        <v>272</v>
      </c>
      <c r="E869" t="s">
        <v>65</v>
      </c>
      <c r="F869">
        <v>9039</v>
      </c>
      <c r="G869" t="s">
        <v>66</v>
      </c>
      <c r="H869">
        <v>185</v>
      </c>
    </row>
    <row r="870" spans="1:8" x14ac:dyDescent="0.3">
      <c r="A870" t="s">
        <v>139</v>
      </c>
      <c r="B870">
        <v>2021</v>
      </c>
      <c r="C870" t="s">
        <v>271</v>
      </c>
      <c r="D870" t="s">
        <v>272</v>
      </c>
      <c r="E870" t="s">
        <v>65</v>
      </c>
      <c r="F870">
        <v>9039</v>
      </c>
      <c r="G870" t="s">
        <v>66</v>
      </c>
      <c r="H870">
        <v>365</v>
      </c>
    </row>
    <row r="871" spans="1:8" x14ac:dyDescent="0.3">
      <c r="A871" t="s">
        <v>255</v>
      </c>
      <c r="B871">
        <v>2021</v>
      </c>
      <c r="C871" t="s">
        <v>271</v>
      </c>
      <c r="D871" t="s">
        <v>272</v>
      </c>
      <c r="E871" t="s">
        <v>65</v>
      </c>
      <c r="F871">
        <v>18300</v>
      </c>
      <c r="G871" t="s">
        <v>72</v>
      </c>
      <c r="H871">
        <v>2</v>
      </c>
    </row>
    <row r="872" spans="1:8" x14ac:dyDescent="0.3">
      <c r="A872" t="s">
        <v>256</v>
      </c>
      <c r="B872">
        <v>2014</v>
      </c>
      <c r="C872" t="s">
        <v>271</v>
      </c>
      <c r="D872" t="s">
        <v>272</v>
      </c>
      <c r="E872" t="s">
        <v>65</v>
      </c>
      <c r="F872">
        <v>8800</v>
      </c>
      <c r="G872" t="s">
        <v>66</v>
      </c>
      <c r="H872">
        <v>5</v>
      </c>
    </row>
    <row r="873" spans="1:8" x14ac:dyDescent="0.3">
      <c r="A873" t="s">
        <v>256</v>
      </c>
      <c r="B873">
        <v>2015</v>
      </c>
      <c r="C873" t="s">
        <v>271</v>
      </c>
      <c r="D873" t="s">
        <v>272</v>
      </c>
      <c r="E873" t="s">
        <v>65</v>
      </c>
      <c r="F873">
        <v>8800</v>
      </c>
      <c r="G873" t="s">
        <v>66</v>
      </c>
      <c r="H873">
        <v>4</v>
      </c>
    </row>
    <row r="874" spans="1:8" x14ac:dyDescent="0.3">
      <c r="A874" t="s">
        <v>256</v>
      </c>
      <c r="B874">
        <v>2016</v>
      </c>
      <c r="C874" t="s">
        <v>271</v>
      </c>
      <c r="D874" t="s">
        <v>272</v>
      </c>
      <c r="E874" t="s">
        <v>65</v>
      </c>
      <c r="F874">
        <v>8800</v>
      </c>
      <c r="G874" t="s">
        <v>66</v>
      </c>
      <c r="H874">
        <v>8</v>
      </c>
    </row>
    <row r="875" spans="1:8" x14ac:dyDescent="0.3">
      <c r="A875" t="s">
        <v>256</v>
      </c>
      <c r="B875">
        <v>2017</v>
      </c>
      <c r="C875" t="s">
        <v>271</v>
      </c>
      <c r="D875" t="s">
        <v>272</v>
      </c>
      <c r="E875" t="s">
        <v>65</v>
      </c>
      <c r="F875">
        <v>8800</v>
      </c>
      <c r="G875" t="s">
        <v>66</v>
      </c>
      <c r="H875">
        <v>7</v>
      </c>
    </row>
    <row r="876" spans="1:8" x14ac:dyDescent="0.3">
      <c r="A876" t="s">
        <v>256</v>
      </c>
      <c r="B876">
        <v>2018</v>
      </c>
      <c r="C876" t="s">
        <v>271</v>
      </c>
      <c r="D876" t="s">
        <v>272</v>
      </c>
      <c r="E876" t="s">
        <v>65</v>
      </c>
      <c r="F876">
        <v>8800</v>
      </c>
      <c r="G876" t="s">
        <v>66</v>
      </c>
      <c r="H876">
        <v>9</v>
      </c>
    </row>
    <row r="877" spans="1:8" x14ac:dyDescent="0.3">
      <c r="A877" t="s">
        <v>256</v>
      </c>
      <c r="B877">
        <v>2019</v>
      </c>
      <c r="C877" t="s">
        <v>271</v>
      </c>
      <c r="D877" t="s">
        <v>272</v>
      </c>
      <c r="E877" t="s">
        <v>65</v>
      </c>
      <c r="F877">
        <v>8800</v>
      </c>
      <c r="G877" t="s">
        <v>66</v>
      </c>
      <c r="H877">
        <v>9</v>
      </c>
    </row>
    <row r="878" spans="1:8" x14ac:dyDescent="0.3">
      <c r="A878" t="s">
        <v>256</v>
      </c>
      <c r="B878">
        <v>2020</v>
      </c>
      <c r="C878" t="s">
        <v>271</v>
      </c>
      <c r="D878" t="s">
        <v>272</v>
      </c>
      <c r="E878" t="s">
        <v>65</v>
      </c>
      <c r="F878">
        <v>8800</v>
      </c>
      <c r="G878" t="s">
        <v>66</v>
      </c>
      <c r="H878">
        <v>1</v>
      </c>
    </row>
    <row r="879" spans="1:8" x14ac:dyDescent="0.3">
      <c r="A879" t="s">
        <v>256</v>
      </c>
      <c r="B879">
        <v>2021</v>
      </c>
      <c r="C879" t="s">
        <v>271</v>
      </c>
      <c r="D879" t="s">
        <v>272</v>
      </c>
      <c r="E879" t="s">
        <v>65</v>
      </c>
      <c r="F879">
        <v>8800</v>
      </c>
      <c r="G879" t="s">
        <v>66</v>
      </c>
      <c r="H879">
        <v>6</v>
      </c>
    </row>
    <row r="880" spans="1:8" x14ac:dyDescent="0.3">
      <c r="A880" t="s">
        <v>258</v>
      </c>
      <c r="B880">
        <v>2014</v>
      </c>
      <c r="C880" t="s">
        <v>271</v>
      </c>
      <c r="D880" t="s">
        <v>272</v>
      </c>
      <c r="E880" t="s">
        <v>65</v>
      </c>
      <c r="F880">
        <v>97000</v>
      </c>
      <c r="G880" t="s">
        <v>72</v>
      </c>
      <c r="H880">
        <v>5</v>
      </c>
    </row>
    <row r="881" spans="1:8" x14ac:dyDescent="0.3">
      <c r="A881" t="s">
        <v>258</v>
      </c>
      <c r="B881">
        <v>2015</v>
      </c>
      <c r="C881" t="s">
        <v>271</v>
      </c>
      <c r="D881" t="s">
        <v>272</v>
      </c>
      <c r="E881" t="s">
        <v>65</v>
      </c>
      <c r="F881">
        <v>97000</v>
      </c>
      <c r="G881" t="s">
        <v>72</v>
      </c>
      <c r="H881">
        <v>44</v>
      </c>
    </row>
    <row r="882" spans="1:8" x14ac:dyDescent="0.3">
      <c r="A882" t="s">
        <v>258</v>
      </c>
      <c r="B882">
        <v>2016</v>
      </c>
      <c r="C882" t="s">
        <v>271</v>
      </c>
      <c r="D882" t="s">
        <v>272</v>
      </c>
      <c r="E882" t="s">
        <v>65</v>
      </c>
      <c r="F882">
        <v>97000</v>
      </c>
      <c r="G882" t="s">
        <v>72</v>
      </c>
      <c r="H882">
        <v>22</v>
      </c>
    </row>
    <row r="883" spans="1:8" x14ac:dyDescent="0.3">
      <c r="A883" t="s">
        <v>258</v>
      </c>
      <c r="B883">
        <v>2017</v>
      </c>
      <c r="C883" t="s">
        <v>271</v>
      </c>
      <c r="D883" t="s">
        <v>272</v>
      </c>
      <c r="E883" t="s">
        <v>65</v>
      </c>
      <c r="F883">
        <v>97000</v>
      </c>
      <c r="G883" t="s">
        <v>72</v>
      </c>
      <c r="H883">
        <v>40</v>
      </c>
    </row>
    <row r="884" spans="1:8" x14ac:dyDescent="0.3">
      <c r="A884" t="s">
        <v>258</v>
      </c>
      <c r="B884">
        <v>2018</v>
      </c>
      <c r="C884" t="s">
        <v>271</v>
      </c>
      <c r="D884" t="s">
        <v>272</v>
      </c>
      <c r="E884" t="s">
        <v>65</v>
      </c>
      <c r="F884">
        <v>97000</v>
      </c>
      <c r="G884" t="s">
        <v>72</v>
      </c>
      <c r="H884">
        <v>8</v>
      </c>
    </row>
    <row r="885" spans="1:8" x14ac:dyDescent="0.3">
      <c r="A885" t="s">
        <v>258</v>
      </c>
      <c r="B885">
        <v>2019</v>
      </c>
      <c r="C885" t="s">
        <v>271</v>
      </c>
      <c r="D885" t="s">
        <v>272</v>
      </c>
      <c r="E885" t="s">
        <v>65</v>
      </c>
      <c r="F885">
        <v>97000</v>
      </c>
      <c r="G885" t="s">
        <v>72</v>
      </c>
      <c r="H885">
        <v>5</v>
      </c>
    </row>
    <row r="886" spans="1:8" x14ac:dyDescent="0.3">
      <c r="A886" t="s">
        <v>258</v>
      </c>
      <c r="B886">
        <v>2020</v>
      </c>
      <c r="C886" t="s">
        <v>271</v>
      </c>
      <c r="D886" t="s">
        <v>272</v>
      </c>
      <c r="E886" t="s">
        <v>65</v>
      </c>
      <c r="F886">
        <v>97000</v>
      </c>
      <c r="G886" t="s">
        <v>72</v>
      </c>
      <c r="H886">
        <v>1</v>
      </c>
    </row>
    <row r="887" spans="1:8" x14ac:dyDescent="0.3">
      <c r="A887" t="s">
        <v>258</v>
      </c>
      <c r="B887">
        <v>2021</v>
      </c>
      <c r="C887" t="s">
        <v>271</v>
      </c>
      <c r="D887" t="s">
        <v>272</v>
      </c>
      <c r="E887" t="s">
        <v>65</v>
      </c>
      <c r="F887">
        <v>97000</v>
      </c>
      <c r="G887" t="s">
        <v>72</v>
      </c>
      <c r="H887">
        <v>12</v>
      </c>
    </row>
    <row r="888" spans="1:8" x14ac:dyDescent="0.3">
      <c r="A888" t="s">
        <v>140</v>
      </c>
      <c r="B888">
        <v>2020</v>
      </c>
      <c r="C888" t="s">
        <v>271</v>
      </c>
      <c r="D888" t="s">
        <v>272</v>
      </c>
      <c r="E888" t="s">
        <v>65</v>
      </c>
      <c r="F888">
        <v>1650</v>
      </c>
      <c r="G888" t="s">
        <v>66</v>
      </c>
      <c r="H888">
        <v>2</v>
      </c>
    </row>
    <row r="889" spans="1:8" x14ac:dyDescent="0.3">
      <c r="A889" t="s">
        <v>141</v>
      </c>
      <c r="B889">
        <v>2016</v>
      </c>
      <c r="C889" t="s">
        <v>271</v>
      </c>
      <c r="D889" t="s">
        <v>272</v>
      </c>
      <c r="E889" t="s">
        <v>65</v>
      </c>
      <c r="F889">
        <v>1600</v>
      </c>
      <c r="G889" t="s">
        <v>66</v>
      </c>
      <c r="H889">
        <v>1</v>
      </c>
    </row>
    <row r="890" spans="1:8" x14ac:dyDescent="0.3">
      <c r="A890" t="s">
        <v>141</v>
      </c>
      <c r="B890">
        <v>2017</v>
      </c>
      <c r="C890" t="s">
        <v>271</v>
      </c>
      <c r="D890" t="s">
        <v>272</v>
      </c>
      <c r="E890" t="s">
        <v>65</v>
      </c>
      <c r="F890">
        <v>1600</v>
      </c>
      <c r="G890" t="s">
        <v>66</v>
      </c>
      <c r="H890">
        <v>4</v>
      </c>
    </row>
    <row r="891" spans="1:8" x14ac:dyDescent="0.3">
      <c r="A891" t="s">
        <v>141</v>
      </c>
      <c r="B891">
        <v>2018</v>
      </c>
      <c r="C891" t="s">
        <v>271</v>
      </c>
      <c r="D891" t="s">
        <v>272</v>
      </c>
      <c r="E891" t="s">
        <v>65</v>
      </c>
      <c r="F891">
        <v>1600</v>
      </c>
      <c r="G891" t="s">
        <v>66</v>
      </c>
      <c r="H891">
        <v>4</v>
      </c>
    </row>
    <row r="892" spans="1:8" x14ac:dyDescent="0.3">
      <c r="A892" t="s">
        <v>141</v>
      </c>
      <c r="B892">
        <v>2019</v>
      </c>
      <c r="C892" t="s">
        <v>271</v>
      </c>
      <c r="D892" t="s">
        <v>272</v>
      </c>
      <c r="E892" t="s">
        <v>65</v>
      </c>
      <c r="F892">
        <v>1600</v>
      </c>
      <c r="G892" t="s">
        <v>66</v>
      </c>
      <c r="H892">
        <v>15</v>
      </c>
    </row>
    <row r="893" spans="1:8" x14ac:dyDescent="0.3">
      <c r="A893" t="s">
        <v>141</v>
      </c>
      <c r="B893">
        <v>2020</v>
      </c>
      <c r="C893" t="s">
        <v>271</v>
      </c>
      <c r="D893" t="s">
        <v>272</v>
      </c>
      <c r="E893" t="s">
        <v>65</v>
      </c>
      <c r="F893">
        <v>1600</v>
      </c>
      <c r="G893" t="s">
        <v>66</v>
      </c>
      <c r="H893">
        <v>2</v>
      </c>
    </row>
    <row r="894" spans="1:8" x14ac:dyDescent="0.3">
      <c r="A894" t="s">
        <v>141</v>
      </c>
      <c r="B894">
        <v>2021</v>
      </c>
      <c r="C894" t="s">
        <v>271</v>
      </c>
      <c r="D894" t="s">
        <v>272</v>
      </c>
      <c r="E894" t="s">
        <v>65</v>
      </c>
      <c r="F894">
        <v>1600</v>
      </c>
      <c r="G894" t="s">
        <v>66</v>
      </c>
      <c r="H894">
        <v>5</v>
      </c>
    </row>
    <row r="895" spans="1:8" x14ac:dyDescent="0.3">
      <c r="A895" t="s">
        <v>261</v>
      </c>
      <c r="B895">
        <v>2016</v>
      </c>
      <c r="C895" t="s">
        <v>271</v>
      </c>
      <c r="D895" t="s">
        <v>272</v>
      </c>
      <c r="E895" t="s">
        <v>65</v>
      </c>
      <c r="F895">
        <v>15100</v>
      </c>
      <c r="G895" t="s">
        <v>66</v>
      </c>
      <c r="H895">
        <v>1</v>
      </c>
    </row>
    <row r="896" spans="1:8" x14ac:dyDescent="0.3">
      <c r="A896" t="s">
        <v>261</v>
      </c>
      <c r="B896">
        <v>2017</v>
      </c>
      <c r="C896" t="s">
        <v>271</v>
      </c>
      <c r="D896" t="s">
        <v>272</v>
      </c>
      <c r="E896" t="s">
        <v>65</v>
      </c>
      <c r="F896">
        <v>15100</v>
      </c>
      <c r="G896" t="s">
        <v>66</v>
      </c>
      <c r="H896">
        <v>3</v>
      </c>
    </row>
    <row r="897" spans="1:8" x14ac:dyDescent="0.3">
      <c r="A897" t="s">
        <v>261</v>
      </c>
      <c r="B897">
        <v>2018</v>
      </c>
      <c r="C897" t="s">
        <v>271</v>
      </c>
      <c r="D897" t="s">
        <v>272</v>
      </c>
      <c r="E897" t="s">
        <v>65</v>
      </c>
      <c r="F897">
        <v>15100</v>
      </c>
      <c r="G897" t="s">
        <v>66</v>
      </c>
      <c r="H897">
        <v>2</v>
      </c>
    </row>
    <row r="898" spans="1:8" x14ac:dyDescent="0.3">
      <c r="A898" t="s">
        <v>261</v>
      </c>
      <c r="B898">
        <v>2019</v>
      </c>
      <c r="C898" t="s">
        <v>271</v>
      </c>
      <c r="D898" t="s">
        <v>272</v>
      </c>
      <c r="E898" t="s">
        <v>65</v>
      </c>
      <c r="F898">
        <v>15100</v>
      </c>
      <c r="G898" t="s">
        <v>66</v>
      </c>
      <c r="H898">
        <v>5</v>
      </c>
    </row>
    <row r="899" spans="1:8" x14ac:dyDescent="0.3">
      <c r="A899" t="s">
        <v>261</v>
      </c>
      <c r="B899">
        <v>2020</v>
      </c>
      <c r="C899" t="s">
        <v>271</v>
      </c>
      <c r="D899" t="s">
        <v>272</v>
      </c>
      <c r="E899" t="s">
        <v>65</v>
      </c>
      <c r="F899">
        <v>15100</v>
      </c>
      <c r="G899" t="s">
        <v>66</v>
      </c>
      <c r="H899">
        <v>4</v>
      </c>
    </row>
    <row r="900" spans="1:8" x14ac:dyDescent="0.3">
      <c r="A900" t="s">
        <v>261</v>
      </c>
      <c r="B900">
        <v>2021</v>
      </c>
      <c r="C900" t="s">
        <v>271</v>
      </c>
      <c r="D900" t="s">
        <v>272</v>
      </c>
      <c r="E900" t="s">
        <v>65</v>
      </c>
      <c r="F900">
        <v>15100</v>
      </c>
      <c r="G900" t="s">
        <v>66</v>
      </c>
      <c r="H900">
        <v>5</v>
      </c>
    </row>
    <row r="901" spans="1:8" x14ac:dyDescent="0.3">
      <c r="A901" t="s">
        <v>263</v>
      </c>
      <c r="B901">
        <v>2017</v>
      </c>
      <c r="C901" t="s">
        <v>271</v>
      </c>
      <c r="D901" t="s">
        <v>272</v>
      </c>
      <c r="E901" t="s">
        <v>65</v>
      </c>
      <c r="F901">
        <v>6000</v>
      </c>
      <c r="G901" t="s">
        <v>66</v>
      </c>
      <c r="H901">
        <v>1</v>
      </c>
    </row>
    <row r="902" spans="1:8" x14ac:dyDescent="0.3">
      <c r="A902" t="s">
        <v>263</v>
      </c>
      <c r="B902">
        <v>2019</v>
      </c>
      <c r="C902" t="s">
        <v>271</v>
      </c>
      <c r="D902" t="s">
        <v>272</v>
      </c>
      <c r="E902" t="s">
        <v>65</v>
      </c>
      <c r="F902">
        <v>6000</v>
      </c>
      <c r="G902" t="s">
        <v>66</v>
      </c>
      <c r="H902">
        <v>2</v>
      </c>
    </row>
    <row r="903" spans="1:8" x14ac:dyDescent="0.3">
      <c r="A903" t="s">
        <v>263</v>
      </c>
      <c r="B903">
        <v>2020</v>
      </c>
      <c r="C903" t="s">
        <v>271</v>
      </c>
      <c r="D903" t="s">
        <v>272</v>
      </c>
      <c r="E903" t="s">
        <v>65</v>
      </c>
      <c r="F903">
        <v>6000</v>
      </c>
      <c r="G903" t="s">
        <v>66</v>
      </c>
      <c r="H903">
        <v>3</v>
      </c>
    </row>
    <row r="904" spans="1:8" x14ac:dyDescent="0.3">
      <c r="A904" t="s">
        <v>263</v>
      </c>
      <c r="B904">
        <v>2021</v>
      </c>
      <c r="C904" t="s">
        <v>271</v>
      </c>
      <c r="D904" t="s">
        <v>272</v>
      </c>
      <c r="E904" t="s">
        <v>65</v>
      </c>
      <c r="F904">
        <v>6000</v>
      </c>
      <c r="G904" t="s">
        <v>66</v>
      </c>
      <c r="H904">
        <v>1</v>
      </c>
    </row>
    <row r="905" spans="1:8" x14ac:dyDescent="0.3">
      <c r="A905" t="s">
        <v>142</v>
      </c>
      <c r="B905">
        <v>2014</v>
      </c>
      <c r="C905" t="s">
        <v>271</v>
      </c>
      <c r="D905" t="s">
        <v>272</v>
      </c>
      <c r="E905" t="s">
        <v>65</v>
      </c>
      <c r="F905">
        <v>3000</v>
      </c>
      <c r="G905" t="s">
        <v>66</v>
      </c>
      <c r="H905">
        <v>2</v>
      </c>
    </row>
    <row r="906" spans="1:8" x14ac:dyDescent="0.3">
      <c r="A906" t="s">
        <v>142</v>
      </c>
      <c r="B906">
        <v>2015</v>
      </c>
      <c r="C906" t="s">
        <v>271</v>
      </c>
      <c r="D906" t="s">
        <v>272</v>
      </c>
      <c r="E906" t="s">
        <v>65</v>
      </c>
      <c r="F906">
        <v>3000</v>
      </c>
      <c r="G906" t="s">
        <v>66</v>
      </c>
      <c r="H906">
        <v>9</v>
      </c>
    </row>
    <row r="907" spans="1:8" x14ac:dyDescent="0.3">
      <c r="A907" t="s">
        <v>142</v>
      </c>
      <c r="B907">
        <v>2017</v>
      </c>
      <c r="C907" t="s">
        <v>271</v>
      </c>
      <c r="D907" t="s">
        <v>272</v>
      </c>
      <c r="E907" t="s">
        <v>65</v>
      </c>
      <c r="F907">
        <v>3000</v>
      </c>
      <c r="G907" t="s">
        <v>66</v>
      </c>
      <c r="H907">
        <v>1</v>
      </c>
    </row>
    <row r="908" spans="1:8" x14ac:dyDescent="0.3">
      <c r="A908" t="s">
        <v>142</v>
      </c>
      <c r="B908">
        <v>2021</v>
      </c>
      <c r="C908" t="s">
        <v>271</v>
      </c>
      <c r="D908" t="s">
        <v>272</v>
      </c>
      <c r="E908" t="s">
        <v>65</v>
      </c>
      <c r="F908">
        <v>3000</v>
      </c>
      <c r="G908" t="s">
        <v>66</v>
      </c>
      <c r="H908">
        <v>1</v>
      </c>
    </row>
    <row r="909" spans="1:8" x14ac:dyDescent="0.3">
      <c r="A909" t="s">
        <v>265</v>
      </c>
      <c r="B909">
        <v>2014</v>
      </c>
      <c r="C909" t="s">
        <v>271</v>
      </c>
      <c r="D909" t="s">
        <v>272</v>
      </c>
      <c r="E909" t="s">
        <v>65</v>
      </c>
      <c r="F909">
        <v>3368</v>
      </c>
      <c r="G909" t="s">
        <v>66</v>
      </c>
      <c r="H909">
        <v>8</v>
      </c>
    </row>
    <row r="910" spans="1:8" x14ac:dyDescent="0.3">
      <c r="A910" t="s">
        <v>265</v>
      </c>
      <c r="B910">
        <v>2015</v>
      </c>
      <c r="C910" t="s">
        <v>271</v>
      </c>
      <c r="D910" t="s">
        <v>272</v>
      </c>
      <c r="E910" t="s">
        <v>65</v>
      </c>
      <c r="F910">
        <v>3368</v>
      </c>
      <c r="G910" t="s">
        <v>66</v>
      </c>
      <c r="H910">
        <v>8</v>
      </c>
    </row>
    <row r="911" spans="1:8" x14ac:dyDescent="0.3">
      <c r="A911" t="s">
        <v>265</v>
      </c>
      <c r="B911">
        <v>2016</v>
      </c>
      <c r="C911" t="s">
        <v>271</v>
      </c>
      <c r="D911" t="s">
        <v>272</v>
      </c>
      <c r="E911" t="s">
        <v>65</v>
      </c>
      <c r="F911">
        <v>3368</v>
      </c>
      <c r="G911" t="s">
        <v>66</v>
      </c>
      <c r="H911">
        <v>10</v>
      </c>
    </row>
    <row r="912" spans="1:8" x14ac:dyDescent="0.3">
      <c r="A912" t="s">
        <v>265</v>
      </c>
      <c r="B912">
        <v>2017</v>
      </c>
      <c r="C912" t="s">
        <v>271</v>
      </c>
      <c r="D912" t="s">
        <v>272</v>
      </c>
      <c r="E912" t="s">
        <v>65</v>
      </c>
      <c r="F912">
        <v>3368</v>
      </c>
      <c r="G912" t="s">
        <v>66</v>
      </c>
      <c r="H912">
        <v>10</v>
      </c>
    </row>
    <row r="913" spans="1:8" x14ac:dyDescent="0.3">
      <c r="A913" t="s">
        <v>265</v>
      </c>
      <c r="B913">
        <v>2018</v>
      </c>
      <c r="C913" t="s">
        <v>271</v>
      </c>
      <c r="D913" t="s">
        <v>272</v>
      </c>
      <c r="E913" t="s">
        <v>65</v>
      </c>
      <c r="F913">
        <v>3368</v>
      </c>
      <c r="G913" t="s">
        <v>66</v>
      </c>
      <c r="H913">
        <v>4</v>
      </c>
    </row>
    <row r="914" spans="1:8" x14ac:dyDescent="0.3">
      <c r="A914" t="s">
        <v>265</v>
      </c>
      <c r="B914">
        <v>2019</v>
      </c>
      <c r="C914" t="s">
        <v>271</v>
      </c>
      <c r="D914" t="s">
        <v>272</v>
      </c>
      <c r="E914" t="s">
        <v>65</v>
      </c>
      <c r="F914">
        <v>3368</v>
      </c>
      <c r="G914" t="s">
        <v>66</v>
      </c>
      <c r="H914">
        <v>4</v>
      </c>
    </row>
    <row r="915" spans="1:8" x14ac:dyDescent="0.3">
      <c r="A915" t="s">
        <v>265</v>
      </c>
      <c r="B915">
        <v>2021</v>
      </c>
      <c r="C915" t="s">
        <v>271</v>
      </c>
      <c r="D915" t="s">
        <v>272</v>
      </c>
      <c r="E915" t="s">
        <v>65</v>
      </c>
      <c r="F915">
        <v>3368</v>
      </c>
      <c r="G915" t="s">
        <v>66</v>
      </c>
      <c r="H915">
        <v>1</v>
      </c>
    </row>
    <row r="916" spans="1:8" x14ac:dyDescent="0.3">
      <c r="A916" t="s">
        <v>143</v>
      </c>
      <c r="B916">
        <v>2014</v>
      </c>
      <c r="C916" t="s">
        <v>271</v>
      </c>
      <c r="D916" t="s">
        <v>272</v>
      </c>
      <c r="E916" t="s">
        <v>65</v>
      </c>
      <c r="F916">
        <v>14500</v>
      </c>
      <c r="G916" t="s">
        <v>72</v>
      </c>
      <c r="H916">
        <v>13</v>
      </c>
    </row>
    <row r="917" spans="1:8" x14ac:dyDescent="0.3">
      <c r="A917" t="s">
        <v>143</v>
      </c>
      <c r="B917">
        <v>2015</v>
      </c>
      <c r="C917" t="s">
        <v>271</v>
      </c>
      <c r="D917" t="s">
        <v>272</v>
      </c>
      <c r="E917" t="s">
        <v>65</v>
      </c>
      <c r="F917">
        <v>14500</v>
      </c>
      <c r="G917" t="s">
        <v>72</v>
      </c>
      <c r="H917">
        <v>19</v>
      </c>
    </row>
    <row r="918" spans="1:8" x14ac:dyDescent="0.3">
      <c r="A918" t="s">
        <v>143</v>
      </c>
      <c r="B918">
        <v>2016</v>
      </c>
      <c r="C918" t="s">
        <v>271</v>
      </c>
      <c r="D918" t="s">
        <v>272</v>
      </c>
      <c r="E918" t="s">
        <v>65</v>
      </c>
      <c r="F918">
        <v>14500</v>
      </c>
      <c r="G918" t="s">
        <v>72</v>
      </c>
      <c r="H918">
        <v>20</v>
      </c>
    </row>
    <row r="919" spans="1:8" x14ac:dyDescent="0.3">
      <c r="A919" t="s">
        <v>143</v>
      </c>
      <c r="B919">
        <v>2017</v>
      </c>
      <c r="C919" t="s">
        <v>271</v>
      </c>
      <c r="D919" t="s">
        <v>272</v>
      </c>
      <c r="E919" t="s">
        <v>65</v>
      </c>
      <c r="F919">
        <v>14500</v>
      </c>
      <c r="G919" t="s">
        <v>72</v>
      </c>
      <c r="H919">
        <v>17</v>
      </c>
    </row>
    <row r="920" spans="1:8" x14ac:dyDescent="0.3">
      <c r="A920" t="s">
        <v>143</v>
      </c>
      <c r="B920">
        <v>2018</v>
      </c>
      <c r="C920" t="s">
        <v>271</v>
      </c>
      <c r="D920" t="s">
        <v>272</v>
      </c>
      <c r="E920" t="s">
        <v>65</v>
      </c>
      <c r="F920">
        <v>14500</v>
      </c>
      <c r="G920" t="s">
        <v>72</v>
      </c>
      <c r="H920">
        <v>23</v>
      </c>
    </row>
    <row r="921" spans="1:8" x14ac:dyDescent="0.3">
      <c r="A921" t="s">
        <v>143</v>
      </c>
      <c r="B921">
        <v>2019</v>
      </c>
      <c r="C921" t="s">
        <v>271</v>
      </c>
      <c r="D921" t="s">
        <v>272</v>
      </c>
      <c r="E921" t="s">
        <v>65</v>
      </c>
      <c r="F921">
        <v>14500</v>
      </c>
      <c r="G921" t="s">
        <v>72</v>
      </c>
      <c r="H921">
        <v>11</v>
      </c>
    </row>
    <row r="922" spans="1:8" x14ac:dyDescent="0.3">
      <c r="A922" t="s">
        <v>143</v>
      </c>
      <c r="B922">
        <v>2020</v>
      </c>
      <c r="C922" t="s">
        <v>271</v>
      </c>
      <c r="D922" t="s">
        <v>272</v>
      </c>
      <c r="E922" t="s">
        <v>65</v>
      </c>
      <c r="F922">
        <v>14500</v>
      </c>
      <c r="G922" t="s">
        <v>72</v>
      </c>
      <c r="H922">
        <v>2</v>
      </c>
    </row>
    <row r="923" spans="1:8" x14ac:dyDescent="0.3">
      <c r="A923" t="s">
        <v>143</v>
      </c>
      <c r="B923">
        <v>2021</v>
      </c>
      <c r="C923" t="s">
        <v>271</v>
      </c>
      <c r="D923" t="s">
        <v>272</v>
      </c>
      <c r="E923" t="s">
        <v>65</v>
      </c>
      <c r="F923">
        <v>14500</v>
      </c>
      <c r="G923" t="s">
        <v>72</v>
      </c>
      <c r="H923">
        <v>3</v>
      </c>
    </row>
    <row r="924" spans="1:8" x14ac:dyDescent="0.3">
      <c r="A924" t="s">
        <v>267</v>
      </c>
      <c r="B924">
        <v>2014</v>
      </c>
      <c r="C924" t="s">
        <v>271</v>
      </c>
      <c r="D924" t="s">
        <v>272</v>
      </c>
      <c r="E924" t="s">
        <v>65</v>
      </c>
      <c r="F924">
        <v>12093</v>
      </c>
      <c r="G924" t="s">
        <v>66</v>
      </c>
      <c r="H924">
        <v>16</v>
      </c>
    </row>
    <row r="925" spans="1:8" x14ac:dyDescent="0.3">
      <c r="A925" t="s">
        <v>267</v>
      </c>
      <c r="B925">
        <v>2015</v>
      </c>
      <c r="C925" t="s">
        <v>271</v>
      </c>
      <c r="D925" t="s">
        <v>272</v>
      </c>
      <c r="E925" t="s">
        <v>65</v>
      </c>
      <c r="F925">
        <v>12093</v>
      </c>
      <c r="G925" t="s">
        <v>66</v>
      </c>
      <c r="H925">
        <v>31</v>
      </c>
    </row>
    <row r="926" spans="1:8" x14ac:dyDescent="0.3">
      <c r="A926" t="s">
        <v>267</v>
      </c>
      <c r="B926">
        <v>2016</v>
      </c>
      <c r="C926" t="s">
        <v>271</v>
      </c>
      <c r="D926" t="s">
        <v>272</v>
      </c>
      <c r="E926" t="s">
        <v>65</v>
      </c>
      <c r="F926">
        <v>12093</v>
      </c>
      <c r="G926" t="s">
        <v>66</v>
      </c>
      <c r="H926">
        <v>31</v>
      </c>
    </row>
    <row r="927" spans="1:8" x14ac:dyDescent="0.3">
      <c r="A927" t="s">
        <v>267</v>
      </c>
      <c r="B927">
        <v>2017</v>
      </c>
      <c r="C927" t="s">
        <v>271</v>
      </c>
      <c r="D927" t="s">
        <v>272</v>
      </c>
      <c r="E927" t="s">
        <v>65</v>
      </c>
      <c r="F927">
        <v>12093</v>
      </c>
      <c r="G927" t="s">
        <v>66</v>
      </c>
      <c r="H927">
        <v>29</v>
      </c>
    </row>
    <row r="928" spans="1:8" x14ac:dyDescent="0.3">
      <c r="A928" t="s">
        <v>267</v>
      </c>
      <c r="B928">
        <v>2018</v>
      </c>
      <c r="C928" t="s">
        <v>271</v>
      </c>
      <c r="D928" t="s">
        <v>272</v>
      </c>
      <c r="E928" t="s">
        <v>65</v>
      </c>
      <c r="F928">
        <v>12093</v>
      </c>
      <c r="G928" t="s">
        <v>66</v>
      </c>
      <c r="H928">
        <v>18</v>
      </c>
    </row>
    <row r="929" spans="1:8" x14ac:dyDescent="0.3">
      <c r="A929" t="s">
        <v>267</v>
      </c>
      <c r="B929">
        <v>2019</v>
      </c>
      <c r="C929" t="s">
        <v>271</v>
      </c>
      <c r="D929" t="s">
        <v>272</v>
      </c>
      <c r="E929" t="s">
        <v>65</v>
      </c>
      <c r="F929">
        <v>12093</v>
      </c>
      <c r="G929" t="s">
        <v>66</v>
      </c>
      <c r="H929">
        <v>8</v>
      </c>
    </row>
    <row r="930" spans="1:8" x14ac:dyDescent="0.3">
      <c r="A930" t="s">
        <v>267</v>
      </c>
      <c r="B930">
        <v>2020</v>
      </c>
      <c r="C930" t="s">
        <v>271</v>
      </c>
      <c r="D930" t="s">
        <v>272</v>
      </c>
      <c r="E930" t="s">
        <v>65</v>
      </c>
      <c r="F930">
        <v>12093</v>
      </c>
      <c r="G930" t="s">
        <v>66</v>
      </c>
      <c r="H930">
        <v>12</v>
      </c>
    </row>
    <row r="931" spans="1:8" x14ac:dyDescent="0.3">
      <c r="A931" t="s">
        <v>267</v>
      </c>
      <c r="B931">
        <v>2021</v>
      </c>
      <c r="C931" t="s">
        <v>271</v>
      </c>
      <c r="D931" t="s">
        <v>272</v>
      </c>
      <c r="E931" t="s">
        <v>65</v>
      </c>
      <c r="F931">
        <v>12093</v>
      </c>
      <c r="G931" t="s">
        <v>66</v>
      </c>
      <c r="H931">
        <v>39</v>
      </c>
    </row>
    <row r="932" spans="1:8" x14ac:dyDescent="0.3">
      <c r="A932" t="s">
        <v>145</v>
      </c>
      <c r="B932">
        <v>2014</v>
      </c>
      <c r="C932" t="s">
        <v>271</v>
      </c>
      <c r="D932" t="s">
        <v>272</v>
      </c>
      <c r="E932" t="s">
        <v>65</v>
      </c>
      <c r="F932">
        <v>6613</v>
      </c>
      <c r="G932" t="s">
        <v>66</v>
      </c>
      <c r="H932">
        <v>2</v>
      </c>
    </row>
    <row r="933" spans="1:8" x14ac:dyDescent="0.3">
      <c r="A933" t="s">
        <v>145</v>
      </c>
      <c r="B933">
        <v>2016</v>
      </c>
      <c r="C933" t="s">
        <v>271</v>
      </c>
      <c r="D933" t="s">
        <v>272</v>
      </c>
      <c r="E933" t="s">
        <v>65</v>
      </c>
      <c r="F933">
        <v>6613</v>
      </c>
      <c r="G933" t="s">
        <v>66</v>
      </c>
      <c r="H933">
        <v>1</v>
      </c>
    </row>
    <row r="934" spans="1:8" x14ac:dyDescent="0.3">
      <c r="A934" t="s">
        <v>145</v>
      </c>
      <c r="B934">
        <v>2017</v>
      </c>
      <c r="C934" t="s">
        <v>271</v>
      </c>
      <c r="D934" t="s">
        <v>272</v>
      </c>
      <c r="E934" t="s">
        <v>65</v>
      </c>
      <c r="F934">
        <v>6613</v>
      </c>
      <c r="G934" t="s">
        <v>66</v>
      </c>
      <c r="H934">
        <v>1</v>
      </c>
    </row>
    <row r="935" spans="1:8" x14ac:dyDescent="0.3">
      <c r="A935" t="s">
        <v>145</v>
      </c>
      <c r="B935">
        <v>2018</v>
      </c>
      <c r="C935" t="s">
        <v>271</v>
      </c>
      <c r="D935" t="s">
        <v>272</v>
      </c>
      <c r="E935" t="s">
        <v>65</v>
      </c>
      <c r="F935">
        <v>6613</v>
      </c>
      <c r="G935" t="s">
        <v>66</v>
      </c>
      <c r="H935">
        <v>2</v>
      </c>
    </row>
    <row r="936" spans="1:8" x14ac:dyDescent="0.3">
      <c r="A936" t="s">
        <v>145</v>
      </c>
      <c r="B936">
        <v>2019</v>
      </c>
      <c r="C936" t="s">
        <v>271</v>
      </c>
      <c r="D936" t="s">
        <v>272</v>
      </c>
      <c r="E936" t="s">
        <v>65</v>
      </c>
      <c r="F936">
        <v>6613</v>
      </c>
      <c r="G936" t="s">
        <v>66</v>
      </c>
      <c r="H936">
        <v>1</v>
      </c>
    </row>
    <row r="937" spans="1:8" x14ac:dyDescent="0.3">
      <c r="A937" t="s">
        <v>146</v>
      </c>
      <c r="B937">
        <v>2016</v>
      </c>
      <c r="C937" t="s">
        <v>271</v>
      </c>
      <c r="D937" t="s">
        <v>272</v>
      </c>
      <c r="E937" t="s">
        <v>65</v>
      </c>
      <c r="F937">
        <v>7495</v>
      </c>
      <c r="G937" t="s">
        <v>66</v>
      </c>
      <c r="H937">
        <v>1</v>
      </c>
    </row>
    <row r="938" spans="1:8" x14ac:dyDescent="0.3">
      <c r="A938" t="s">
        <v>146</v>
      </c>
      <c r="B938">
        <v>2018</v>
      </c>
      <c r="C938" t="s">
        <v>271</v>
      </c>
      <c r="D938" t="s">
        <v>272</v>
      </c>
      <c r="E938" t="s">
        <v>65</v>
      </c>
      <c r="F938">
        <v>7495</v>
      </c>
      <c r="G938" t="s">
        <v>66</v>
      </c>
      <c r="H938">
        <v>4</v>
      </c>
    </row>
    <row r="939" spans="1:8" x14ac:dyDescent="0.3">
      <c r="A939" t="s">
        <v>268</v>
      </c>
      <c r="B939">
        <v>2017</v>
      </c>
      <c r="C939" t="s">
        <v>271</v>
      </c>
      <c r="D939" t="s">
        <v>272</v>
      </c>
      <c r="E939" t="s">
        <v>65</v>
      </c>
      <c r="F939">
        <v>7394</v>
      </c>
      <c r="G939" t="s">
        <v>66</v>
      </c>
      <c r="H939">
        <v>1</v>
      </c>
    </row>
    <row r="940" spans="1:8" x14ac:dyDescent="0.3">
      <c r="A940" t="s">
        <v>268</v>
      </c>
      <c r="B940">
        <v>2020</v>
      </c>
      <c r="C940" t="s">
        <v>271</v>
      </c>
      <c r="D940" t="s">
        <v>272</v>
      </c>
      <c r="E940" t="s">
        <v>65</v>
      </c>
      <c r="F940">
        <v>7394</v>
      </c>
      <c r="G940" t="s">
        <v>66</v>
      </c>
      <c r="H940">
        <v>2</v>
      </c>
    </row>
    <row r="941" spans="1:8" x14ac:dyDescent="0.3">
      <c r="A941" t="s">
        <v>268</v>
      </c>
      <c r="B941">
        <v>2021</v>
      </c>
      <c r="C941" t="s">
        <v>271</v>
      </c>
      <c r="D941" t="s">
        <v>272</v>
      </c>
      <c r="E941" t="s">
        <v>65</v>
      </c>
      <c r="F941">
        <v>7394</v>
      </c>
      <c r="G941" t="s">
        <v>66</v>
      </c>
      <c r="H941">
        <v>1</v>
      </c>
    </row>
    <row r="942" spans="1:8" x14ac:dyDescent="0.3">
      <c r="A942" t="s">
        <v>270</v>
      </c>
      <c r="B942">
        <v>2014</v>
      </c>
      <c r="C942" t="s">
        <v>271</v>
      </c>
      <c r="D942" t="s">
        <v>272</v>
      </c>
      <c r="E942" t="s">
        <v>65</v>
      </c>
      <c r="F942">
        <v>-1</v>
      </c>
      <c r="G942" t="s">
        <v>270</v>
      </c>
      <c r="H942">
        <v>60</v>
      </c>
    </row>
    <row r="943" spans="1:8" x14ac:dyDescent="0.3">
      <c r="A943" t="s">
        <v>270</v>
      </c>
      <c r="B943">
        <v>2015</v>
      </c>
      <c r="C943" t="s">
        <v>271</v>
      </c>
      <c r="D943" t="s">
        <v>272</v>
      </c>
      <c r="E943" t="s">
        <v>65</v>
      </c>
      <c r="F943">
        <v>-1</v>
      </c>
      <c r="G943" t="s">
        <v>270</v>
      </c>
      <c r="H943">
        <v>117</v>
      </c>
    </row>
    <row r="944" spans="1:8" x14ac:dyDescent="0.3">
      <c r="A944" t="s">
        <v>270</v>
      </c>
      <c r="B944">
        <v>2016</v>
      </c>
      <c r="C944" t="s">
        <v>271</v>
      </c>
      <c r="D944" t="s">
        <v>272</v>
      </c>
      <c r="E944" t="s">
        <v>65</v>
      </c>
      <c r="F944">
        <v>-1</v>
      </c>
      <c r="G944" t="s">
        <v>270</v>
      </c>
      <c r="H944">
        <v>128</v>
      </c>
    </row>
    <row r="945" spans="1:8" x14ac:dyDescent="0.3">
      <c r="A945" t="s">
        <v>270</v>
      </c>
      <c r="B945">
        <v>2017</v>
      </c>
      <c r="C945" t="s">
        <v>271</v>
      </c>
      <c r="D945" t="s">
        <v>272</v>
      </c>
      <c r="E945" t="s">
        <v>65</v>
      </c>
      <c r="F945">
        <v>-1</v>
      </c>
      <c r="G945" t="s">
        <v>270</v>
      </c>
      <c r="H945">
        <v>194</v>
      </c>
    </row>
    <row r="946" spans="1:8" x14ac:dyDescent="0.3">
      <c r="A946" t="s">
        <v>270</v>
      </c>
      <c r="B946">
        <v>2018</v>
      </c>
      <c r="C946" t="s">
        <v>271</v>
      </c>
      <c r="D946" t="s">
        <v>272</v>
      </c>
      <c r="E946" t="s">
        <v>65</v>
      </c>
      <c r="F946">
        <v>-1</v>
      </c>
      <c r="G946" t="s">
        <v>270</v>
      </c>
      <c r="H946">
        <v>256</v>
      </c>
    </row>
    <row r="947" spans="1:8" x14ac:dyDescent="0.3">
      <c r="A947" t="s">
        <v>270</v>
      </c>
      <c r="B947">
        <v>2019</v>
      </c>
      <c r="C947" t="s">
        <v>271</v>
      </c>
      <c r="D947" t="s">
        <v>272</v>
      </c>
      <c r="E947" t="s">
        <v>65</v>
      </c>
      <c r="F947">
        <v>-1</v>
      </c>
      <c r="G947" t="s">
        <v>270</v>
      </c>
      <c r="H947">
        <v>349</v>
      </c>
    </row>
    <row r="948" spans="1:8" x14ac:dyDescent="0.3">
      <c r="A948" t="s">
        <v>270</v>
      </c>
      <c r="B948">
        <v>2020</v>
      </c>
      <c r="C948" t="s">
        <v>271</v>
      </c>
      <c r="D948" t="s">
        <v>272</v>
      </c>
      <c r="E948" t="s">
        <v>65</v>
      </c>
      <c r="F948">
        <v>-1</v>
      </c>
      <c r="G948" t="s">
        <v>270</v>
      </c>
      <c r="H948">
        <v>347</v>
      </c>
    </row>
    <row r="949" spans="1:8" x14ac:dyDescent="0.3">
      <c r="A949" t="s">
        <v>270</v>
      </c>
      <c r="B949">
        <v>2021</v>
      </c>
      <c r="C949" t="s">
        <v>271</v>
      </c>
      <c r="D949" t="s">
        <v>272</v>
      </c>
      <c r="E949" t="s">
        <v>65</v>
      </c>
      <c r="F949">
        <v>-1</v>
      </c>
      <c r="G949" t="s">
        <v>270</v>
      </c>
      <c r="H949">
        <v>697</v>
      </c>
    </row>
    <row r="950" spans="1:8" x14ac:dyDescent="0.3">
      <c r="A950" t="s">
        <v>67</v>
      </c>
      <c r="B950">
        <v>2015</v>
      </c>
      <c r="C950" t="s">
        <v>271</v>
      </c>
      <c r="D950" t="s">
        <v>298</v>
      </c>
      <c r="E950" t="s">
        <v>65</v>
      </c>
      <c r="F950">
        <v>2400</v>
      </c>
      <c r="G950" t="s">
        <v>66</v>
      </c>
      <c r="H950">
        <v>1</v>
      </c>
    </row>
    <row r="951" spans="1:8" x14ac:dyDescent="0.3">
      <c r="A951" t="s">
        <v>67</v>
      </c>
      <c r="B951">
        <v>2018</v>
      </c>
      <c r="C951" t="s">
        <v>271</v>
      </c>
      <c r="D951" t="s">
        <v>298</v>
      </c>
      <c r="E951" t="s">
        <v>65</v>
      </c>
      <c r="F951">
        <v>2400</v>
      </c>
      <c r="G951" t="s">
        <v>66</v>
      </c>
      <c r="H951">
        <v>1</v>
      </c>
    </row>
    <row r="952" spans="1:8" x14ac:dyDescent="0.3">
      <c r="A952" t="s">
        <v>67</v>
      </c>
      <c r="B952">
        <v>2019</v>
      </c>
      <c r="C952" t="s">
        <v>271</v>
      </c>
      <c r="D952" t="s">
        <v>298</v>
      </c>
      <c r="E952" t="s">
        <v>65</v>
      </c>
      <c r="F952">
        <v>2400</v>
      </c>
      <c r="G952" t="s">
        <v>66</v>
      </c>
      <c r="H952">
        <v>3</v>
      </c>
    </row>
    <row r="953" spans="1:8" x14ac:dyDescent="0.3">
      <c r="A953" t="s">
        <v>68</v>
      </c>
      <c r="B953">
        <v>2018</v>
      </c>
      <c r="C953" t="s">
        <v>271</v>
      </c>
      <c r="D953" t="s">
        <v>298</v>
      </c>
      <c r="E953" t="s">
        <v>65</v>
      </c>
      <c r="F953">
        <v>3262</v>
      </c>
      <c r="G953" t="s">
        <v>66</v>
      </c>
      <c r="H953">
        <v>1</v>
      </c>
    </row>
    <row r="954" spans="1:8" x14ac:dyDescent="0.3">
      <c r="A954" t="s">
        <v>152</v>
      </c>
      <c r="B954">
        <v>2018</v>
      </c>
      <c r="C954" t="s">
        <v>271</v>
      </c>
      <c r="D954" t="s">
        <v>298</v>
      </c>
      <c r="E954" t="s">
        <v>65</v>
      </c>
      <c r="F954">
        <v>6750</v>
      </c>
      <c r="G954" t="s">
        <v>66</v>
      </c>
      <c r="H954">
        <v>1</v>
      </c>
    </row>
    <row r="955" spans="1:8" x14ac:dyDescent="0.3">
      <c r="A955" t="s">
        <v>154</v>
      </c>
      <c r="B955">
        <v>2016</v>
      </c>
      <c r="C955" t="s">
        <v>271</v>
      </c>
      <c r="D955" t="s">
        <v>298</v>
      </c>
      <c r="E955" t="s">
        <v>65</v>
      </c>
      <c r="F955">
        <v>9400</v>
      </c>
      <c r="G955" t="s">
        <v>66</v>
      </c>
      <c r="H955">
        <v>1</v>
      </c>
    </row>
    <row r="956" spans="1:8" x14ac:dyDescent="0.3">
      <c r="A956" t="s">
        <v>69</v>
      </c>
      <c r="B956">
        <v>2016</v>
      </c>
      <c r="C956" t="s">
        <v>271</v>
      </c>
      <c r="D956" t="s">
        <v>298</v>
      </c>
      <c r="E956" t="s">
        <v>65</v>
      </c>
      <c r="F956">
        <v>10700</v>
      </c>
      <c r="G956" t="s">
        <v>66</v>
      </c>
      <c r="H956">
        <v>1</v>
      </c>
    </row>
    <row r="957" spans="1:8" x14ac:dyDescent="0.3">
      <c r="A957" t="s">
        <v>69</v>
      </c>
      <c r="B957">
        <v>2017</v>
      </c>
      <c r="C957" t="s">
        <v>271</v>
      </c>
      <c r="D957" t="s">
        <v>298</v>
      </c>
      <c r="E957" t="s">
        <v>65</v>
      </c>
      <c r="F957">
        <v>10700</v>
      </c>
      <c r="G957" t="s">
        <v>66</v>
      </c>
      <c r="H957">
        <v>1</v>
      </c>
    </row>
    <row r="958" spans="1:8" x14ac:dyDescent="0.3">
      <c r="A958" t="s">
        <v>70</v>
      </c>
      <c r="B958">
        <v>2017</v>
      </c>
      <c r="C958" t="s">
        <v>271</v>
      </c>
      <c r="D958" t="s">
        <v>298</v>
      </c>
      <c r="E958" t="s">
        <v>65</v>
      </c>
      <c r="F958">
        <v>6850</v>
      </c>
      <c r="G958" t="s">
        <v>66</v>
      </c>
      <c r="H958">
        <v>1</v>
      </c>
    </row>
    <row r="959" spans="1:8" x14ac:dyDescent="0.3">
      <c r="A959" t="s">
        <v>159</v>
      </c>
      <c r="B959">
        <v>2017</v>
      </c>
      <c r="C959" t="s">
        <v>271</v>
      </c>
      <c r="D959" t="s">
        <v>298</v>
      </c>
      <c r="E959" t="s">
        <v>65</v>
      </c>
      <c r="F959">
        <v>17120</v>
      </c>
      <c r="G959" t="s">
        <v>72</v>
      </c>
      <c r="H959">
        <v>1</v>
      </c>
    </row>
    <row r="960" spans="1:8" x14ac:dyDescent="0.3">
      <c r="A960" t="s">
        <v>160</v>
      </c>
      <c r="B960">
        <v>2016</v>
      </c>
      <c r="C960" t="s">
        <v>271</v>
      </c>
      <c r="D960" t="s">
        <v>298</v>
      </c>
      <c r="E960" t="s">
        <v>65</v>
      </c>
      <c r="F960">
        <v>16500</v>
      </c>
      <c r="G960" t="s">
        <v>72</v>
      </c>
      <c r="H960">
        <v>1</v>
      </c>
    </row>
    <row r="961" spans="1:8" x14ac:dyDescent="0.3">
      <c r="A961" t="s">
        <v>160</v>
      </c>
      <c r="B961">
        <v>2017</v>
      </c>
      <c r="C961" t="s">
        <v>271</v>
      </c>
      <c r="D961" t="s">
        <v>298</v>
      </c>
      <c r="E961" t="s">
        <v>65</v>
      </c>
      <c r="F961">
        <v>16500</v>
      </c>
      <c r="G961" t="s">
        <v>72</v>
      </c>
      <c r="H961">
        <v>1</v>
      </c>
    </row>
    <row r="962" spans="1:8" x14ac:dyDescent="0.3">
      <c r="A962" t="s">
        <v>160</v>
      </c>
      <c r="B962">
        <v>2020</v>
      </c>
      <c r="C962" t="s">
        <v>271</v>
      </c>
      <c r="D962" t="s">
        <v>298</v>
      </c>
      <c r="E962" t="s">
        <v>65</v>
      </c>
      <c r="F962">
        <v>16500</v>
      </c>
      <c r="G962" t="s">
        <v>72</v>
      </c>
      <c r="H962">
        <v>1</v>
      </c>
    </row>
    <row r="963" spans="1:8" x14ac:dyDescent="0.3">
      <c r="A963" t="s">
        <v>161</v>
      </c>
      <c r="B963">
        <v>2021</v>
      </c>
      <c r="C963" t="s">
        <v>271</v>
      </c>
      <c r="D963" t="s">
        <v>298</v>
      </c>
      <c r="E963" t="s">
        <v>65</v>
      </c>
      <c r="F963">
        <v>181200</v>
      </c>
      <c r="G963" t="s">
        <v>72</v>
      </c>
      <c r="H963">
        <v>1</v>
      </c>
    </row>
    <row r="964" spans="1:8" x14ac:dyDescent="0.3">
      <c r="A964" t="s">
        <v>162</v>
      </c>
      <c r="B964">
        <v>2015</v>
      </c>
      <c r="C964" t="s">
        <v>271</v>
      </c>
      <c r="D964" t="s">
        <v>298</v>
      </c>
      <c r="E964" t="s">
        <v>65</v>
      </c>
      <c r="F964">
        <v>93000</v>
      </c>
      <c r="G964" t="s">
        <v>72</v>
      </c>
      <c r="H964">
        <v>2</v>
      </c>
    </row>
    <row r="965" spans="1:8" x14ac:dyDescent="0.3">
      <c r="A965" t="s">
        <v>162</v>
      </c>
      <c r="B965">
        <v>2016</v>
      </c>
      <c r="C965" t="s">
        <v>271</v>
      </c>
      <c r="D965" t="s">
        <v>298</v>
      </c>
      <c r="E965" t="s">
        <v>65</v>
      </c>
      <c r="F965">
        <v>93000</v>
      </c>
      <c r="G965" t="s">
        <v>72</v>
      </c>
      <c r="H965">
        <v>1</v>
      </c>
    </row>
    <row r="966" spans="1:8" x14ac:dyDescent="0.3">
      <c r="A966" t="s">
        <v>162</v>
      </c>
      <c r="B966">
        <v>2018</v>
      </c>
      <c r="C966" t="s">
        <v>271</v>
      </c>
      <c r="D966" t="s">
        <v>298</v>
      </c>
      <c r="E966" t="s">
        <v>65</v>
      </c>
      <c r="F966">
        <v>93000</v>
      </c>
      <c r="G966" t="s">
        <v>72</v>
      </c>
      <c r="H966">
        <v>1</v>
      </c>
    </row>
    <row r="967" spans="1:8" x14ac:dyDescent="0.3">
      <c r="A967" t="s">
        <v>279</v>
      </c>
      <c r="B967">
        <v>2014</v>
      </c>
      <c r="C967" t="s">
        <v>271</v>
      </c>
      <c r="D967" t="s">
        <v>298</v>
      </c>
      <c r="E967" t="s">
        <v>65</v>
      </c>
      <c r="F967">
        <v>333600</v>
      </c>
      <c r="G967" t="s">
        <v>83</v>
      </c>
      <c r="H967">
        <v>1</v>
      </c>
    </row>
    <row r="968" spans="1:8" x14ac:dyDescent="0.3">
      <c r="A968" t="s">
        <v>166</v>
      </c>
      <c r="B968">
        <v>2019</v>
      </c>
      <c r="C968" t="s">
        <v>271</v>
      </c>
      <c r="D968" t="s">
        <v>298</v>
      </c>
      <c r="E968" t="s">
        <v>65</v>
      </c>
      <c r="F968">
        <v>136000</v>
      </c>
      <c r="G968" t="s">
        <v>72</v>
      </c>
      <c r="H968">
        <v>1</v>
      </c>
    </row>
    <row r="969" spans="1:8" x14ac:dyDescent="0.3">
      <c r="A969" t="s">
        <v>167</v>
      </c>
      <c r="B969">
        <v>2014</v>
      </c>
      <c r="C969" t="s">
        <v>271</v>
      </c>
      <c r="D969" t="s">
        <v>298</v>
      </c>
      <c r="E969" t="s">
        <v>65</v>
      </c>
      <c r="F969">
        <v>154500</v>
      </c>
      <c r="G969" t="s">
        <v>72</v>
      </c>
      <c r="H969">
        <v>1</v>
      </c>
    </row>
    <row r="970" spans="1:8" x14ac:dyDescent="0.3">
      <c r="A970" t="s">
        <v>167</v>
      </c>
      <c r="B970">
        <v>2015</v>
      </c>
      <c r="C970" t="s">
        <v>271</v>
      </c>
      <c r="D970" t="s">
        <v>298</v>
      </c>
      <c r="E970" t="s">
        <v>65</v>
      </c>
      <c r="F970">
        <v>154500</v>
      </c>
      <c r="G970" t="s">
        <v>72</v>
      </c>
      <c r="H970">
        <v>3</v>
      </c>
    </row>
    <row r="971" spans="1:8" x14ac:dyDescent="0.3">
      <c r="A971" t="s">
        <v>167</v>
      </c>
      <c r="B971">
        <v>2016</v>
      </c>
      <c r="C971" t="s">
        <v>271</v>
      </c>
      <c r="D971" t="s">
        <v>298</v>
      </c>
      <c r="E971" t="s">
        <v>65</v>
      </c>
      <c r="F971">
        <v>154500</v>
      </c>
      <c r="G971" t="s">
        <v>72</v>
      </c>
      <c r="H971">
        <v>4</v>
      </c>
    </row>
    <row r="972" spans="1:8" x14ac:dyDescent="0.3">
      <c r="A972" t="s">
        <v>168</v>
      </c>
      <c r="B972">
        <v>2014</v>
      </c>
      <c r="C972" t="s">
        <v>271</v>
      </c>
      <c r="D972" t="s">
        <v>298</v>
      </c>
      <c r="E972" t="s">
        <v>65</v>
      </c>
      <c r="F972">
        <v>174200</v>
      </c>
      <c r="G972" t="s">
        <v>72</v>
      </c>
      <c r="H972">
        <v>6</v>
      </c>
    </row>
    <row r="973" spans="1:8" x14ac:dyDescent="0.3">
      <c r="A973" t="s">
        <v>168</v>
      </c>
      <c r="B973">
        <v>2015</v>
      </c>
      <c r="C973" t="s">
        <v>271</v>
      </c>
      <c r="D973" t="s">
        <v>298</v>
      </c>
      <c r="E973" t="s">
        <v>65</v>
      </c>
      <c r="F973">
        <v>174200</v>
      </c>
      <c r="G973" t="s">
        <v>72</v>
      </c>
      <c r="H973">
        <v>22</v>
      </c>
    </row>
    <row r="974" spans="1:8" x14ac:dyDescent="0.3">
      <c r="A974" t="s">
        <v>168</v>
      </c>
      <c r="B974">
        <v>2016</v>
      </c>
      <c r="C974" t="s">
        <v>271</v>
      </c>
      <c r="D974" t="s">
        <v>298</v>
      </c>
      <c r="E974" t="s">
        <v>65</v>
      </c>
      <c r="F974">
        <v>174200</v>
      </c>
      <c r="G974" t="s">
        <v>72</v>
      </c>
      <c r="H974">
        <v>38</v>
      </c>
    </row>
    <row r="975" spans="1:8" x14ac:dyDescent="0.3">
      <c r="A975" t="s">
        <v>168</v>
      </c>
      <c r="B975">
        <v>2017</v>
      </c>
      <c r="C975" t="s">
        <v>271</v>
      </c>
      <c r="D975" t="s">
        <v>298</v>
      </c>
      <c r="E975" t="s">
        <v>65</v>
      </c>
      <c r="F975">
        <v>174200</v>
      </c>
      <c r="G975" t="s">
        <v>72</v>
      </c>
      <c r="H975">
        <v>7</v>
      </c>
    </row>
    <row r="976" spans="1:8" x14ac:dyDescent="0.3">
      <c r="A976" t="s">
        <v>168</v>
      </c>
      <c r="B976">
        <v>2018</v>
      </c>
      <c r="C976" t="s">
        <v>271</v>
      </c>
      <c r="D976" t="s">
        <v>298</v>
      </c>
      <c r="E976" t="s">
        <v>65</v>
      </c>
      <c r="F976">
        <v>174200</v>
      </c>
      <c r="G976" t="s">
        <v>72</v>
      </c>
      <c r="H976">
        <v>3</v>
      </c>
    </row>
    <row r="977" spans="1:8" x14ac:dyDescent="0.3">
      <c r="A977" t="s">
        <v>169</v>
      </c>
      <c r="B977">
        <v>2014</v>
      </c>
      <c r="C977" t="s">
        <v>271</v>
      </c>
      <c r="D977" t="s">
        <v>298</v>
      </c>
      <c r="E977" t="s">
        <v>65</v>
      </c>
      <c r="F977">
        <v>187700</v>
      </c>
      <c r="G977" t="s">
        <v>72</v>
      </c>
      <c r="H977">
        <v>3</v>
      </c>
    </row>
    <row r="978" spans="1:8" x14ac:dyDescent="0.3">
      <c r="A978" t="s">
        <v>169</v>
      </c>
      <c r="B978">
        <v>2015</v>
      </c>
      <c r="C978" t="s">
        <v>271</v>
      </c>
      <c r="D978" t="s">
        <v>298</v>
      </c>
      <c r="E978" t="s">
        <v>65</v>
      </c>
      <c r="F978">
        <v>187700</v>
      </c>
      <c r="G978" t="s">
        <v>72</v>
      </c>
      <c r="H978">
        <v>3</v>
      </c>
    </row>
    <row r="979" spans="1:8" x14ac:dyDescent="0.3">
      <c r="A979" t="s">
        <v>169</v>
      </c>
      <c r="B979">
        <v>2016</v>
      </c>
      <c r="C979" t="s">
        <v>271</v>
      </c>
      <c r="D979" t="s">
        <v>298</v>
      </c>
      <c r="E979" t="s">
        <v>65</v>
      </c>
      <c r="F979">
        <v>187700</v>
      </c>
      <c r="G979" t="s">
        <v>72</v>
      </c>
      <c r="H979">
        <v>6</v>
      </c>
    </row>
    <row r="980" spans="1:8" x14ac:dyDescent="0.3">
      <c r="A980" t="s">
        <v>284</v>
      </c>
      <c r="B980">
        <v>2014</v>
      </c>
      <c r="C980" t="s">
        <v>271</v>
      </c>
      <c r="D980" t="s">
        <v>298</v>
      </c>
      <c r="E980" t="s">
        <v>65</v>
      </c>
      <c r="F980">
        <v>987000</v>
      </c>
      <c r="G980" t="s">
        <v>283</v>
      </c>
      <c r="H980">
        <v>3</v>
      </c>
    </row>
    <row r="981" spans="1:8" x14ac:dyDescent="0.3">
      <c r="A981" t="s">
        <v>284</v>
      </c>
      <c r="B981">
        <v>2015</v>
      </c>
      <c r="C981" t="s">
        <v>271</v>
      </c>
      <c r="D981" t="s">
        <v>298</v>
      </c>
      <c r="E981" t="s">
        <v>65</v>
      </c>
      <c r="F981">
        <v>987000</v>
      </c>
      <c r="G981" t="s">
        <v>283</v>
      </c>
      <c r="H981">
        <v>2</v>
      </c>
    </row>
    <row r="982" spans="1:8" x14ac:dyDescent="0.3">
      <c r="A982" t="s">
        <v>284</v>
      </c>
      <c r="B982">
        <v>2016</v>
      </c>
      <c r="C982" t="s">
        <v>271</v>
      </c>
      <c r="D982" t="s">
        <v>298</v>
      </c>
      <c r="E982" t="s">
        <v>65</v>
      </c>
      <c r="F982">
        <v>987000</v>
      </c>
      <c r="G982" t="s">
        <v>283</v>
      </c>
      <c r="H982">
        <v>1</v>
      </c>
    </row>
    <row r="983" spans="1:8" x14ac:dyDescent="0.3">
      <c r="A983" t="s">
        <v>170</v>
      </c>
      <c r="B983">
        <v>2016</v>
      </c>
      <c r="C983" t="s">
        <v>271</v>
      </c>
      <c r="D983" t="s">
        <v>298</v>
      </c>
      <c r="E983" t="s">
        <v>65</v>
      </c>
      <c r="F983">
        <v>255500</v>
      </c>
      <c r="G983" t="s">
        <v>83</v>
      </c>
      <c r="H983">
        <v>1</v>
      </c>
    </row>
    <row r="984" spans="1:8" x14ac:dyDescent="0.3">
      <c r="A984" t="s">
        <v>171</v>
      </c>
      <c r="B984">
        <v>2015</v>
      </c>
      <c r="C984" t="s">
        <v>271</v>
      </c>
      <c r="D984" t="s">
        <v>298</v>
      </c>
      <c r="E984" t="s">
        <v>65</v>
      </c>
      <c r="F984">
        <v>395000</v>
      </c>
      <c r="G984" t="s">
        <v>83</v>
      </c>
      <c r="H984">
        <v>1</v>
      </c>
    </row>
    <row r="985" spans="1:8" x14ac:dyDescent="0.3">
      <c r="A985" t="s">
        <v>171</v>
      </c>
      <c r="B985">
        <v>2016</v>
      </c>
      <c r="C985" t="s">
        <v>271</v>
      </c>
      <c r="D985" t="s">
        <v>298</v>
      </c>
      <c r="E985" t="s">
        <v>65</v>
      </c>
      <c r="F985">
        <v>395000</v>
      </c>
      <c r="G985" t="s">
        <v>83</v>
      </c>
      <c r="H985">
        <v>6</v>
      </c>
    </row>
    <row r="986" spans="1:8" x14ac:dyDescent="0.3">
      <c r="A986" t="s">
        <v>287</v>
      </c>
      <c r="B986">
        <v>2016</v>
      </c>
      <c r="C986" t="s">
        <v>271</v>
      </c>
      <c r="D986" t="s">
        <v>298</v>
      </c>
      <c r="E986" t="s">
        <v>65</v>
      </c>
      <c r="F986">
        <v>766800</v>
      </c>
      <c r="G986" t="s">
        <v>276</v>
      </c>
      <c r="H986">
        <v>1</v>
      </c>
    </row>
    <row r="987" spans="1:8" x14ac:dyDescent="0.3">
      <c r="A987" t="s">
        <v>289</v>
      </c>
      <c r="B987">
        <v>2014</v>
      </c>
      <c r="C987" t="s">
        <v>271</v>
      </c>
      <c r="D987" t="s">
        <v>298</v>
      </c>
      <c r="E987" t="s">
        <v>65</v>
      </c>
      <c r="F987">
        <v>775000</v>
      </c>
      <c r="G987" t="s">
        <v>276</v>
      </c>
      <c r="H987">
        <v>1</v>
      </c>
    </row>
    <row r="988" spans="1:8" x14ac:dyDescent="0.3">
      <c r="A988" t="s">
        <v>289</v>
      </c>
      <c r="B988">
        <v>2015</v>
      </c>
      <c r="C988" t="s">
        <v>271</v>
      </c>
      <c r="D988" t="s">
        <v>298</v>
      </c>
      <c r="E988" t="s">
        <v>65</v>
      </c>
      <c r="F988">
        <v>775000</v>
      </c>
      <c r="G988" t="s">
        <v>276</v>
      </c>
      <c r="H988">
        <v>1</v>
      </c>
    </row>
    <row r="989" spans="1:8" x14ac:dyDescent="0.3">
      <c r="A989" t="s">
        <v>290</v>
      </c>
      <c r="B989">
        <v>2014</v>
      </c>
      <c r="C989" t="s">
        <v>271</v>
      </c>
      <c r="D989" t="s">
        <v>298</v>
      </c>
      <c r="E989" t="s">
        <v>65</v>
      </c>
      <c r="F989">
        <v>775000</v>
      </c>
      <c r="G989" t="s">
        <v>276</v>
      </c>
      <c r="H989">
        <v>3</v>
      </c>
    </row>
    <row r="990" spans="1:8" x14ac:dyDescent="0.3">
      <c r="A990" t="s">
        <v>290</v>
      </c>
      <c r="B990">
        <v>2015</v>
      </c>
      <c r="C990" t="s">
        <v>271</v>
      </c>
      <c r="D990" t="s">
        <v>298</v>
      </c>
      <c r="E990" t="s">
        <v>65</v>
      </c>
      <c r="F990">
        <v>775000</v>
      </c>
      <c r="G990" t="s">
        <v>276</v>
      </c>
      <c r="H990">
        <v>6</v>
      </c>
    </row>
    <row r="991" spans="1:8" x14ac:dyDescent="0.3">
      <c r="A991" t="s">
        <v>290</v>
      </c>
      <c r="B991">
        <v>2016</v>
      </c>
      <c r="C991" t="s">
        <v>271</v>
      </c>
      <c r="D991" t="s">
        <v>298</v>
      </c>
      <c r="E991" t="s">
        <v>65</v>
      </c>
      <c r="F991">
        <v>775000</v>
      </c>
      <c r="G991" t="s">
        <v>276</v>
      </c>
      <c r="H991">
        <v>4</v>
      </c>
    </row>
    <row r="992" spans="1:8" x14ac:dyDescent="0.3">
      <c r="A992" t="s">
        <v>291</v>
      </c>
      <c r="B992">
        <v>2014</v>
      </c>
      <c r="C992" t="s">
        <v>271</v>
      </c>
      <c r="D992" t="s">
        <v>298</v>
      </c>
      <c r="E992" t="s">
        <v>65</v>
      </c>
      <c r="F992">
        <v>502500</v>
      </c>
      <c r="G992" t="s">
        <v>83</v>
      </c>
      <c r="H992">
        <v>4</v>
      </c>
    </row>
    <row r="993" spans="1:8" x14ac:dyDescent="0.3">
      <c r="A993" t="s">
        <v>291</v>
      </c>
      <c r="B993">
        <v>2015</v>
      </c>
      <c r="C993" t="s">
        <v>271</v>
      </c>
      <c r="D993" t="s">
        <v>298</v>
      </c>
      <c r="E993" t="s">
        <v>65</v>
      </c>
      <c r="F993">
        <v>502500</v>
      </c>
      <c r="G993" t="s">
        <v>83</v>
      </c>
      <c r="H993">
        <v>5</v>
      </c>
    </row>
    <row r="994" spans="1:8" x14ac:dyDescent="0.3">
      <c r="A994" t="s">
        <v>291</v>
      </c>
      <c r="B994">
        <v>2016</v>
      </c>
      <c r="C994" t="s">
        <v>271</v>
      </c>
      <c r="D994" t="s">
        <v>298</v>
      </c>
      <c r="E994" t="s">
        <v>65</v>
      </c>
      <c r="F994">
        <v>502500</v>
      </c>
      <c r="G994" t="s">
        <v>83</v>
      </c>
      <c r="H994">
        <v>2</v>
      </c>
    </row>
    <row r="995" spans="1:8" x14ac:dyDescent="0.3">
      <c r="A995" t="s">
        <v>292</v>
      </c>
      <c r="B995">
        <v>2015</v>
      </c>
      <c r="C995" t="s">
        <v>271</v>
      </c>
      <c r="D995" t="s">
        <v>298</v>
      </c>
      <c r="E995" t="s">
        <v>65</v>
      </c>
      <c r="F995">
        <v>560000</v>
      </c>
      <c r="G995" t="s">
        <v>83</v>
      </c>
      <c r="H995">
        <v>4</v>
      </c>
    </row>
    <row r="996" spans="1:8" x14ac:dyDescent="0.3">
      <c r="A996" t="s">
        <v>292</v>
      </c>
      <c r="B996">
        <v>2016</v>
      </c>
      <c r="C996" t="s">
        <v>271</v>
      </c>
      <c r="D996" t="s">
        <v>298</v>
      </c>
      <c r="E996" t="s">
        <v>65</v>
      </c>
      <c r="F996">
        <v>560000</v>
      </c>
      <c r="G996" t="s">
        <v>83</v>
      </c>
      <c r="H996">
        <v>2</v>
      </c>
    </row>
    <row r="997" spans="1:8" x14ac:dyDescent="0.3">
      <c r="A997" t="s">
        <v>174</v>
      </c>
      <c r="B997">
        <v>2015</v>
      </c>
      <c r="C997" t="s">
        <v>271</v>
      </c>
      <c r="D997" t="s">
        <v>298</v>
      </c>
      <c r="E997" t="s">
        <v>65</v>
      </c>
      <c r="F997">
        <v>11800</v>
      </c>
      <c r="G997" t="s">
        <v>72</v>
      </c>
      <c r="H997">
        <v>1</v>
      </c>
    </row>
    <row r="998" spans="1:8" x14ac:dyDescent="0.3">
      <c r="A998" t="s">
        <v>174</v>
      </c>
      <c r="B998">
        <v>2018</v>
      </c>
      <c r="C998" t="s">
        <v>271</v>
      </c>
      <c r="D998" t="s">
        <v>298</v>
      </c>
      <c r="E998" t="s">
        <v>65</v>
      </c>
      <c r="F998">
        <v>11800</v>
      </c>
      <c r="G998" t="s">
        <v>72</v>
      </c>
      <c r="H998">
        <v>1</v>
      </c>
    </row>
    <row r="999" spans="1:8" x14ac:dyDescent="0.3">
      <c r="A999" t="s">
        <v>175</v>
      </c>
      <c r="B999">
        <v>2014</v>
      </c>
      <c r="C999" t="s">
        <v>271</v>
      </c>
      <c r="D999" t="s">
        <v>298</v>
      </c>
      <c r="E999" t="s">
        <v>65</v>
      </c>
      <c r="F999">
        <v>17120</v>
      </c>
      <c r="G999" t="s">
        <v>72</v>
      </c>
      <c r="H999">
        <v>4</v>
      </c>
    </row>
    <row r="1000" spans="1:8" x14ac:dyDescent="0.3">
      <c r="A1000" t="s">
        <v>175</v>
      </c>
      <c r="B1000">
        <v>2015</v>
      </c>
      <c r="C1000" t="s">
        <v>271</v>
      </c>
      <c r="D1000" t="s">
        <v>298</v>
      </c>
      <c r="E1000" t="s">
        <v>65</v>
      </c>
      <c r="F1000">
        <v>17120</v>
      </c>
      <c r="G1000" t="s">
        <v>72</v>
      </c>
      <c r="H1000">
        <v>20</v>
      </c>
    </row>
    <row r="1001" spans="1:8" x14ac:dyDescent="0.3">
      <c r="A1001" t="s">
        <v>175</v>
      </c>
      <c r="B1001">
        <v>2016</v>
      </c>
      <c r="C1001" t="s">
        <v>271</v>
      </c>
      <c r="D1001" t="s">
        <v>298</v>
      </c>
      <c r="E1001" t="s">
        <v>65</v>
      </c>
      <c r="F1001">
        <v>17120</v>
      </c>
      <c r="G1001" t="s">
        <v>72</v>
      </c>
      <c r="H1001">
        <v>18</v>
      </c>
    </row>
    <row r="1002" spans="1:8" x14ac:dyDescent="0.3">
      <c r="A1002" t="s">
        <v>175</v>
      </c>
      <c r="B1002">
        <v>2017</v>
      </c>
      <c r="C1002" t="s">
        <v>271</v>
      </c>
      <c r="D1002" t="s">
        <v>298</v>
      </c>
      <c r="E1002" t="s">
        <v>65</v>
      </c>
      <c r="F1002">
        <v>17120</v>
      </c>
      <c r="G1002" t="s">
        <v>72</v>
      </c>
      <c r="H1002">
        <v>88</v>
      </c>
    </row>
    <row r="1003" spans="1:8" x14ac:dyDescent="0.3">
      <c r="A1003" t="s">
        <v>175</v>
      </c>
      <c r="B1003">
        <v>2018</v>
      </c>
      <c r="C1003" t="s">
        <v>271</v>
      </c>
      <c r="D1003" t="s">
        <v>298</v>
      </c>
      <c r="E1003" t="s">
        <v>65</v>
      </c>
      <c r="F1003">
        <v>17120</v>
      </c>
      <c r="G1003" t="s">
        <v>72</v>
      </c>
      <c r="H1003">
        <v>90</v>
      </c>
    </row>
    <row r="1004" spans="1:8" x14ac:dyDescent="0.3">
      <c r="A1004" t="s">
        <v>175</v>
      </c>
      <c r="B1004">
        <v>2019</v>
      </c>
      <c r="C1004" t="s">
        <v>271</v>
      </c>
      <c r="D1004" t="s">
        <v>298</v>
      </c>
      <c r="E1004" t="s">
        <v>65</v>
      </c>
      <c r="F1004">
        <v>17120</v>
      </c>
      <c r="G1004" t="s">
        <v>72</v>
      </c>
      <c r="H1004">
        <v>93</v>
      </c>
    </row>
    <row r="1005" spans="1:8" x14ac:dyDescent="0.3">
      <c r="A1005" t="s">
        <v>175</v>
      </c>
      <c r="B1005">
        <v>2020</v>
      </c>
      <c r="C1005" t="s">
        <v>271</v>
      </c>
      <c r="D1005" t="s">
        <v>298</v>
      </c>
      <c r="E1005" t="s">
        <v>65</v>
      </c>
      <c r="F1005">
        <v>17120</v>
      </c>
      <c r="G1005" t="s">
        <v>72</v>
      </c>
      <c r="H1005">
        <v>65</v>
      </c>
    </row>
    <row r="1006" spans="1:8" x14ac:dyDescent="0.3">
      <c r="A1006" t="s">
        <v>175</v>
      </c>
      <c r="B1006">
        <v>2021</v>
      </c>
      <c r="C1006" t="s">
        <v>271</v>
      </c>
      <c r="D1006" t="s">
        <v>298</v>
      </c>
      <c r="E1006" t="s">
        <v>65</v>
      </c>
      <c r="F1006">
        <v>17120</v>
      </c>
      <c r="G1006" t="s">
        <v>72</v>
      </c>
      <c r="H1006">
        <v>78</v>
      </c>
    </row>
    <row r="1007" spans="1:8" x14ac:dyDescent="0.3">
      <c r="A1007" t="s">
        <v>71</v>
      </c>
      <c r="B1007">
        <v>2014</v>
      </c>
      <c r="C1007" t="s">
        <v>271</v>
      </c>
      <c r="D1007" t="s">
        <v>298</v>
      </c>
      <c r="E1007" t="s">
        <v>65</v>
      </c>
      <c r="F1007">
        <v>12500</v>
      </c>
      <c r="G1007" t="s">
        <v>72</v>
      </c>
      <c r="H1007">
        <v>1</v>
      </c>
    </row>
    <row r="1008" spans="1:8" x14ac:dyDescent="0.3">
      <c r="A1008" t="s">
        <v>71</v>
      </c>
      <c r="B1008">
        <v>2015</v>
      </c>
      <c r="C1008" t="s">
        <v>271</v>
      </c>
      <c r="D1008" t="s">
        <v>298</v>
      </c>
      <c r="E1008" t="s">
        <v>65</v>
      </c>
      <c r="F1008">
        <v>12500</v>
      </c>
      <c r="G1008" t="s">
        <v>72</v>
      </c>
      <c r="H1008">
        <v>6</v>
      </c>
    </row>
    <row r="1009" spans="1:8" x14ac:dyDescent="0.3">
      <c r="A1009" t="s">
        <v>71</v>
      </c>
      <c r="B1009">
        <v>2016</v>
      </c>
      <c r="C1009" t="s">
        <v>271</v>
      </c>
      <c r="D1009" t="s">
        <v>298</v>
      </c>
      <c r="E1009" t="s">
        <v>65</v>
      </c>
      <c r="F1009">
        <v>12500</v>
      </c>
      <c r="G1009" t="s">
        <v>72</v>
      </c>
      <c r="H1009">
        <v>2</v>
      </c>
    </row>
    <row r="1010" spans="1:8" x14ac:dyDescent="0.3">
      <c r="A1010" t="s">
        <v>71</v>
      </c>
      <c r="B1010">
        <v>2017</v>
      </c>
      <c r="C1010" t="s">
        <v>271</v>
      </c>
      <c r="D1010" t="s">
        <v>298</v>
      </c>
      <c r="E1010" t="s">
        <v>65</v>
      </c>
      <c r="F1010">
        <v>12500</v>
      </c>
      <c r="G1010" t="s">
        <v>72</v>
      </c>
      <c r="H1010">
        <v>2</v>
      </c>
    </row>
    <row r="1011" spans="1:8" x14ac:dyDescent="0.3">
      <c r="A1011" t="s">
        <v>71</v>
      </c>
      <c r="B1011">
        <v>2018</v>
      </c>
      <c r="C1011" t="s">
        <v>271</v>
      </c>
      <c r="D1011" t="s">
        <v>298</v>
      </c>
      <c r="E1011" t="s">
        <v>65</v>
      </c>
      <c r="F1011">
        <v>12500</v>
      </c>
      <c r="G1011" t="s">
        <v>72</v>
      </c>
      <c r="H1011">
        <v>1</v>
      </c>
    </row>
    <row r="1012" spans="1:8" x14ac:dyDescent="0.3">
      <c r="A1012" t="s">
        <v>71</v>
      </c>
      <c r="B1012">
        <v>2019</v>
      </c>
      <c r="C1012" t="s">
        <v>271</v>
      </c>
      <c r="D1012" t="s">
        <v>298</v>
      </c>
      <c r="E1012" t="s">
        <v>65</v>
      </c>
      <c r="F1012">
        <v>12500</v>
      </c>
      <c r="G1012" t="s">
        <v>72</v>
      </c>
      <c r="H1012">
        <v>2</v>
      </c>
    </row>
    <row r="1013" spans="1:8" x14ac:dyDescent="0.3">
      <c r="A1013" t="s">
        <v>71</v>
      </c>
      <c r="B1013">
        <v>2020</v>
      </c>
      <c r="C1013" t="s">
        <v>271</v>
      </c>
      <c r="D1013" t="s">
        <v>298</v>
      </c>
      <c r="E1013" t="s">
        <v>65</v>
      </c>
      <c r="F1013">
        <v>12500</v>
      </c>
      <c r="G1013" t="s">
        <v>72</v>
      </c>
      <c r="H1013">
        <v>1</v>
      </c>
    </row>
    <row r="1014" spans="1:8" x14ac:dyDescent="0.3">
      <c r="A1014" t="s">
        <v>176</v>
      </c>
      <c r="B1014">
        <v>2014</v>
      </c>
      <c r="C1014" t="s">
        <v>271</v>
      </c>
      <c r="D1014" t="s">
        <v>298</v>
      </c>
      <c r="E1014" t="s">
        <v>65</v>
      </c>
      <c r="F1014">
        <v>2250</v>
      </c>
      <c r="G1014" t="s">
        <v>66</v>
      </c>
      <c r="H1014">
        <v>11</v>
      </c>
    </row>
    <row r="1015" spans="1:8" x14ac:dyDescent="0.3">
      <c r="A1015" t="s">
        <v>176</v>
      </c>
      <c r="B1015">
        <v>2015</v>
      </c>
      <c r="C1015" t="s">
        <v>271</v>
      </c>
      <c r="D1015" t="s">
        <v>298</v>
      </c>
      <c r="E1015" t="s">
        <v>65</v>
      </c>
      <c r="F1015">
        <v>2250</v>
      </c>
      <c r="G1015" t="s">
        <v>66</v>
      </c>
      <c r="H1015">
        <v>31</v>
      </c>
    </row>
    <row r="1016" spans="1:8" x14ac:dyDescent="0.3">
      <c r="A1016" t="s">
        <v>176</v>
      </c>
      <c r="B1016">
        <v>2016</v>
      </c>
      <c r="C1016" t="s">
        <v>271</v>
      </c>
      <c r="D1016" t="s">
        <v>298</v>
      </c>
      <c r="E1016" t="s">
        <v>65</v>
      </c>
      <c r="F1016">
        <v>2250</v>
      </c>
      <c r="G1016" t="s">
        <v>66</v>
      </c>
      <c r="H1016">
        <v>29</v>
      </c>
    </row>
    <row r="1017" spans="1:8" x14ac:dyDescent="0.3">
      <c r="A1017" t="s">
        <v>176</v>
      </c>
      <c r="B1017">
        <v>2017</v>
      </c>
      <c r="C1017" t="s">
        <v>271</v>
      </c>
      <c r="D1017" t="s">
        <v>298</v>
      </c>
      <c r="E1017" t="s">
        <v>65</v>
      </c>
      <c r="F1017">
        <v>2250</v>
      </c>
      <c r="G1017" t="s">
        <v>66</v>
      </c>
      <c r="H1017">
        <v>72</v>
      </c>
    </row>
    <row r="1018" spans="1:8" x14ac:dyDescent="0.3">
      <c r="A1018" t="s">
        <v>176</v>
      </c>
      <c r="B1018">
        <v>2018</v>
      </c>
      <c r="C1018" t="s">
        <v>271</v>
      </c>
      <c r="D1018" t="s">
        <v>298</v>
      </c>
      <c r="E1018" t="s">
        <v>65</v>
      </c>
      <c r="F1018">
        <v>2250</v>
      </c>
      <c r="G1018" t="s">
        <v>66</v>
      </c>
      <c r="H1018">
        <v>9</v>
      </c>
    </row>
    <row r="1019" spans="1:8" x14ac:dyDescent="0.3">
      <c r="A1019" t="s">
        <v>176</v>
      </c>
      <c r="B1019">
        <v>2019</v>
      </c>
      <c r="C1019" t="s">
        <v>271</v>
      </c>
      <c r="D1019" t="s">
        <v>298</v>
      </c>
      <c r="E1019" t="s">
        <v>65</v>
      </c>
      <c r="F1019">
        <v>2250</v>
      </c>
      <c r="G1019" t="s">
        <v>66</v>
      </c>
      <c r="H1019">
        <v>2</v>
      </c>
    </row>
    <row r="1020" spans="1:8" x14ac:dyDescent="0.3">
      <c r="A1020" t="s">
        <v>176</v>
      </c>
      <c r="B1020">
        <v>2020</v>
      </c>
      <c r="C1020" t="s">
        <v>271</v>
      </c>
      <c r="D1020" t="s">
        <v>298</v>
      </c>
      <c r="E1020" t="s">
        <v>65</v>
      </c>
      <c r="F1020">
        <v>2250</v>
      </c>
      <c r="G1020" t="s">
        <v>66</v>
      </c>
      <c r="H1020">
        <v>6</v>
      </c>
    </row>
    <row r="1021" spans="1:8" x14ac:dyDescent="0.3">
      <c r="A1021" t="s">
        <v>176</v>
      </c>
      <c r="B1021">
        <v>2021</v>
      </c>
      <c r="C1021" t="s">
        <v>271</v>
      </c>
      <c r="D1021" t="s">
        <v>298</v>
      </c>
      <c r="E1021" t="s">
        <v>65</v>
      </c>
      <c r="F1021">
        <v>2250</v>
      </c>
      <c r="G1021" t="s">
        <v>66</v>
      </c>
      <c r="H1021">
        <v>4</v>
      </c>
    </row>
    <row r="1022" spans="1:8" x14ac:dyDescent="0.3">
      <c r="A1022" t="s">
        <v>178</v>
      </c>
      <c r="B1022">
        <v>2016</v>
      </c>
      <c r="C1022" t="s">
        <v>271</v>
      </c>
      <c r="D1022" t="s">
        <v>298</v>
      </c>
      <c r="E1022" t="s">
        <v>65</v>
      </c>
      <c r="F1022">
        <v>14000</v>
      </c>
      <c r="G1022" t="s">
        <v>72</v>
      </c>
      <c r="H1022">
        <v>1</v>
      </c>
    </row>
    <row r="1023" spans="1:8" x14ac:dyDescent="0.3">
      <c r="A1023" t="s">
        <v>178</v>
      </c>
      <c r="B1023">
        <v>2017</v>
      </c>
      <c r="C1023" t="s">
        <v>271</v>
      </c>
      <c r="D1023" t="s">
        <v>298</v>
      </c>
      <c r="E1023" t="s">
        <v>65</v>
      </c>
      <c r="F1023">
        <v>14000</v>
      </c>
      <c r="G1023" t="s">
        <v>72</v>
      </c>
      <c r="H1023">
        <v>1</v>
      </c>
    </row>
    <row r="1024" spans="1:8" x14ac:dyDescent="0.3">
      <c r="A1024" t="s">
        <v>178</v>
      </c>
      <c r="B1024">
        <v>2019</v>
      </c>
      <c r="C1024" t="s">
        <v>271</v>
      </c>
      <c r="D1024" t="s">
        <v>298</v>
      </c>
      <c r="E1024" t="s">
        <v>65</v>
      </c>
      <c r="F1024">
        <v>14000</v>
      </c>
      <c r="G1024" t="s">
        <v>72</v>
      </c>
      <c r="H1024">
        <v>1</v>
      </c>
    </row>
    <row r="1025" spans="1:8" x14ac:dyDescent="0.3">
      <c r="A1025" t="s">
        <v>73</v>
      </c>
      <c r="B1025">
        <v>2015</v>
      </c>
      <c r="C1025" t="s">
        <v>271</v>
      </c>
      <c r="D1025" t="s">
        <v>298</v>
      </c>
      <c r="E1025" t="s">
        <v>65</v>
      </c>
      <c r="F1025">
        <v>3500</v>
      </c>
      <c r="G1025" t="s">
        <v>66</v>
      </c>
      <c r="H1025">
        <v>5</v>
      </c>
    </row>
    <row r="1026" spans="1:8" x14ac:dyDescent="0.3">
      <c r="A1026" t="s">
        <v>73</v>
      </c>
      <c r="B1026">
        <v>2016</v>
      </c>
      <c r="C1026" t="s">
        <v>271</v>
      </c>
      <c r="D1026" t="s">
        <v>298</v>
      </c>
      <c r="E1026" t="s">
        <v>65</v>
      </c>
      <c r="F1026">
        <v>3500</v>
      </c>
      <c r="G1026" t="s">
        <v>66</v>
      </c>
      <c r="H1026">
        <v>2</v>
      </c>
    </row>
    <row r="1027" spans="1:8" x14ac:dyDescent="0.3">
      <c r="A1027" t="s">
        <v>73</v>
      </c>
      <c r="B1027">
        <v>2017</v>
      </c>
      <c r="C1027" t="s">
        <v>271</v>
      </c>
      <c r="D1027" t="s">
        <v>298</v>
      </c>
      <c r="E1027" t="s">
        <v>65</v>
      </c>
      <c r="F1027">
        <v>3500</v>
      </c>
      <c r="G1027" t="s">
        <v>66</v>
      </c>
      <c r="H1027">
        <v>6</v>
      </c>
    </row>
    <row r="1028" spans="1:8" x14ac:dyDescent="0.3">
      <c r="A1028" t="s">
        <v>73</v>
      </c>
      <c r="B1028">
        <v>2018</v>
      </c>
      <c r="C1028" t="s">
        <v>271</v>
      </c>
      <c r="D1028" t="s">
        <v>298</v>
      </c>
      <c r="E1028" t="s">
        <v>65</v>
      </c>
      <c r="F1028">
        <v>3500</v>
      </c>
      <c r="G1028" t="s">
        <v>66</v>
      </c>
      <c r="H1028">
        <v>4</v>
      </c>
    </row>
    <row r="1029" spans="1:8" x14ac:dyDescent="0.3">
      <c r="A1029" t="s">
        <v>73</v>
      </c>
      <c r="B1029">
        <v>2019</v>
      </c>
      <c r="C1029" t="s">
        <v>271</v>
      </c>
      <c r="D1029" t="s">
        <v>298</v>
      </c>
      <c r="E1029" t="s">
        <v>65</v>
      </c>
      <c r="F1029">
        <v>3500</v>
      </c>
      <c r="G1029" t="s">
        <v>66</v>
      </c>
      <c r="H1029">
        <v>3</v>
      </c>
    </row>
    <row r="1030" spans="1:8" x14ac:dyDescent="0.3">
      <c r="A1030" t="s">
        <v>73</v>
      </c>
      <c r="B1030">
        <v>2021</v>
      </c>
      <c r="C1030" t="s">
        <v>271</v>
      </c>
      <c r="D1030" t="s">
        <v>298</v>
      </c>
      <c r="E1030" t="s">
        <v>65</v>
      </c>
      <c r="F1030">
        <v>3500</v>
      </c>
      <c r="G1030" t="s">
        <v>66</v>
      </c>
      <c r="H1030">
        <v>1</v>
      </c>
    </row>
    <row r="1031" spans="1:8" x14ac:dyDescent="0.3">
      <c r="A1031" t="s">
        <v>74</v>
      </c>
      <c r="B1031">
        <v>2016</v>
      </c>
      <c r="C1031" t="s">
        <v>271</v>
      </c>
      <c r="D1031" t="s">
        <v>298</v>
      </c>
      <c r="E1031" t="s">
        <v>65</v>
      </c>
      <c r="F1031">
        <v>3400</v>
      </c>
      <c r="G1031" t="s">
        <v>66</v>
      </c>
      <c r="H1031">
        <v>1</v>
      </c>
    </row>
    <row r="1032" spans="1:8" x14ac:dyDescent="0.3">
      <c r="A1032" t="s">
        <v>74</v>
      </c>
      <c r="B1032">
        <v>2017</v>
      </c>
      <c r="C1032" t="s">
        <v>271</v>
      </c>
      <c r="D1032" t="s">
        <v>298</v>
      </c>
      <c r="E1032" t="s">
        <v>65</v>
      </c>
      <c r="F1032">
        <v>3400</v>
      </c>
      <c r="G1032" t="s">
        <v>66</v>
      </c>
      <c r="H1032">
        <v>3</v>
      </c>
    </row>
    <row r="1033" spans="1:8" x14ac:dyDescent="0.3">
      <c r="A1033" t="s">
        <v>74</v>
      </c>
      <c r="B1033">
        <v>2019</v>
      </c>
      <c r="C1033" t="s">
        <v>271</v>
      </c>
      <c r="D1033" t="s">
        <v>298</v>
      </c>
      <c r="E1033" t="s">
        <v>65</v>
      </c>
      <c r="F1033">
        <v>3400</v>
      </c>
      <c r="G1033" t="s">
        <v>66</v>
      </c>
      <c r="H1033">
        <v>1</v>
      </c>
    </row>
    <row r="1034" spans="1:8" x14ac:dyDescent="0.3">
      <c r="A1034" t="s">
        <v>74</v>
      </c>
      <c r="B1034">
        <v>2021</v>
      </c>
      <c r="C1034" t="s">
        <v>271</v>
      </c>
      <c r="D1034" t="s">
        <v>298</v>
      </c>
      <c r="E1034" t="s">
        <v>65</v>
      </c>
      <c r="F1034">
        <v>3400</v>
      </c>
      <c r="G1034" t="s">
        <v>66</v>
      </c>
      <c r="H1034">
        <v>1</v>
      </c>
    </row>
    <row r="1035" spans="1:8" x14ac:dyDescent="0.3">
      <c r="A1035" t="s">
        <v>179</v>
      </c>
      <c r="B1035">
        <v>2016</v>
      </c>
      <c r="C1035" t="s">
        <v>271</v>
      </c>
      <c r="D1035" t="s">
        <v>298</v>
      </c>
      <c r="E1035" t="s">
        <v>65</v>
      </c>
      <c r="F1035">
        <v>16100</v>
      </c>
      <c r="G1035" t="s">
        <v>66</v>
      </c>
      <c r="H1035">
        <v>1</v>
      </c>
    </row>
    <row r="1036" spans="1:8" x14ac:dyDescent="0.3">
      <c r="A1036" t="s">
        <v>77</v>
      </c>
      <c r="B1036">
        <v>2015</v>
      </c>
      <c r="C1036" t="s">
        <v>271</v>
      </c>
      <c r="D1036" t="s">
        <v>298</v>
      </c>
      <c r="E1036" t="s">
        <v>65</v>
      </c>
      <c r="F1036">
        <v>5500</v>
      </c>
      <c r="G1036" t="s">
        <v>66</v>
      </c>
      <c r="H1036">
        <v>1</v>
      </c>
    </row>
    <row r="1037" spans="1:8" x14ac:dyDescent="0.3">
      <c r="A1037" t="s">
        <v>182</v>
      </c>
      <c r="B1037">
        <v>2014</v>
      </c>
      <c r="C1037" t="s">
        <v>271</v>
      </c>
      <c r="D1037" t="s">
        <v>298</v>
      </c>
      <c r="E1037" t="s">
        <v>65</v>
      </c>
      <c r="F1037">
        <v>10400</v>
      </c>
      <c r="G1037" t="s">
        <v>72</v>
      </c>
      <c r="H1037">
        <v>4</v>
      </c>
    </row>
    <row r="1038" spans="1:8" x14ac:dyDescent="0.3">
      <c r="A1038" t="s">
        <v>182</v>
      </c>
      <c r="B1038">
        <v>2015</v>
      </c>
      <c r="C1038" t="s">
        <v>271</v>
      </c>
      <c r="D1038" t="s">
        <v>298</v>
      </c>
      <c r="E1038" t="s">
        <v>65</v>
      </c>
      <c r="F1038">
        <v>10400</v>
      </c>
      <c r="G1038" t="s">
        <v>72</v>
      </c>
      <c r="H1038">
        <v>31</v>
      </c>
    </row>
    <row r="1039" spans="1:8" x14ac:dyDescent="0.3">
      <c r="A1039" t="s">
        <v>182</v>
      </c>
      <c r="B1039">
        <v>2016</v>
      </c>
      <c r="C1039" t="s">
        <v>271</v>
      </c>
      <c r="D1039" t="s">
        <v>298</v>
      </c>
      <c r="E1039" t="s">
        <v>65</v>
      </c>
      <c r="F1039">
        <v>10400</v>
      </c>
      <c r="G1039" t="s">
        <v>72</v>
      </c>
      <c r="H1039">
        <v>39</v>
      </c>
    </row>
    <row r="1040" spans="1:8" x14ac:dyDescent="0.3">
      <c r="A1040" t="s">
        <v>182</v>
      </c>
      <c r="B1040">
        <v>2017</v>
      </c>
      <c r="C1040" t="s">
        <v>271</v>
      </c>
      <c r="D1040" t="s">
        <v>298</v>
      </c>
      <c r="E1040" t="s">
        <v>65</v>
      </c>
      <c r="F1040">
        <v>10400</v>
      </c>
      <c r="G1040" t="s">
        <v>72</v>
      </c>
      <c r="H1040">
        <v>2</v>
      </c>
    </row>
    <row r="1041" spans="1:8" x14ac:dyDescent="0.3">
      <c r="A1041" t="s">
        <v>182</v>
      </c>
      <c r="B1041">
        <v>2019</v>
      </c>
      <c r="C1041" t="s">
        <v>271</v>
      </c>
      <c r="D1041" t="s">
        <v>298</v>
      </c>
      <c r="E1041" t="s">
        <v>65</v>
      </c>
      <c r="F1041">
        <v>10400</v>
      </c>
      <c r="G1041" t="s">
        <v>72</v>
      </c>
      <c r="H1041">
        <v>1</v>
      </c>
    </row>
    <row r="1042" spans="1:8" x14ac:dyDescent="0.3">
      <c r="A1042" t="s">
        <v>80</v>
      </c>
      <c r="B1042">
        <v>2015</v>
      </c>
      <c r="C1042" t="s">
        <v>271</v>
      </c>
      <c r="D1042" t="s">
        <v>298</v>
      </c>
      <c r="E1042" t="s">
        <v>65</v>
      </c>
      <c r="F1042">
        <v>10097</v>
      </c>
      <c r="G1042" t="s">
        <v>72</v>
      </c>
      <c r="H1042">
        <v>4</v>
      </c>
    </row>
    <row r="1043" spans="1:8" x14ac:dyDescent="0.3">
      <c r="A1043" t="s">
        <v>80</v>
      </c>
      <c r="B1043">
        <v>2016</v>
      </c>
      <c r="C1043" t="s">
        <v>271</v>
      </c>
      <c r="D1043" t="s">
        <v>298</v>
      </c>
      <c r="E1043" t="s">
        <v>65</v>
      </c>
      <c r="F1043">
        <v>10097</v>
      </c>
      <c r="G1043" t="s">
        <v>72</v>
      </c>
      <c r="H1043">
        <v>2</v>
      </c>
    </row>
    <row r="1044" spans="1:8" x14ac:dyDescent="0.3">
      <c r="A1044" t="s">
        <v>80</v>
      </c>
      <c r="B1044">
        <v>2017</v>
      </c>
      <c r="C1044" t="s">
        <v>271</v>
      </c>
      <c r="D1044" t="s">
        <v>298</v>
      </c>
      <c r="E1044" t="s">
        <v>65</v>
      </c>
      <c r="F1044">
        <v>10097</v>
      </c>
      <c r="G1044" t="s">
        <v>72</v>
      </c>
      <c r="H1044">
        <v>1</v>
      </c>
    </row>
    <row r="1045" spans="1:8" x14ac:dyDescent="0.3">
      <c r="A1045" t="s">
        <v>82</v>
      </c>
      <c r="B1045">
        <v>2015</v>
      </c>
      <c r="C1045" t="s">
        <v>271</v>
      </c>
      <c r="D1045" t="s">
        <v>298</v>
      </c>
      <c r="E1045" t="s">
        <v>65</v>
      </c>
      <c r="F1045">
        <v>155000</v>
      </c>
      <c r="G1045" t="s">
        <v>83</v>
      </c>
      <c r="H1045">
        <v>2</v>
      </c>
    </row>
    <row r="1046" spans="1:8" x14ac:dyDescent="0.3">
      <c r="A1046" t="s">
        <v>82</v>
      </c>
      <c r="B1046">
        <v>2016</v>
      </c>
      <c r="C1046" t="s">
        <v>271</v>
      </c>
      <c r="D1046" t="s">
        <v>298</v>
      </c>
      <c r="E1046" t="s">
        <v>65</v>
      </c>
      <c r="F1046">
        <v>155000</v>
      </c>
      <c r="G1046" t="s">
        <v>83</v>
      </c>
      <c r="H1046">
        <v>1</v>
      </c>
    </row>
    <row r="1047" spans="1:8" x14ac:dyDescent="0.3">
      <c r="A1047" t="s">
        <v>82</v>
      </c>
      <c r="B1047">
        <v>2019</v>
      </c>
      <c r="C1047" t="s">
        <v>271</v>
      </c>
      <c r="D1047" t="s">
        <v>298</v>
      </c>
      <c r="E1047" t="s">
        <v>65</v>
      </c>
      <c r="F1047">
        <v>155000</v>
      </c>
      <c r="G1047" t="s">
        <v>83</v>
      </c>
      <c r="H1047">
        <v>1</v>
      </c>
    </row>
    <row r="1048" spans="1:8" x14ac:dyDescent="0.3">
      <c r="A1048" t="s">
        <v>184</v>
      </c>
      <c r="B1048">
        <v>2018</v>
      </c>
      <c r="C1048" t="s">
        <v>271</v>
      </c>
      <c r="D1048" t="s">
        <v>298</v>
      </c>
      <c r="E1048" t="s">
        <v>65</v>
      </c>
      <c r="F1048">
        <v>1450</v>
      </c>
      <c r="G1048" t="s">
        <v>66</v>
      </c>
      <c r="H1048">
        <v>1</v>
      </c>
    </row>
    <row r="1049" spans="1:8" x14ac:dyDescent="0.3">
      <c r="A1049" t="s">
        <v>84</v>
      </c>
      <c r="B1049">
        <v>2014</v>
      </c>
      <c r="C1049" t="s">
        <v>271</v>
      </c>
      <c r="D1049" t="s">
        <v>298</v>
      </c>
      <c r="E1049" t="s">
        <v>65</v>
      </c>
      <c r="F1049">
        <v>1543</v>
      </c>
      <c r="G1049" t="s">
        <v>66</v>
      </c>
      <c r="H1049">
        <v>1</v>
      </c>
    </row>
    <row r="1050" spans="1:8" x14ac:dyDescent="0.3">
      <c r="A1050" t="s">
        <v>84</v>
      </c>
      <c r="B1050">
        <v>2015</v>
      </c>
      <c r="C1050" t="s">
        <v>271</v>
      </c>
      <c r="D1050" t="s">
        <v>298</v>
      </c>
      <c r="E1050" t="s">
        <v>65</v>
      </c>
      <c r="F1050">
        <v>1543</v>
      </c>
      <c r="G1050" t="s">
        <v>66</v>
      </c>
      <c r="H1050">
        <v>1</v>
      </c>
    </row>
    <row r="1051" spans="1:8" x14ac:dyDescent="0.3">
      <c r="A1051" t="s">
        <v>84</v>
      </c>
      <c r="B1051">
        <v>2018</v>
      </c>
      <c r="C1051" t="s">
        <v>271</v>
      </c>
      <c r="D1051" t="s">
        <v>298</v>
      </c>
      <c r="E1051" t="s">
        <v>65</v>
      </c>
      <c r="F1051">
        <v>1543</v>
      </c>
      <c r="G1051" t="s">
        <v>66</v>
      </c>
      <c r="H1051">
        <v>1</v>
      </c>
    </row>
    <row r="1052" spans="1:8" x14ac:dyDescent="0.3">
      <c r="A1052" t="s">
        <v>84</v>
      </c>
      <c r="B1052">
        <v>2019</v>
      </c>
      <c r="C1052" t="s">
        <v>271</v>
      </c>
      <c r="D1052" t="s">
        <v>298</v>
      </c>
      <c r="E1052" t="s">
        <v>65</v>
      </c>
      <c r="F1052">
        <v>1543</v>
      </c>
      <c r="G1052" t="s">
        <v>66</v>
      </c>
      <c r="H1052">
        <v>2</v>
      </c>
    </row>
    <row r="1053" spans="1:8" x14ac:dyDescent="0.3">
      <c r="A1053" t="s">
        <v>85</v>
      </c>
      <c r="B1053">
        <v>2014</v>
      </c>
      <c r="C1053" t="s">
        <v>271</v>
      </c>
      <c r="D1053" t="s">
        <v>298</v>
      </c>
      <c r="E1053" t="s">
        <v>65</v>
      </c>
      <c r="F1053">
        <v>5732</v>
      </c>
      <c r="G1053" t="s">
        <v>66</v>
      </c>
      <c r="H1053">
        <v>1</v>
      </c>
    </row>
    <row r="1054" spans="1:8" x14ac:dyDescent="0.3">
      <c r="A1054" t="s">
        <v>85</v>
      </c>
      <c r="B1054">
        <v>2016</v>
      </c>
      <c r="C1054" t="s">
        <v>271</v>
      </c>
      <c r="D1054" t="s">
        <v>298</v>
      </c>
      <c r="E1054" t="s">
        <v>65</v>
      </c>
      <c r="F1054">
        <v>5732</v>
      </c>
      <c r="G1054" t="s">
        <v>66</v>
      </c>
      <c r="H1054">
        <v>3</v>
      </c>
    </row>
    <row r="1055" spans="1:8" x14ac:dyDescent="0.3">
      <c r="A1055" t="s">
        <v>85</v>
      </c>
      <c r="B1055">
        <v>2017</v>
      </c>
      <c r="C1055" t="s">
        <v>271</v>
      </c>
      <c r="D1055" t="s">
        <v>298</v>
      </c>
      <c r="E1055" t="s">
        <v>65</v>
      </c>
      <c r="F1055">
        <v>5732</v>
      </c>
      <c r="G1055" t="s">
        <v>66</v>
      </c>
      <c r="H1055">
        <v>2</v>
      </c>
    </row>
    <row r="1056" spans="1:8" x14ac:dyDescent="0.3">
      <c r="A1056" t="s">
        <v>85</v>
      </c>
      <c r="B1056">
        <v>2018</v>
      </c>
      <c r="C1056" t="s">
        <v>271</v>
      </c>
      <c r="D1056" t="s">
        <v>298</v>
      </c>
      <c r="E1056" t="s">
        <v>65</v>
      </c>
      <c r="F1056">
        <v>5732</v>
      </c>
      <c r="G1056" t="s">
        <v>66</v>
      </c>
      <c r="H1056">
        <v>2</v>
      </c>
    </row>
    <row r="1057" spans="1:8" x14ac:dyDescent="0.3">
      <c r="A1057" t="s">
        <v>85</v>
      </c>
      <c r="B1057">
        <v>2019</v>
      </c>
      <c r="C1057" t="s">
        <v>271</v>
      </c>
      <c r="D1057" t="s">
        <v>298</v>
      </c>
      <c r="E1057" t="s">
        <v>65</v>
      </c>
      <c r="F1057">
        <v>5732</v>
      </c>
      <c r="G1057" t="s">
        <v>66</v>
      </c>
      <c r="H1057">
        <v>3</v>
      </c>
    </row>
    <row r="1058" spans="1:8" x14ac:dyDescent="0.3">
      <c r="A1058" t="s">
        <v>85</v>
      </c>
      <c r="B1058">
        <v>2020</v>
      </c>
      <c r="C1058" t="s">
        <v>271</v>
      </c>
      <c r="D1058" t="s">
        <v>298</v>
      </c>
      <c r="E1058" t="s">
        <v>65</v>
      </c>
      <c r="F1058">
        <v>5732</v>
      </c>
      <c r="G1058" t="s">
        <v>66</v>
      </c>
      <c r="H1058">
        <v>1</v>
      </c>
    </row>
    <row r="1059" spans="1:8" x14ac:dyDescent="0.3">
      <c r="A1059" t="s">
        <v>186</v>
      </c>
      <c r="B1059">
        <v>2014</v>
      </c>
      <c r="C1059" t="s">
        <v>271</v>
      </c>
      <c r="D1059" t="s">
        <v>298</v>
      </c>
      <c r="E1059" t="s">
        <v>65</v>
      </c>
      <c r="F1059">
        <v>585000</v>
      </c>
      <c r="G1059" t="s">
        <v>83</v>
      </c>
      <c r="H1059">
        <v>7</v>
      </c>
    </row>
    <row r="1060" spans="1:8" x14ac:dyDescent="0.3">
      <c r="A1060" t="s">
        <v>186</v>
      </c>
      <c r="B1060">
        <v>2015</v>
      </c>
      <c r="C1060" t="s">
        <v>271</v>
      </c>
      <c r="D1060" t="s">
        <v>298</v>
      </c>
      <c r="E1060" t="s">
        <v>65</v>
      </c>
      <c r="F1060">
        <v>585000</v>
      </c>
      <c r="G1060" t="s">
        <v>83</v>
      </c>
      <c r="H1060">
        <v>31</v>
      </c>
    </row>
    <row r="1061" spans="1:8" x14ac:dyDescent="0.3">
      <c r="A1061" t="s">
        <v>186</v>
      </c>
      <c r="B1061">
        <v>2016</v>
      </c>
      <c r="C1061" t="s">
        <v>271</v>
      </c>
      <c r="D1061" t="s">
        <v>298</v>
      </c>
      <c r="E1061" t="s">
        <v>65</v>
      </c>
      <c r="F1061">
        <v>585000</v>
      </c>
      <c r="G1061" t="s">
        <v>83</v>
      </c>
      <c r="H1061">
        <v>12</v>
      </c>
    </row>
    <row r="1062" spans="1:8" x14ac:dyDescent="0.3">
      <c r="A1062" t="s">
        <v>186</v>
      </c>
      <c r="B1062">
        <v>2017</v>
      </c>
      <c r="C1062" t="s">
        <v>271</v>
      </c>
      <c r="D1062" t="s">
        <v>298</v>
      </c>
      <c r="E1062" t="s">
        <v>65</v>
      </c>
      <c r="F1062">
        <v>585000</v>
      </c>
      <c r="G1062" t="s">
        <v>83</v>
      </c>
      <c r="H1062">
        <v>13</v>
      </c>
    </row>
    <row r="1063" spans="1:8" x14ac:dyDescent="0.3">
      <c r="A1063" t="s">
        <v>186</v>
      </c>
      <c r="B1063">
        <v>2018</v>
      </c>
      <c r="C1063" t="s">
        <v>271</v>
      </c>
      <c r="D1063" t="s">
        <v>298</v>
      </c>
      <c r="E1063" t="s">
        <v>65</v>
      </c>
      <c r="F1063">
        <v>585000</v>
      </c>
      <c r="G1063" t="s">
        <v>83</v>
      </c>
      <c r="H1063">
        <v>8</v>
      </c>
    </row>
    <row r="1064" spans="1:8" x14ac:dyDescent="0.3">
      <c r="A1064" t="s">
        <v>186</v>
      </c>
      <c r="B1064">
        <v>2019</v>
      </c>
      <c r="C1064" t="s">
        <v>271</v>
      </c>
      <c r="D1064" t="s">
        <v>298</v>
      </c>
      <c r="E1064" t="s">
        <v>65</v>
      </c>
      <c r="F1064">
        <v>585000</v>
      </c>
      <c r="G1064" t="s">
        <v>83</v>
      </c>
      <c r="H1064">
        <v>1</v>
      </c>
    </row>
    <row r="1065" spans="1:8" x14ac:dyDescent="0.3">
      <c r="A1065" t="s">
        <v>186</v>
      </c>
      <c r="B1065">
        <v>2020</v>
      </c>
      <c r="C1065" t="s">
        <v>271</v>
      </c>
      <c r="D1065" t="s">
        <v>298</v>
      </c>
      <c r="E1065" t="s">
        <v>65</v>
      </c>
      <c r="F1065">
        <v>585000</v>
      </c>
      <c r="G1065" t="s">
        <v>83</v>
      </c>
      <c r="H1065">
        <v>18</v>
      </c>
    </row>
    <row r="1066" spans="1:8" x14ac:dyDescent="0.3">
      <c r="A1066" t="s">
        <v>186</v>
      </c>
      <c r="B1066">
        <v>2021</v>
      </c>
      <c r="C1066" t="s">
        <v>271</v>
      </c>
      <c r="D1066" t="s">
        <v>298</v>
      </c>
      <c r="E1066" t="s">
        <v>65</v>
      </c>
      <c r="F1066">
        <v>585000</v>
      </c>
      <c r="G1066" t="s">
        <v>83</v>
      </c>
      <c r="H1066">
        <v>17</v>
      </c>
    </row>
    <row r="1067" spans="1:8" x14ac:dyDescent="0.3">
      <c r="A1067" t="s">
        <v>86</v>
      </c>
      <c r="B1067">
        <v>2014</v>
      </c>
      <c r="C1067" t="s">
        <v>271</v>
      </c>
      <c r="D1067" t="s">
        <v>298</v>
      </c>
      <c r="E1067" t="s">
        <v>65</v>
      </c>
      <c r="F1067">
        <v>2450</v>
      </c>
      <c r="G1067" t="s">
        <v>66</v>
      </c>
      <c r="H1067">
        <v>1</v>
      </c>
    </row>
    <row r="1068" spans="1:8" x14ac:dyDescent="0.3">
      <c r="A1068" t="s">
        <v>86</v>
      </c>
      <c r="B1068">
        <v>2015</v>
      </c>
      <c r="C1068" t="s">
        <v>271</v>
      </c>
      <c r="D1068" t="s">
        <v>298</v>
      </c>
      <c r="E1068" t="s">
        <v>65</v>
      </c>
      <c r="F1068">
        <v>2450</v>
      </c>
      <c r="G1068" t="s">
        <v>66</v>
      </c>
      <c r="H1068">
        <v>15</v>
      </c>
    </row>
    <row r="1069" spans="1:8" x14ac:dyDescent="0.3">
      <c r="A1069" t="s">
        <v>86</v>
      </c>
      <c r="B1069">
        <v>2016</v>
      </c>
      <c r="C1069" t="s">
        <v>271</v>
      </c>
      <c r="D1069" t="s">
        <v>298</v>
      </c>
      <c r="E1069" t="s">
        <v>65</v>
      </c>
      <c r="F1069">
        <v>2450</v>
      </c>
      <c r="G1069" t="s">
        <v>66</v>
      </c>
      <c r="H1069">
        <v>34</v>
      </c>
    </row>
    <row r="1070" spans="1:8" x14ac:dyDescent="0.3">
      <c r="A1070" t="s">
        <v>86</v>
      </c>
      <c r="B1070">
        <v>2017</v>
      </c>
      <c r="C1070" t="s">
        <v>271</v>
      </c>
      <c r="D1070" t="s">
        <v>298</v>
      </c>
      <c r="E1070" t="s">
        <v>65</v>
      </c>
      <c r="F1070">
        <v>2450</v>
      </c>
      <c r="G1070" t="s">
        <v>66</v>
      </c>
      <c r="H1070">
        <v>24</v>
      </c>
    </row>
    <row r="1071" spans="1:8" x14ac:dyDescent="0.3">
      <c r="A1071" t="s">
        <v>86</v>
      </c>
      <c r="B1071">
        <v>2018</v>
      </c>
      <c r="C1071" t="s">
        <v>271</v>
      </c>
      <c r="D1071" t="s">
        <v>298</v>
      </c>
      <c r="E1071" t="s">
        <v>65</v>
      </c>
      <c r="F1071">
        <v>2450</v>
      </c>
      <c r="G1071" t="s">
        <v>66</v>
      </c>
      <c r="H1071">
        <v>18</v>
      </c>
    </row>
    <row r="1072" spans="1:8" x14ac:dyDescent="0.3">
      <c r="A1072" t="s">
        <v>86</v>
      </c>
      <c r="B1072">
        <v>2019</v>
      </c>
      <c r="C1072" t="s">
        <v>271</v>
      </c>
      <c r="D1072" t="s">
        <v>298</v>
      </c>
      <c r="E1072" t="s">
        <v>65</v>
      </c>
      <c r="F1072">
        <v>2450</v>
      </c>
      <c r="G1072" t="s">
        <v>66</v>
      </c>
      <c r="H1072">
        <v>13</v>
      </c>
    </row>
    <row r="1073" spans="1:8" x14ac:dyDescent="0.3">
      <c r="A1073" t="s">
        <v>86</v>
      </c>
      <c r="B1073">
        <v>2020</v>
      </c>
      <c r="C1073" t="s">
        <v>271</v>
      </c>
      <c r="D1073" t="s">
        <v>298</v>
      </c>
      <c r="E1073" t="s">
        <v>65</v>
      </c>
      <c r="F1073">
        <v>2450</v>
      </c>
      <c r="G1073" t="s">
        <v>66</v>
      </c>
      <c r="H1073">
        <v>7</v>
      </c>
    </row>
    <row r="1074" spans="1:8" x14ac:dyDescent="0.3">
      <c r="A1074" t="s">
        <v>86</v>
      </c>
      <c r="B1074">
        <v>2021</v>
      </c>
      <c r="C1074" t="s">
        <v>271</v>
      </c>
      <c r="D1074" t="s">
        <v>298</v>
      </c>
      <c r="E1074" t="s">
        <v>65</v>
      </c>
      <c r="F1074">
        <v>2450</v>
      </c>
      <c r="G1074" t="s">
        <v>66</v>
      </c>
      <c r="H1074">
        <v>14</v>
      </c>
    </row>
    <row r="1075" spans="1:8" x14ac:dyDescent="0.3">
      <c r="A1075" t="s">
        <v>87</v>
      </c>
      <c r="B1075">
        <v>2016</v>
      </c>
      <c r="C1075" t="s">
        <v>271</v>
      </c>
      <c r="D1075" t="s">
        <v>298</v>
      </c>
      <c r="E1075" t="s">
        <v>65</v>
      </c>
      <c r="F1075">
        <v>2500</v>
      </c>
      <c r="G1075" t="s">
        <v>66</v>
      </c>
      <c r="H1075">
        <v>1</v>
      </c>
    </row>
    <row r="1076" spans="1:8" x14ac:dyDescent="0.3">
      <c r="A1076" t="s">
        <v>88</v>
      </c>
      <c r="B1076">
        <v>2014</v>
      </c>
      <c r="C1076" t="s">
        <v>271</v>
      </c>
      <c r="D1076" t="s">
        <v>298</v>
      </c>
      <c r="E1076" t="s">
        <v>65</v>
      </c>
      <c r="F1076">
        <v>2550</v>
      </c>
      <c r="G1076" t="s">
        <v>66</v>
      </c>
      <c r="H1076">
        <v>4</v>
      </c>
    </row>
    <row r="1077" spans="1:8" x14ac:dyDescent="0.3">
      <c r="A1077" t="s">
        <v>88</v>
      </c>
      <c r="B1077">
        <v>2015</v>
      </c>
      <c r="C1077" t="s">
        <v>271</v>
      </c>
      <c r="D1077" t="s">
        <v>298</v>
      </c>
      <c r="E1077" t="s">
        <v>65</v>
      </c>
      <c r="F1077">
        <v>2550</v>
      </c>
      <c r="G1077" t="s">
        <v>66</v>
      </c>
      <c r="H1077">
        <v>6</v>
      </c>
    </row>
    <row r="1078" spans="1:8" x14ac:dyDescent="0.3">
      <c r="A1078" t="s">
        <v>88</v>
      </c>
      <c r="B1078">
        <v>2016</v>
      </c>
      <c r="C1078" t="s">
        <v>271</v>
      </c>
      <c r="D1078" t="s">
        <v>298</v>
      </c>
      <c r="E1078" t="s">
        <v>65</v>
      </c>
      <c r="F1078">
        <v>2550</v>
      </c>
      <c r="G1078" t="s">
        <v>66</v>
      </c>
      <c r="H1078">
        <v>4</v>
      </c>
    </row>
    <row r="1079" spans="1:8" x14ac:dyDescent="0.3">
      <c r="A1079" t="s">
        <v>88</v>
      </c>
      <c r="B1079">
        <v>2017</v>
      </c>
      <c r="C1079" t="s">
        <v>271</v>
      </c>
      <c r="D1079" t="s">
        <v>298</v>
      </c>
      <c r="E1079" t="s">
        <v>65</v>
      </c>
      <c r="F1079">
        <v>2550</v>
      </c>
      <c r="G1079" t="s">
        <v>66</v>
      </c>
      <c r="H1079">
        <v>2</v>
      </c>
    </row>
    <row r="1080" spans="1:8" x14ac:dyDescent="0.3">
      <c r="A1080" t="s">
        <v>88</v>
      </c>
      <c r="B1080">
        <v>2018</v>
      </c>
      <c r="C1080" t="s">
        <v>271</v>
      </c>
      <c r="D1080" t="s">
        <v>298</v>
      </c>
      <c r="E1080" t="s">
        <v>65</v>
      </c>
      <c r="F1080">
        <v>2550</v>
      </c>
      <c r="G1080" t="s">
        <v>66</v>
      </c>
      <c r="H1080">
        <v>3</v>
      </c>
    </row>
    <row r="1081" spans="1:8" x14ac:dyDescent="0.3">
      <c r="A1081" t="s">
        <v>88</v>
      </c>
      <c r="B1081">
        <v>2019</v>
      </c>
      <c r="C1081" t="s">
        <v>271</v>
      </c>
      <c r="D1081" t="s">
        <v>298</v>
      </c>
      <c r="E1081" t="s">
        <v>65</v>
      </c>
      <c r="F1081">
        <v>2550</v>
      </c>
      <c r="G1081" t="s">
        <v>66</v>
      </c>
      <c r="H1081">
        <v>3</v>
      </c>
    </row>
    <row r="1082" spans="1:8" x14ac:dyDescent="0.3">
      <c r="A1082" t="s">
        <v>88</v>
      </c>
      <c r="B1082">
        <v>2020</v>
      </c>
      <c r="C1082" t="s">
        <v>271</v>
      </c>
      <c r="D1082" t="s">
        <v>298</v>
      </c>
      <c r="E1082" t="s">
        <v>65</v>
      </c>
      <c r="F1082">
        <v>2550</v>
      </c>
      <c r="G1082" t="s">
        <v>66</v>
      </c>
      <c r="H1082">
        <v>1</v>
      </c>
    </row>
    <row r="1083" spans="1:8" x14ac:dyDescent="0.3">
      <c r="A1083" t="s">
        <v>88</v>
      </c>
      <c r="B1083">
        <v>2021</v>
      </c>
      <c r="C1083" t="s">
        <v>271</v>
      </c>
      <c r="D1083" t="s">
        <v>298</v>
      </c>
      <c r="E1083" t="s">
        <v>65</v>
      </c>
      <c r="F1083">
        <v>2550</v>
      </c>
      <c r="G1083" t="s">
        <v>66</v>
      </c>
      <c r="H1083">
        <v>1</v>
      </c>
    </row>
    <row r="1084" spans="1:8" x14ac:dyDescent="0.3">
      <c r="A1084" t="s">
        <v>89</v>
      </c>
      <c r="B1084">
        <v>2015</v>
      </c>
      <c r="C1084" t="s">
        <v>271</v>
      </c>
      <c r="D1084" t="s">
        <v>298</v>
      </c>
      <c r="E1084" t="s">
        <v>65</v>
      </c>
      <c r="F1084">
        <v>3348</v>
      </c>
      <c r="G1084" t="s">
        <v>66</v>
      </c>
      <c r="H1084">
        <v>1</v>
      </c>
    </row>
    <row r="1085" spans="1:8" x14ac:dyDescent="0.3">
      <c r="A1085" t="s">
        <v>90</v>
      </c>
      <c r="B1085">
        <v>2017</v>
      </c>
      <c r="C1085" t="s">
        <v>271</v>
      </c>
      <c r="D1085" t="s">
        <v>298</v>
      </c>
      <c r="E1085" t="s">
        <v>65</v>
      </c>
      <c r="F1085">
        <v>3600</v>
      </c>
      <c r="G1085" t="s">
        <v>66</v>
      </c>
      <c r="H1085">
        <v>1</v>
      </c>
    </row>
    <row r="1086" spans="1:8" x14ac:dyDescent="0.3">
      <c r="A1086" t="s">
        <v>90</v>
      </c>
      <c r="B1086">
        <v>2018</v>
      </c>
      <c r="C1086" t="s">
        <v>271</v>
      </c>
      <c r="D1086" t="s">
        <v>298</v>
      </c>
      <c r="E1086" t="s">
        <v>65</v>
      </c>
      <c r="F1086">
        <v>3600</v>
      </c>
      <c r="G1086" t="s">
        <v>66</v>
      </c>
      <c r="H1086">
        <v>4</v>
      </c>
    </row>
    <row r="1087" spans="1:8" x14ac:dyDescent="0.3">
      <c r="A1087" t="s">
        <v>90</v>
      </c>
      <c r="B1087">
        <v>2019</v>
      </c>
      <c r="C1087" t="s">
        <v>271</v>
      </c>
      <c r="D1087" t="s">
        <v>298</v>
      </c>
      <c r="E1087" t="s">
        <v>65</v>
      </c>
      <c r="F1087">
        <v>3600</v>
      </c>
      <c r="G1087" t="s">
        <v>66</v>
      </c>
      <c r="H1087">
        <v>1</v>
      </c>
    </row>
    <row r="1088" spans="1:8" x14ac:dyDescent="0.3">
      <c r="A1088" t="s">
        <v>91</v>
      </c>
      <c r="B1088">
        <v>2014</v>
      </c>
      <c r="C1088" t="s">
        <v>271</v>
      </c>
      <c r="D1088" t="s">
        <v>298</v>
      </c>
      <c r="E1088" t="s">
        <v>65</v>
      </c>
      <c r="F1088">
        <v>7800</v>
      </c>
      <c r="G1088" t="s">
        <v>66</v>
      </c>
      <c r="H1088">
        <v>1</v>
      </c>
    </row>
    <row r="1089" spans="1:8" x14ac:dyDescent="0.3">
      <c r="A1089" t="s">
        <v>91</v>
      </c>
      <c r="B1089">
        <v>2015</v>
      </c>
      <c r="C1089" t="s">
        <v>271</v>
      </c>
      <c r="D1089" t="s">
        <v>298</v>
      </c>
      <c r="E1089" t="s">
        <v>65</v>
      </c>
      <c r="F1089">
        <v>7800</v>
      </c>
      <c r="G1089" t="s">
        <v>66</v>
      </c>
      <c r="H1089">
        <v>2</v>
      </c>
    </row>
    <row r="1090" spans="1:8" x14ac:dyDescent="0.3">
      <c r="A1090" t="s">
        <v>91</v>
      </c>
      <c r="B1090">
        <v>2016</v>
      </c>
      <c r="C1090" t="s">
        <v>271</v>
      </c>
      <c r="D1090" t="s">
        <v>298</v>
      </c>
      <c r="E1090" t="s">
        <v>65</v>
      </c>
      <c r="F1090">
        <v>7800</v>
      </c>
      <c r="G1090" t="s">
        <v>66</v>
      </c>
      <c r="H1090">
        <v>2</v>
      </c>
    </row>
    <row r="1091" spans="1:8" x14ac:dyDescent="0.3">
      <c r="A1091" t="s">
        <v>91</v>
      </c>
      <c r="B1091">
        <v>2018</v>
      </c>
      <c r="C1091" t="s">
        <v>271</v>
      </c>
      <c r="D1091" t="s">
        <v>298</v>
      </c>
      <c r="E1091" t="s">
        <v>65</v>
      </c>
      <c r="F1091">
        <v>7800</v>
      </c>
      <c r="G1091" t="s">
        <v>66</v>
      </c>
      <c r="H1091">
        <v>1</v>
      </c>
    </row>
    <row r="1092" spans="1:8" x14ac:dyDescent="0.3">
      <c r="A1092" t="s">
        <v>91</v>
      </c>
      <c r="B1092">
        <v>2019</v>
      </c>
      <c r="C1092" t="s">
        <v>271</v>
      </c>
      <c r="D1092" t="s">
        <v>298</v>
      </c>
      <c r="E1092" t="s">
        <v>65</v>
      </c>
      <c r="F1092">
        <v>7800</v>
      </c>
      <c r="G1092" t="s">
        <v>66</v>
      </c>
      <c r="H1092">
        <v>2</v>
      </c>
    </row>
    <row r="1093" spans="1:8" x14ac:dyDescent="0.3">
      <c r="A1093" t="s">
        <v>91</v>
      </c>
      <c r="B1093">
        <v>2020</v>
      </c>
      <c r="C1093" t="s">
        <v>271</v>
      </c>
      <c r="D1093" t="s">
        <v>298</v>
      </c>
      <c r="E1093" t="s">
        <v>65</v>
      </c>
      <c r="F1093">
        <v>7800</v>
      </c>
      <c r="G1093" t="s">
        <v>66</v>
      </c>
      <c r="H1093">
        <v>1</v>
      </c>
    </row>
    <row r="1094" spans="1:8" x14ac:dyDescent="0.3">
      <c r="A1094" t="s">
        <v>92</v>
      </c>
      <c r="B1094">
        <v>2015</v>
      </c>
      <c r="C1094" t="s">
        <v>271</v>
      </c>
      <c r="D1094" t="s">
        <v>298</v>
      </c>
      <c r="E1094" t="s">
        <v>65</v>
      </c>
      <c r="F1094">
        <v>3100</v>
      </c>
      <c r="G1094" t="s">
        <v>66</v>
      </c>
      <c r="H1094">
        <v>1</v>
      </c>
    </row>
    <row r="1095" spans="1:8" x14ac:dyDescent="0.3">
      <c r="A1095" t="s">
        <v>92</v>
      </c>
      <c r="B1095">
        <v>2019</v>
      </c>
      <c r="C1095" t="s">
        <v>271</v>
      </c>
      <c r="D1095" t="s">
        <v>298</v>
      </c>
      <c r="E1095" t="s">
        <v>65</v>
      </c>
      <c r="F1095">
        <v>3100</v>
      </c>
      <c r="G1095" t="s">
        <v>66</v>
      </c>
      <c r="H1095">
        <v>1</v>
      </c>
    </row>
    <row r="1096" spans="1:8" x14ac:dyDescent="0.3">
      <c r="A1096" t="s">
        <v>93</v>
      </c>
      <c r="B1096">
        <v>2016</v>
      </c>
      <c r="C1096" t="s">
        <v>271</v>
      </c>
      <c r="D1096" t="s">
        <v>298</v>
      </c>
      <c r="E1096" t="s">
        <v>65</v>
      </c>
      <c r="F1096">
        <v>12125</v>
      </c>
      <c r="G1096" t="s">
        <v>66</v>
      </c>
      <c r="H1096">
        <v>1</v>
      </c>
    </row>
    <row r="1097" spans="1:8" x14ac:dyDescent="0.3">
      <c r="A1097" t="s">
        <v>190</v>
      </c>
      <c r="B1097">
        <v>2015</v>
      </c>
      <c r="C1097" t="s">
        <v>271</v>
      </c>
      <c r="D1097" t="s">
        <v>298</v>
      </c>
      <c r="E1097" t="s">
        <v>65</v>
      </c>
      <c r="F1097">
        <v>155000</v>
      </c>
      <c r="G1097" t="s">
        <v>83</v>
      </c>
      <c r="H1097">
        <v>3</v>
      </c>
    </row>
    <row r="1098" spans="1:8" x14ac:dyDescent="0.3">
      <c r="A1098" t="s">
        <v>190</v>
      </c>
      <c r="B1098">
        <v>2016</v>
      </c>
      <c r="C1098" t="s">
        <v>271</v>
      </c>
      <c r="D1098" t="s">
        <v>298</v>
      </c>
      <c r="E1098" t="s">
        <v>65</v>
      </c>
      <c r="F1098">
        <v>155000</v>
      </c>
      <c r="G1098" t="s">
        <v>83</v>
      </c>
      <c r="H1098">
        <v>1</v>
      </c>
    </row>
    <row r="1099" spans="1:8" x14ac:dyDescent="0.3">
      <c r="A1099" t="s">
        <v>190</v>
      </c>
      <c r="B1099">
        <v>2017</v>
      </c>
      <c r="C1099" t="s">
        <v>271</v>
      </c>
      <c r="D1099" t="s">
        <v>298</v>
      </c>
      <c r="E1099" t="s">
        <v>65</v>
      </c>
      <c r="F1099">
        <v>155000</v>
      </c>
      <c r="G1099" t="s">
        <v>83</v>
      </c>
      <c r="H1099">
        <v>1</v>
      </c>
    </row>
    <row r="1100" spans="1:8" x14ac:dyDescent="0.3">
      <c r="A1100" t="s">
        <v>96</v>
      </c>
      <c r="B1100">
        <v>2016</v>
      </c>
      <c r="C1100" t="s">
        <v>271</v>
      </c>
      <c r="D1100" t="s">
        <v>298</v>
      </c>
      <c r="E1100" t="s">
        <v>65</v>
      </c>
      <c r="F1100">
        <v>4600</v>
      </c>
      <c r="G1100" t="s">
        <v>66</v>
      </c>
      <c r="H1100">
        <v>1</v>
      </c>
    </row>
    <row r="1101" spans="1:8" x14ac:dyDescent="0.3">
      <c r="A1101" t="s">
        <v>192</v>
      </c>
      <c r="B1101">
        <v>2015</v>
      </c>
      <c r="C1101" t="s">
        <v>271</v>
      </c>
      <c r="D1101" t="s">
        <v>298</v>
      </c>
      <c r="E1101" t="s">
        <v>65</v>
      </c>
      <c r="F1101">
        <v>4850</v>
      </c>
      <c r="G1101" t="s">
        <v>66</v>
      </c>
      <c r="H1101">
        <v>1</v>
      </c>
    </row>
    <row r="1102" spans="1:8" x14ac:dyDescent="0.3">
      <c r="A1102" t="s">
        <v>192</v>
      </c>
      <c r="B1102">
        <v>2016</v>
      </c>
      <c r="C1102" t="s">
        <v>271</v>
      </c>
      <c r="D1102" t="s">
        <v>298</v>
      </c>
      <c r="E1102" t="s">
        <v>65</v>
      </c>
      <c r="F1102">
        <v>4850</v>
      </c>
      <c r="G1102" t="s">
        <v>66</v>
      </c>
      <c r="H1102">
        <v>2</v>
      </c>
    </row>
    <row r="1103" spans="1:8" x14ac:dyDescent="0.3">
      <c r="A1103" t="s">
        <v>97</v>
      </c>
      <c r="B1103">
        <v>2016</v>
      </c>
      <c r="C1103" t="s">
        <v>271</v>
      </c>
      <c r="D1103" t="s">
        <v>298</v>
      </c>
      <c r="E1103" t="s">
        <v>65</v>
      </c>
      <c r="F1103">
        <v>5974</v>
      </c>
      <c r="G1103" t="s">
        <v>66</v>
      </c>
      <c r="H1103">
        <v>1</v>
      </c>
    </row>
    <row r="1104" spans="1:8" x14ac:dyDescent="0.3">
      <c r="A1104" t="s">
        <v>100</v>
      </c>
      <c r="B1104">
        <v>2016</v>
      </c>
      <c r="C1104" t="s">
        <v>271</v>
      </c>
      <c r="D1104" t="s">
        <v>298</v>
      </c>
      <c r="E1104" t="s">
        <v>65</v>
      </c>
      <c r="F1104">
        <v>6750</v>
      </c>
      <c r="G1104" t="s">
        <v>66</v>
      </c>
      <c r="H1104">
        <v>4</v>
      </c>
    </row>
    <row r="1105" spans="1:8" x14ac:dyDescent="0.3">
      <c r="A1105" t="s">
        <v>195</v>
      </c>
      <c r="B1105">
        <v>2016</v>
      </c>
      <c r="C1105" t="s">
        <v>271</v>
      </c>
      <c r="D1105" t="s">
        <v>298</v>
      </c>
      <c r="E1105" t="s">
        <v>65</v>
      </c>
      <c r="F1105">
        <v>13227</v>
      </c>
      <c r="G1105" t="s">
        <v>66</v>
      </c>
      <c r="H1105">
        <v>1</v>
      </c>
    </row>
    <row r="1106" spans="1:8" x14ac:dyDescent="0.3">
      <c r="A1106" t="s">
        <v>103</v>
      </c>
      <c r="B1106">
        <v>2014</v>
      </c>
      <c r="C1106" t="s">
        <v>271</v>
      </c>
      <c r="D1106" t="s">
        <v>298</v>
      </c>
      <c r="E1106" t="s">
        <v>65</v>
      </c>
      <c r="F1106">
        <v>10700</v>
      </c>
      <c r="G1106" t="s">
        <v>66</v>
      </c>
      <c r="H1106">
        <v>1</v>
      </c>
    </row>
    <row r="1107" spans="1:8" x14ac:dyDescent="0.3">
      <c r="A1107" t="s">
        <v>103</v>
      </c>
      <c r="B1107">
        <v>2015</v>
      </c>
      <c r="C1107" t="s">
        <v>271</v>
      </c>
      <c r="D1107" t="s">
        <v>298</v>
      </c>
      <c r="E1107" t="s">
        <v>65</v>
      </c>
      <c r="F1107">
        <v>10700</v>
      </c>
      <c r="G1107" t="s">
        <v>66</v>
      </c>
      <c r="H1107">
        <v>2</v>
      </c>
    </row>
    <row r="1108" spans="1:8" x14ac:dyDescent="0.3">
      <c r="A1108" t="s">
        <v>104</v>
      </c>
      <c r="B1108">
        <v>2014</v>
      </c>
      <c r="C1108" t="s">
        <v>271</v>
      </c>
      <c r="D1108" t="s">
        <v>298</v>
      </c>
      <c r="E1108" t="s">
        <v>65</v>
      </c>
      <c r="F1108">
        <v>14800</v>
      </c>
      <c r="G1108" t="s">
        <v>66</v>
      </c>
      <c r="H1108">
        <v>2</v>
      </c>
    </row>
    <row r="1109" spans="1:8" x14ac:dyDescent="0.3">
      <c r="A1109" t="s">
        <v>104</v>
      </c>
      <c r="B1109">
        <v>2015</v>
      </c>
      <c r="C1109" t="s">
        <v>271</v>
      </c>
      <c r="D1109" t="s">
        <v>298</v>
      </c>
      <c r="E1109" t="s">
        <v>65</v>
      </c>
      <c r="F1109">
        <v>14800</v>
      </c>
      <c r="G1109" t="s">
        <v>66</v>
      </c>
      <c r="H1109">
        <v>2</v>
      </c>
    </row>
    <row r="1110" spans="1:8" x14ac:dyDescent="0.3">
      <c r="A1110" t="s">
        <v>104</v>
      </c>
      <c r="B1110">
        <v>2016</v>
      </c>
      <c r="C1110" t="s">
        <v>271</v>
      </c>
      <c r="D1110" t="s">
        <v>298</v>
      </c>
      <c r="E1110" t="s">
        <v>65</v>
      </c>
      <c r="F1110">
        <v>14800</v>
      </c>
      <c r="G1110" t="s">
        <v>66</v>
      </c>
      <c r="H1110">
        <v>7</v>
      </c>
    </row>
    <row r="1111" spans="1:8" x14ac:dyDescent="0.3">
      <c r="A1111" t="s">
        <v>104</v>
      </c>
      <c r="B1111">
        <v>2017</v>
      </c>
      <c r="C1111" t="s">
        <v>271</v>
      </c>
      <c r="D1111" t="s">
        <v>298</v>
      </c>
      <c r="E1111" t="s">
        <v>65</v>
      </c>
      <c r="F1111">
        <v>14800</v>
      </c>
      <c r="G1111" t="s">
        <v>66</v>
      </c>
      <c r="H1111">
        <v>2</v>
      </c>
    </row>
    <row r="1112" spans="1:8" x14ac:dyDescent="0.3">
      <c r="A1112" t="s">
        <v>104</v>
      </c>
      <c r="B1112">
        <v>2021</v>
      </c>
      <c r="C1112" t="s">
        <v>271</v>
      </c>
      <c r="D1112" t="s">
        <v>298</v>
      </c>
      <c r="E1112" t="s">
        <v>65</v>
      </c>
      <c r="F1112">
        <v>14800</v>
      </c>
      <c r="G1112" t="s">
        <v>66</v>
      </c>
      <c r="H1112">
        <v>1</v>
      </c>
    </row>
    <row r="1113" spans="1:8" x14ac:dyDescent="0.3">
      <c r="A1113" t="s">
        <v>105</v>
      </c>
      <c r="B1113">
        <v>2014</v>
      </c>
      <c r="C1113" t="s">
        <v>271</v>
      </c>
      <c r="D1113" t="s">
        <v>298</v>
      </c>
      <c r="E1113" t="s">
        <v>65</v>
      </c>
      <c r="F1113">
        <v>16300</v>
      </c>
      <c r="G1113" t="s">
        <v>66</v>
      </c>
      <c r="H1113">
        <v>2</v>
      </c>
    </row>
    <row r="1114" spans="1:8" x14ac:dyDescent="0.3">
      <c r="A1114" t="s">
        <v>105</v>
      </c>
      <c r="B1114">
        <v>2015</v>
      </c>
      <c r="C1114" t="s">
        <v>271</v>
      </c>
      <c r="D1114" t="s">
        <v>298</v>
      </c>
      <c r="E1114" t="s">
        <v>65</v>
      </c>
      <c r="F1114">
        <v>16300</v>
      </c>
      <c r="G1114" t="s">
        <v>66</v>
      </c>
      <c r="H1114">
        <v>5</v>
      </c>
    </row>
    <row r="1115" spans="1:8" x14ac:dyDescent="0.3">
      <c r="A1115" t="s">
        <v>105</v>
      </c>
      <c r="B1115">
        <v>2017</v>
      </c>
      <c r="C1115" t="s">
        <v>271</v>
      </c>
      <c r="D1115" t="s">
        <v>298</v>
      </c>
      <c r="E1115" t="s">
        <v>65</v>
      </c>
      <c r="F1115">
        <v>16300</v>
      </c>
      <c r="G1115" t="s">
        <v>66</v>
      </c>
      <c r="H1115">
        <v>1</v>
      </c>
    </row>
    <row r="1116" spans="1:8" x14ac:dyDescent="0.3">
      <c r="A1116" t="s">
        <v>105</v>
      </c>
      <c r="B1116">
        <v>2018</v>
      </c>
      <c r="C1116" t="s">
        <v>271</v>
      </c>
      <c r="D1116" t="s">
        <v>298</v>
      </c>
      <c r="E1116" t="s">
        <v>65</v>
      </c>
      <c r="F1116">
        <v>16300</v>
      </c>
      <c r="G1116" t="s">
        <v>66</v>
      </c>
      <c r="H1116">
        <v>1</v>
      </c>
    </row>
    <row r="1117" spans="1:8" x14ac:dyDescent="0.3">
      <c r="A1117" t="s">
        <v>106</v>
      </c>
      <c r="B1117">
        <v>2015</v>
      </c>
      <c r="C1117" t="s">
        <v>271</v>
      </c>
      <c r="D1117" t="s">
        <v>298</v>
      </c>
      <c r="E1117" t="s">
        <v>65</v>
      </c>
      <c r="F1117">
        <v>15000</v>
      </c>
      <c r="G1117" t="s">
        <v>66</v>
      </c>
      <c r="H1117">
        <v>1</v>
      </c>
    </row>
    <row r="1118" spans="1:8" x14ac:dyDescent="0.3">
      <c r="A1118" t="s">
        <v>198</v>
      </c>
      <c r="B1118">
        <v>2016</v>
      </c>
      <c r="C1118" t="s">
        <v>271</v>
      </c>
      <c r="D1118" t="s">
        <v>298</v>
      </c>
      <c r="E1118" t="s">
        <v>65</v>
      </c>
      <c r="F1118">
        <v>30000</v>
      </c>
      <c r="G1118" t="s">
        <v>72</v>
      </c>
      <c r="H1118">
        <v>1</v>
      </c>
    </row>
    <row r="1119" spans="1:8" x14ac:dyDescent="0.3">
      <c r="A1119" t="s">
        <v>201</v>
      </c>
      <c r="B1119">
        <v>2014</v>
      </c>
      <c r="C1119" t="s">
        <v>271</v>
      </c>
      <c r="D1119" t="s">
        <v>298</v>
      </c>
      <c r="E1119" t="s">
        <v>65</v>
      </c>
      <c r="F1119">
        <v>1300</v>
      </c>
      <c r="G1119" t="s">
        <v>66</v>
      </c>
      <c r="H1119">
        <v>1</v>
      </c>
    </row>
    <row r="1120" spans="1:8" x14ac:dyDescent="0.3">
      <c r="A1120" t="s">
        <v>108</v>
      </c>
      <c r="B1120">
        <v>2020</v>
      </c>
      <c r="C1120" t="s">
        <v>271</v>
      </c>
      <c r="D1120" t="s">
        <v>298</v>
      </c>
      <c r="E1120" t="s">
        <v>65</v>
      </c>
      <c r="F1120">
        <v>37478</v>
      </c>
      <c r="G1120" t="s">
        <v>72</v>
      </c>
      <c r="H1120">
        <v>1</v>
      </c>
    </row>
    <row r="1121" spans="1:8" x14ac:dyDescent="0.3">
      <c r="A1121" t="s">
        <v>203</v>
      </c>
      <c r="B1121">
        <v>2015</v>
      </c>
      <c r="C1121" t="s">
        <v>271</v>
      </c>
      <c r="D1121" t="s">
        <v>298</v>
      </c>
      <c r="E1121" t="s">
        <v>65</v>
      </c>
      <c r="F1121">
        <v>48200</v>
      </c>
      <c r="G1121" t="s">
        <v>72</v>
      </c>
      <c r="H1121">
        <v>1</v>
      </c>
    </row>
    <row r="1122" spans="1:8" x14ac:dyDescent="0.3">
      <c r="A1122" t="s">
        <v>203</v>
      </c>
      <c r="B1122">
        <v>2016</v>
      </c>
      <c r="C1122" t="s">
        <v>271</v>
      </c>
      <c r="D1122" t="s">
        <v>298</v>
      </c>
      <c r="E1122" t="s">
        <v>65</v>
      </c>
      <c r="F1122">
        <v>48200</v>
      </c>
      <c r="G1122" t="s">
        <v>72</v>
      </c>
      <c r="H1122">
        <v>1</v>
      </c>
    </row>
    <row r="1123" spans="1:8" x14ac:dyDescent="0.3">
      <c r="A1123" t="s">
        <v>203</v>
      </c>
      <c r="B1123">
        <v>2017</v>
      </c>
      <c r="C1123" t="s">
        <v>271</v>
      </c>
      <c r="D1123" t="s">
        <v>298</v>
      </c>
      <c r="E1123" t="s">
        <v>65</v>
      </c>
      <c r="F1123">
        <v>48200</v>
      </c>
      <c r="G1123" t="s">
        <v>72</v>
      </c>
      <c r="H1123">
        <v>1</v>
      </c>
    </row>
    <row r="1124" spans="1:8" x14ac:dyDescent="0.3">
      <c r="A1124" t="s">
        <v>294</v>
      </c>
      <c r="B1124">
        <v>2015</v>
      </c>
      <c r="C1124" t="s">
        <v>271</v>
      </c>
      <c r="D1124" t="s">
        <v>298</v>
      </c>
      <c r="E1124" t="s">
        <v>65</v>
      </c>
      <c r="F1124">
        <v>57000</v>
      </c>
      <c r="G1124" t="s">
        <v>72</v>
      </c>
      <c r="H1124">
        <v>3</v>
      </c>
    </row>
    <row r="1125" spans="1:8" x14ac:dyDescent="0.3">
      <c r="A1125" t="s">
        <v>113</v>
      </c>
      <c r="B1125">
        <v>2019</v>
      </c>
      <c r="C1125" t="s">
        <v>271</v>
      </c>
      <c r="D1125" t="s">
        <v>298</v>
      </c>
      <c r="E1125" t="s">
        <v>65</v>
      </c>
      <c r="F1125">
        <v>4407</v>
      </c>
      <c r="G1125" t="s">
        <v>66</v>
      </c>
      <c r="H1125">
        <v>1</v>
      </c>
    </row>
    <row r="1126" spans="1:8" x14ac:dyDescent="0.3">
      <c r="A1126" t="s">
        <v>207</v>
      </c>
      <c r="B1126">
        <v>2014</v>
      </c>
      <c r="C1126" t="s">
        <v>271</v>
      </c>
      <c r="D1126" t="s">
        <v>298</v>
      </c>
      <c r="E1126" t="s">
        <v>65</v>
      </c>
      <c r="F1126">
        <v>430000</v>
      </c>
      <c r="G1126" t="s">
        <v>83</v>
      </c>
      <c r="H1126">
        <v>2</v>
      </c>
    </row>
    <row r="1127" spans="1:8" x14ac:dyDescent="0.3">
      <c r="A1127" t="s">
        <v>207</v>
      </c>
      <c r="B1127">
        <v>2015</v>
      </c>
      <c r="C1127" t="s">
        <v>271</v>
      </c>
      <c r="D1127" t="s">
        <v>298</v>
      </c>
      <c r="E1127" t="s">
        <v>65</v>
      </c>
      <c r="F1127">
        <v>430000</v>
      </c>
      <c r="G1127" t="s">
        <v>83</v>
      </c>
      <c r="H1127">
        <v>2</v>
      </c>
    </row>
    <row r="1128" spans="1:8" x14ac:dyDescent="0.3">
      <c r="A1128" t="s">
        <v>114</v>
      </c>
      <c r="B1128">
        <v>2016</v>
      </c>
      <c r="C1128" t="s">
        <v>271</v>
      </c>
      <c r="D1128" t="s">
        <v>298</v>
      </c>
      <c r="E1128" t="s">
        <v>65</v>
      </c>
      <c r="F1128">
        <v>12500</v>
      </c>
      <c r="G1128" t="s">
        <v>66</v>
      </c>
      <c r="H1128">
        <v>1</v>
      </c>
    </row>
    <row r="1129" spans="1:8" x14ac:dyDescent="0.3">
      <c r="A1129" t="s">
        <v>212</v>
      </c>
      <c r="B1129">
        <v>2015</v>
      </c>
      <c r="C1129" t="s">
        <v>271</v>
      </c>
      <c r="D1129" t="s">
        <v>298</v>
      </c>
      <c r="E1129" t="s">
        <v>65</v>
      </c>
      <c r="F1129">
        <v>25353</v>
      </c>
      <c r="G1129" t="s">
        <v>72</v>
      </c>
      <c r="H1129">
        <v>1</v>
      </c>
    </row>
    <row r="1130" spans="1:8" x14ac:dyDescent="0.3">
      <c r="A1130" t="s">
        <v>116</v>
      </c>
      <c r="B1130">
        <v>2015</v>
      </c>
      <c r="C1130" t="s">
        <v>271</v>
      </c>
      <c r="D1130" t="s">
        <v>298</v>
      </c>
      <c r="E1130" t="s">
        <v>65</v>
      </c>
      <c r="F1130">
        <v>10471</v>
      </c>
      <c r="G1130" t="s">
        <v>66</v>
      </c>
      <c r="H1130">
        <v>1</v>
      </c>
    </row>
    <row r="1131" spans="1:8" x14ac:dyDescent="0.3">
      <c r="A1131" t="s">
        <v>218</v>
      </c>
      <c r="B1131">
        <v>2014</v>
      </c>
      <c r="C1131" t="s">
        <v>271</v>
      </c>
      <c r="D1131" t="s">
        <v>298</v>
      </c>
      <c r="E1131" t="s">
        <v>65</v>
      </c>
      <c r="F1131">
        <v>17528</v>
      </c>
      <c r="G1131" t="s">
        <v>66</v>
      </c>
      <c r="H1131">
        <v>1</v>
      </c>
    </row>
    <row r="1132" spans="1:8" x14ac:dyDescent="0.3">
      <c r="A1132" t="s">
        <v>218</v>
      </c>
      <c r="B1132">
        <v>2016</v>
      </c>
      <c r="C1132" t="s">
        <v>271</v>
      </c>
      <c r="D1132" t="s">
        <v>298</v>
      </c>
      <c r="E1132" t="s">
        <v>65</v>
      </c>
      <c r="F1132">
        <v>17528</v>
      </c>
      <c r="G1132" t="s">
        <v>66</v>
      </c>
      <c r="H1132">
        <v>2</v>
      </c>
    </row>
    <row r="1133" spans="1:8" x14ac:dyDescent="0.3">
      <c r="A1133" t="s">
        <v>296</v>
      </c>
      <c r="B1133">
        <v>2019</v>
      </c>
      <c r="C1133" t="s">
        <v>271</v>
      </c>
      <c r="D1133" t="s">
        <v>298</v>
      </c>
      <c r="E1133" t="s">
        <v>65</v>
      </c>
      <c r="F1133">
        <v>68000</v>
      </c>
      <c r="G1133" t="s">
        <v>66</v>
      </c>
      <c r="H1133">
        <v>1</v>
      </c>
    </row>
    <row r="1134" spans="1:8" x14ac:dyDescent="0.3">
      <c r="A1134" t="s">
        <v>118</v>
      </c>
      <c r="B1134">
        <v>2015</v>
      </c>
      <c r="C1134" t="s">
        <v>271</v>
      </c>
      <c r="D1134" t="s">
        <v>298</v>
      </c>
      <c r="E1134" t="s">
        <v>65</v>
      </c>
      <c r="F1134">
        <v>3306</v>
      </c>
      <c r="G1134" t="s">
        <v>66</v>
      </c>
      <c r="H1134">
        <v>1</v>
      </c>
    </row>
    <row r="1135" spans="1:8" x14ac:dyDescent="0.3">
      <c r="A1135" t="s">
        <v>222</v>
      </c>
      <c r="B1135">
        <v>2014</v>
      </c>
      <c r="C1135" t="s">
        <v>271</v>
      </c>
      <c r="D1135" t="s">
        <v>298</v>
      </c>
      <c r="E1135" t="s">
        <v>65</v>
      </c>
      <c r="F1135">
        <v>51900</v>
      </c>
      <c r="G1135" t="s">
        <v>66</v>
      </c>
      <c r="H1135">
        <v>5</v>
      </c>
    </row>
    <row r="1136" spans="1:8" x14ac:dyDescent="0.3">
      <c r="A1136" t="s">
        <v>222</v>
      </c>
      <c r="B1136">
        <v>2015</v>
      </c>
      <c r="C1136" t="s">
        <v>271</v>
      </c>
      <c r="D1136" t="s">
        <v>298</v>
      </c>
      <c r="E1136" t="s">
        <v>65</v>
      </c>
      <c r="F1136">
        <v>51900</v>
      </c>
      <c r="G1136" t="s">
        <v>66</v>
      </c>
      <c r="H1136">
        <v>9</v>
      </c>
    </row>
    <row r="1137" spans="1:8" x14ac:dyDescent="0.3">
      <c r="A1137" t="s">
        <v>222</v>
      </c>
      <c r="B1137">
        <v>2016</v>
      </c>
      <c r="C1137" t="s">
        <v>271</v>
      </c>
      <c r="D1137" t="s">
        <v>298</v>
      </c>
      <c r="E1137" t="s">
        <v>65</v>
      </c>
      <c r="F1137">
        <v>51900</v>
      </c>
      <c r="G1137" t="s">
        <v>66</v>
      </c>
      <c r="H1137">
        <v>3</v>
      </c>
    </row>
    <row r="1138" spans="1:8" x14ac:dyDescent="0.3">
      <c r="A1138" t="s">
        <v>223</v>
      </c>
      <c r="B1138">
        <v>2016</v>
      </c>
      <c r="C1138" t="s">
        <v>271</v>
      </c>
      <c r="D1138" t="s">
        <v>298</v>
      </c>
      <c r="E1138" t="s">
        <v>65</v>
      </c>
      <c r="F1138">
        <v>55997</v>
      </c>
      <c r="G1138" t="s">
        <v>66</v>
      </c>
      <c r="H1138">
        <v>5</v>
      </c>
    </row>
    <row r="1139" spans="1:8" x14ac:dyDescent="0.3">
      <c r="A1139" t="s">
        <v>223</v>
      </c>
      <c r="B1139">
        <v>2017</v>
      </c>
      <c r="C1139" t="s">
        <v>271</v>
      </c>
      <c r="D1139" t="s">
        <v>298</v>
      </c>
      <c r="E1139" t="s">
        <v>65</v>
      </c>
      <c r="F1139">
        <v>55997</v>
      </c>
      <c r="G1139" t="s">
        <v>66</v>
      </c>
      <c r="H1139">
        <v>20</v>
      </c>
    </row>
    <row r="1140" spans="1:8" x14ac:dyDescent="0.3">
      <c r="A1140" t="s">
        <v>223</v>
      </c>
      <c r="B1140">
        <v>2018</v>
      </c>
      <c r="C1140" t="s">
        <v>271</v>
      </c>
      <c r="D1140" t="s">
        <v>298</v>
      </c>
      <c r="E1140" t="s">
        <v>65</v>
      </c>
      <c r="F1140">
        <v>55997</v>
      </c>
      <c r="G1140" t="s">
        <v>66</v>
      </c>
      <c r="H1140">
        <v>4</v>
      </c>
    </row>
    <row r="1141" spans="1:8" x14ac:dyDescent="0.3">
      <c r="A1141" t="s">
        <v>223</v>
      </c>
      <c r="B1141">
        <v>2019</v>
      </c>
      <c r="C1141" t="s">
        <v>271</v>
      </c>
      <c r="D1141" t="s">
        <v>298</v>
      </c>
      <c r="E1141" t="s">
        <v>65</v>
      </c>
      <c r="F1141">
        <v>55997</v>
      </c>
      <c r="G1141" t="s">
        <v>66</v>
      </c>
      <c r="H1141">
        <v>13</v>
      </c>
    </row>
    <row r="1142" spans="1:8" x14ac:dyDescent="0.3">
      <c r="A1142" t="s">
        <v>223</v>
      </c>
      <c r="B1142">
        <v>2020</v>
      </c>
      <c r="C1142" t="s">
        <v>271</v>
      </c>
      <c r="D1142" t="s">
        <v>298</v>
      </c>
      <c r="E1142" t="s">
        <v>65</v>
      </c>
      <c r="F1142">
        <v>55997</v>
      </c>
      <c r="G1142" t="s">
        <v>66</v>
      </c>
      <c r="H1142">
        <v>12</v>
      </c>
    </row>
    <row r="1143" spans="1:8" x14ac:dyDescent="0.3">
      <c r="A1143" t="s">
        <v>223</v>
      </c>
      <c r="B1143">
        <v>2021</v>
      </c>
      <c r="C1143" t="s">
        <v>271</v>
      </c>
      <c r="D1143" t="s">
        <v>298</v>
      </c>
      <c r="E1143" t="s">
        <v>65</v>
      </c>
      <c r="F1143">
        <v>55997</v>
      </c>
      <c r="G1143" t="s">
        <v>66</v>
      </c>
      <c r="H1143">
        <v>6</v>
      </c>
    </row>
    <row r="1144" spans="1:8" x14ac:dyDescent="0.3">
      <c r="A1144" t="s">
        <v>224</v>
      </c>
      <c r="B1144">
        <v>2014</v>
      </c>
      <c r="C1144" t="s">
        <v>271</v>
      </c>
      <c r="D1144" t="s">
        <v>298</v>
      </c>
      <c r="E1144" t="s">
        <v>65</v>
      </c>
      <c r="F1144">
        <v>45503</v>
      </c>
      <c r="G1144" t="s">
        <v>72</v>
      </c>
      <c r="H1144">
        <v>1</v>
      </c>
    </row>
    <row r="1145" spans="1:8" x14ac:dyDescent="0.3">
      <c r="A1145" t="s">
        <v>225</v>
      </c>
      <c r="B1145">
        <v>2019</v>
      </c>
      <c r="C1145" t="s">
        <v>271</v>
      </c>
      <c r="D1145" t="s">
        <v>298</v>
      </c>
      <c r="E1145" t="s">
        <v>65</v>
      </c>
      <c r="F1145">
        <v>30325</v>
      </c>
      <c r="G1145" t="s">
        <v>72</v>
      </c>
      <c r="H1145">
        <v>1</v>
      </c>
    </row>
    <row r="1146" spans="1:8" x14ac:dyDescent="0.3">
      <c r="A1146" t="s">
        <v>230</v>
      </c>
      <c r="B1146">
        <v>2015</v>
      </c>
      <c r="C1146" t="s">
        <v>271</v>
      </c>
      <c r="D1146" t="s">
        <v>298</v>
      </c>
      <c r="E1146" t="s">
        <v>65</v>
      </c>
      <c r="F1146">
        <v>33289</v>
      </c>
      <c r="G1146" t="s">
        <v>72</v>
      </c>
      <c r="H1146">
        <v>1</v>
      </c>
    </row>
    <row r="1147" spans="1:8" x14ac:dyDescent="0.3">
      <c r="A1147" t="s">
        <v>120</v>
      </c>
      <c r="B1147">
        <v>2017</v>
      </c>
      <c r="C1147" t="s">
        <v>271</v>
      </c>
      <c r="D1147" t="s">
        <v>298</v>
      </c>
      <c r="E1147" t="s">
        <v>65</v>
      </c>
      <c r="F1147">
        <v>28000</v>
      </c>
      <c r="G1147" t="s">
        <v>72</v>
      </c>
      <c r="H1147">
        <v>1</v>
      </c>
    </row>
    <row r="1148" spans="1:8" x14ac:dyDescent="0.3">
      <c r="A1148" t="s">
        <v>238</v>
      </c>
      <c r="B1148">
        <v>2014</v>
      </c>
      <c r="C1148" t="s">
        <v>271</v>
      </c>
      <c r="D1148" t="s">
        <v>298</v>
      </c>
      <c r="E1148" t="s">
        <v>65</v>
      </c>
      <c r="F1148">
        <v>322500</v>
      </c>
      <c r="G1148" t="s">
        <v>83</v>
      </c>
      <c r="H1148">
        <v>1</v>
      </c>
    </row>
    <row r="1149" spans="1:8" x14ac:dyDescent="0.3">
      <c r="A1149" t="s">
        <v>238</v>
      </c>
      <c r="B1149">
        <v>2016</v>
      </c>
      <c r="C1149" t="s">
        <v>271</v>
      </c>
      <c r="D1149" t="s">
        <v>298</v>
      </c>
      <c r="E1149" t="s">
        <v>65</v>
      </c>
      <c r="F1149">
        <v>322500</v>
      </c>
      <c r="G1149" t="s">
        <v>83</v>
      </c>
      <c r="H1149">
        <v>1</v>
      </c>
    </row>
    <row r="1150" spans="1:8" x14ac:dyDescent="0.3">
      <c r="A1150" t="s">
        <v>238</v>
      </c>
      <c r="B1150">
        <v>2019</v>
      </c>
      <c r="C1150" t="s">
        <v>271</v>
      </c>
      <c r="D1150" t="s">
        <v>298</v>
      </c>
      <c r="E1150" t="s">
        <v>65</v>
      </c>
      <c r="F1150">
        <v>322500</v>
      </c>
      <c r="G1150" t="s">
        <v>83</v>
      </c>
      <c r="H1150">
        <v>1</v>
      </c>
    </row>
    <row r="1151" spans="1:8" x14ac:dyDescent="0.3">
      <c r="A1151" t="s">
        <v>238</v>
      </c>
      <c r="B1151">
        <v>2021</v>
      </c>
      <c r="C1151" t="s">
        <v>271</v>
      </c>
      <c r="D1151" t="s">
        <v>298</v>
      </c>
      <c r="E1151" t="s">
        <v>65</v>
      </c>
      <c r="F1151">
        <v>322500</v>
      </c>
      <c r="G1151" t="s">
        <v>83</v>
      </c>
      <c r="H1151">
        <v>1</v>
      </c>
    </row>
    <row r="1152" spans="1:8" x14ac:dyDescent="0.3">
      <c r="A1152" t="s">
        <v>241</v>
      </c>
      <c r="B1152">
        <v>2015</v>
      </c>
      <c r="C1152" t="s">
        <v>271</v>
      </c>
      <c r="D1152" t="s">
        <v>298</v>
      </c>
      <c r="E1152" t="s">
        <v>65</v>
      </c>
      <c r="F1152">
        <v>17698</v>
      </c>
      <c r="G1152" t="s">
        <v>72</v>
      </c>
      <c r="H1152">
        <v>1</v>
      </c>
    </row>
    <row r="1153" spans="1:8" x14ac:dyDescent="0.3">
      <c r="A1153" t="s">
        <v>241</v>
      </c>
      <c r="B1153">
        <v>2016</v>
      </c>
      <c r="C1153" t="s">
        <v>271</v>
      </c>
      <c r="D1153" t="s">
        <v>298</v>
      </c>
      <c r="E1153" t="s">
        <v>65</v>
      </c>
      <c r="F1153">
        <v>17698</v>
      </c>
      <c r="G1153" t="s">
        <v>72</v>
      </c>
      <c r="H1153">
        <v>1</v>
      </c>
    </row>
    <row r="1154" spans="1:8" x14ac:dyDescent="0.3">
      <c r="A1154" t="s">
        <v>242</v>
      </c>
      <c r="B1154">
        <v>2015</v>
      </c>
      <c r="C1154" t="s">
        <v>271</v>
      </c>
      <c r="D1154" t="s">
        <v>298</v>
      </c>
      <c r="E1154" t="s">
        <v>65</v>
      </c>
      <c r="F1154">
        <v>18000</v>
      </c>
      <c r="G1154" t="s">
        <v>72</v>
      </c>
      <c r="H1154">
        <v>1</v>
      </c>
    </row>
    <row r="1155" spans="1:8" x14ac:dyDescent="0.3">
      <c r="A1155" t="s">
        <v>121</v>
      </c>
      <c r="B1155">
        <v>2016</v>
      </c>
      <c r="C1155" t="s">
        <v>271</v>
      </c>
      <c r="D1155" t="s">
        <v>298</v>
      </c>
      <c r="E1155" t="s">
        <v>65</v>
      </c>
      <c r="F1155">
        <v>21500</v>
      </c>
      <c r="G1155" t="s">
        <v>72</v>
      </c>
      <c r="H1155">
        <v>1</v>
      </c>
    </row>
    <row r="1156" spans="1:8" x14ac:dyDescent="0.3">
      <c r="A1156" t="s">
        <v>121</v>
      </c>
      <c r="B1156">
        <v>2017</v>
      </c>
      <c r="C1156" t="s">
        <v>271</v>
      </c>
      <c r="D1156" t="s">
        <v>298</v>
      </c>
      <c r="E1156" t="s">
        <v>65</v>
      </c>
      <c r="F1156">
        <v>21500</v>
      </c>
      <c r="G1156" t="s">
        <v>72</v>
      </c>
      <c r="H1156">
        <v>2</v>
      </c>
    </row>
    <row r="1157" spans="1:8" x14ac:dyDescent="0.3">
      <c r="A1157" t="s">
        <v>243</v>
      </c>
      <c r="B1157">
        <v>2016</v>
      </c>
      <c r="C1157" t="s">
        <v>271</v>
      </c>
      <c r="D1157" t="s">
        <v>298</v>
      </c>
      <c r="E1157" t="s">
        <v>65</v>
      </c>
      <c r="F1157">
        <v>23500</v>
      </c>
      <c r="G1157" t="s">
        <v>72</v>
      </c>
      <c r="H1157">
        <v>3</v>
      </c>
    </row>
    <row r="1158" spans="1:8" x14ac:dyDescent="0.3">
      <c r="A1158" t="s">
        <v>123</v>
      </c>
      <c r="B1158">
        <v>2014</v>
      </c>
      <c r="C1158" t="s">
        <v>271</v>
      </c>
      <c r="D1158" t="s">
        <v>298</v>
      </c>
      <c r="E1158" t="s">
        <v>65</v>
      </c>
      <c r="F1158">
        <v>2579</v>
      </c>
      <c r="G1158" t="s">
        <v>66</v>
      </c>
      <c r="H1158">
        <v>1</v>
      </c>
    </row>
    <row r="1159" spans="1:8" x14ac:dyDescent="0.3">
      <c r="A1159" t="s">
        <v>123</v>
      </c>
      <c r="B1159">
        <v>2015</v>
      </c>
      <c r="C1159" t="s">
        <v>271</v>
      </c>
      <c r="D1159" t="s">
        <v>298</v>
      </c>
      <c r="E1159" t="s">
        <v>65</v>
      </c>
      <c r="F1159">
        <v>2579</v>
      </c>
      <c r="G1159" t="s">
        <v>66</v>
      </c>
      <c r="H1159">
        <v>1</v>
      </c>
    </row>
    <row r="1160" spans="1:8" x14ac:dyDescent="0.3">
      <c r="A1160" t="s">
        <v>123</v>
      </c>
      <c r="B1160">
        <v>2016</v>
      </c>
      <c r="C1160" t="s">
        <v>271</v>
      </c>
      <c r="D1160" t="s">
        <v>298</v>
      </c>
      <c r="E1160" t="s">
        <v>65</v>
      </c>
      <c r="F1160">
        <v>2579</v>
      </c>
      <c r="G1160" t="s">
        <v>66</v>
      </c>
      <c r="H1160">
        <v>2</v>
      </c>
    </row>
    <row r="1161" spans="1:8" x14ac:dyDescent="0.3">
      <c r="A1161" t="s">
        <v>123</v>
      </c>
      <c r="B1161">
        <v>2018</v>
      </c>
      <c r="C1161" t="s">
        <v>271</v>
      </c>
      <c r="D1161" t="s">
        <v>298</v>
      </c>
      <c r="E1161" t="s">
        <v>65</v>
      </c>
      <c r="F1161">
        <v>2579</v>
      </c>
      <c r="G1161" t="s">
        <v>66</v>
      </c>
      <c r="H1161">
        <v>1</v>
      </c>
    </row>
    <row r="1162" spans="1:8" x14ac:dyDescent="0.3">
      <c r="A1162" t="s">
        <v>123</v>
      </c>
      <c r="B1162">
        <v>2021</v>
      </c>
      <c r="C1162" t="s">
        <v>271</v>
      </c>
      <c r="D1162" t="s">
        <v>298</v>
      </c>
      <c r="E1162" t="s">
        <v>65</v>
      </c>
      <c r="F1162">
        <v>2579</v>
      </c>
      <c r="G1162" t="s">
        <v>66</v>
      </c>
      <c r="H1162">
        <v>1</v>
      </c>
    </row>
    <row r="1163" spans="1:8" x14ac:dyDescent="0.3">
      <c r="A1163" t="s">
        <v>124</v>
      </c>
      <c r="B1163">
        <v>2016</v>
      </c>
      <c r="C1163" t="s">
        <v>271</v>
      </c>
      <c r="D1163" t="s">
        <v>298</v>
      </c>
      <c r="E1163" t="s">
        <v>65</v>
      </c>
      <c r="F1163">
        <v>12500</v>
      </c>
      <c r="G1163" t="s">
        <v>66</v>
      </c>
      <c r="H1163">
        <v>1</v>
      </c>
    </row>
    <row r="1164" spans="1:8" x14ac:dyDescent="0.3">
      <c r="A1164" t="s">
        <v>248</v>
      </c>
      <c r="B1164">
        <v>2014</v>
      </c>
      <c r="C1164" t="s">
        <v>271</v>
      </c>
      <c r="D1164" t="s">
        <v>298</v>
      </c>
      <c r="E1164" t="s">
        <v>65</v>
      </c>
      <c r="F1164">
        <v>11799</v>
      </c>
      <c r="G1164" t="s">
        <v>66</v>
      </c>
      <c r="H1164">
        <v>1</v>
      </c>
    </row>
    <row r="1165" spans="1:8" x14ac:dyDescent="0.3">
      <c r="A1165" t="s">
        <v>248</v>
      </c>
      <c r="B1165">
        <v>2015</v>
      </c>
      <c r="C1165" t="s">
        <v>271</v>
      </c>
      <c r="D1165" t="s">
        <v>298</v>
      </c>
      <c r="E1165" t="s">
        <v>65</v>
      </c>
      <c r="F1165">
        <v>11799</v>
      </c>
      <c r="G1165" t="s">
        <v>66</v>
      </c>
      <c r="H1165">
        <v>2</v>
      </c>
    </row>
    <row r="1166" spans="1:8" x14ac:dyDescent="0.3">
      <c r="A1166" t="s">
        <v>248</v>
      </c>
      <c r="B1166">
        <v>2017</v>
      </c>
      <c r="C1166" t="s">
        <v>271</v>
      </c>
      <c r="D1166" t="s">
        <v>298</v>
      </c>
      <c r="E1166" t="s">
        <v>65</v>
      </c>
      <c r="F1166">
        <v>11799</v>
      </c>
      <c r="G1166" t="s">
        <v>66</v>
      </c>
      <c r="H1166">
        <v>1</v>
      </c>
    </row>
    <row r="1167" spans="1:8" x14ac:dyDescent="0.3">
      <c r="A1167" t="s">
        <v>297</v>
      </c>
      <c r="B1167">
        <v>2018</v>
      </c>
      <c r="C1167" t="s">
        <v>271</v>
      </c>
      <c r="D1167" t="s">
        <v>298</v>
      </c>
      <c r="E1167" t="s">
        <v>65</v>
      </c>
      <c r="F1167">
        <v>85980</v>
      </c>
      <c r="G1167" t="s">
        <v>72</v>
      </c>
      <c r="H1167">
        <v>6</v>
      </c>
    </row>
    <row r="1168" spans="1:8" x14ac:dyDescent="0.3">
      <c r="A1168" t="s">
        <v>297</v>
      </c>
      <c r="B1168">
        <v>2019</v>
      </c>
      <c r="C1168" t="s">
        <v>271</v>
      </c>
      <c r="D1168" t="s">
        <v>298</v>
      </c>
      <c r="E1168" t="s">
        <v>65</v>
      </c>
      <c r="F1168">
        <v>85980</v>
      </c>
      <c r="G1168" t="s">
        <v>72</v>
      </c>
      <c r="H1168">
        <v>2</v>
      </c>
    </row>
    <row r="1169" spans="1:8" x14ac:dyDescent="0.3">
      <c r="A1169" t="s">
        <v>125</v>
      </c>
      <c r="B1169">
        <v>2017</v>
      </c>
      <c r="C1169" t="s">
        <v>271</v>
      </c>
      <c r="D1169" t="s">
        <v>298</v>
      </c>
      <c r="E1169" t="s">
        <v>65</v>
      </c>
      <c r="F1169">
        <v>12100</v>
      </c>
      <c r="G1169" t="s">
        <v>66</v>
      </c>
      <c r="H1169">
        <v>1</v>
      </c>
    </row>
    <row r="1170" spans="1:8" x14ac:dyDescent="0.3">
      <c r="A1170" t="s">
        <v>126</v>
      </c>
      <c r="B1170">
        <v>2015</v>
      </c>
      <c r="C1170" t="s">
        <v>271</v>
      </c>
      <c r="D1170" t="s">
        <v>298</v>
      </c>
      <c r="E1170" t="s">
        <v>65</v>
      </c>
      <c r="F1170">
        <v>2548</v>
      </c>
      <c r="G1170" t="s">
        <v>66</v>
      </c>
      <c r="H1170">
        <v>3</v>
      </c>
    </row>
    <row r="1171" spans="1:8" x14ac:dyDescent="0.3">
      <c r="A1171" t="s">
        <v>126</v>
      </c>
      <c r="B1171">
        <v>2016</v>
      </c>
      <c r="C1171" t="s">
        <v>271</v>
      </c>
      <c r="D1171" t="s">
        <v>298</v>
      </c>
      <c r="E1171" t="s">
        <v>65</v>
      </c>
      <c r="F1171">
        <v>2548</v>
      </c>
      <c r="G1171" t="s">
        <v>66</v>
      </c>
      <c r="H1171">
        <v>1</v>
      </c>
    </row>
    <row r="1172" spans="1:8" x14ac:dyDescent="0.3">
      <c r="A1172" t="s">
        <v>126</v>
      </c>
      <c r="B1172">
        <v>2017</v>
      </c>
      <c r="C1172" t="s">
        <v>271</v>
      </c>
      <c r="D1172" t="s">
        <v>298</v>
      </c>
      <c r="E1172" t="s">
        <v>65</v>
      </c>
      <c r="F1172">
        <v>2548</v>
      </c>
      <c r="G1172" t="s">
        <v>66</v>
      </c>
      <c r="H1172">
        <v>14</v>
      </c>
    </row>
    <row r="1173" spans="1:8" x14ac:dyDescent="0.3">
      <c r="A1173" t="s">
        <v>126</v>
      </c>
      <c r="B1173">
        <v>2018</v>
      </c>
      <c r="C1173" t="s">
        <v>271</v>
      </c>
      <c r="D1173" t="s">
        <v>298</v>
      </c>
      <c r="E1173" t="s">
        <v>65</v>
      </c>
      <c r="F1173">
        <v>2548</v>
      </c>
      <c r="G1173" t="s">
        <v>66</v>
      </c>
      <c r="H1173">
        <v>34</v>
      </c>
    </row>
    <row r="1174" spans="1:8" x14ac:dyDescent="0.3">
      <c r="A1174" t="s">
        <v>126</v>
      </c>
      <c r="B1174">
        <v>2019</v>
      </c>
      <c r="C1174" t="s">
        <v>271</v>
      </c>
      <c r="D1174" t="s">
        <v>298</v>
      </c>
      <c r="E1174" t="s">
        <v>65</v>
      </c>
      <c r="F1174">
        <v>2548</v>
      </c>
      <c r="G1174" t="s">
        <v>66</v>
      </c>
      <c r="H1174">
        <v>21</v>
      </c>
    </row>
    <row r="1175" spans="1:8" x14ac:dyDescent="0.3">
      <c r="A1175" t="s">
        <v>126</v>
      </c>
      <c r="B1175">
        <v>2020</v>
      </c>
      <c r="C1175" t="s">
        <v>271</v>
      </c>
      <c r="D1175" t="s">
        <v>298</v>
      </c>
      <c r="E1175" t="s">
        <v>65</v>
      </c>
      <c r="F1175">
        <v>2548</v>
      </c>
      <c r="G1175" t="s">
        <v>66</v>
      </c>
      <c r="H1175">
        <v>14</v>
      </c>
    </row>
    <row r="1176" spans="1:8" x14ac:dyDescent="0.3">
      <c r="A1176" t="s">
        <v>126</v>
      </c>
      <c r="B1176">
        <v>2021</v>
      </c>
      <c r="C1176" t="s">
        <v>271</v>
      </c>
      <c r="D1176" t="s">
        <v>298</v>
      </c>
      <c r="E1176" t="s">
        <v>65</v>
      </c>
      <c r="F1176">
        <v>2548</v>
      </c>
      <c r="G1176" t="s">
        <v>66</v>
      </c>
      <c r="H1176">
        <v>12</v>
      </c>
    </row>
    <row r="1177" spans="1:8" x14ac:dyDescent="0.3">
      <c r="A1177" t="s">
        <v>128</v>
      </c>
      <c r="B1177">
        <v>2015</v>
      </c>
      <c r="C1177" t="s">
        <v>271</v>
      </c>
      <c r="D1177" t="s">
        <v>298</v>
      </c>
      <c r="E1177" t="s">
        <v>65</v>
      </c>
      <c r="F1177">
        <v>2866</v>
      </c>
      <c r="G1177" t="s">
        <v>66</v>
      </c>
      <c r="H1177">
        <v>1</v>
      </c>
    </row>
    <row r="1178" spans="1:8" x14ac:dyDescent="0.3">
      <c r="A1178" t="s">
        <v>128</v>
      </c>
      <c r="B1178">
        <v>2017</v>
      </c>
      <c r="C1178" t="s">
        <v>271</v>
      </c>
      <c r="D1178" t="s">
        <v>298</v>
      </c>
      <c r="E1178" t="s">
        <v>65</v>
      </c>
      <c r="F1178">
        <v>2866</v>
      </c>
      <c r="G1178" t="s">
        <v>66</v>
      </c>
      <c r="H1178">
        <v>2</v>
      </c>
    </row>
    <row r="1179" spans="1:8" x14ac:dyDescent="0.3">
      <c r="A1179" t="s">
        <v>128</v>
      </c>
      <c r="B1179">
        <v>2018</v>
      </c>
      <c r="C1179" t="s">
        <v>271</v>
      </c>
      <c r="D1179" t="s">
        <v>298</v>
      </c>
      <c r="E1179" t="s">
        <v>65</v>
      </c>
      <c r="F1179">
        <v>2866</v>
      </c>
      <c r="G1179" t="s">
        <v>66</v>
      </c>
      <c r="H1179">
        <v>1</v>
      </c>
    </row>
    <row r="1180" spans="1:8" x14ac:dyDescent="0.3">
      <c r="A1180" t="s">
        <v>250</v>
      </c>
      <c r="B1180">
        <v>2014</v>
      </c>
      <c r="C1180" t="s">
        <v>271</v>
      </c>
      <c r="D1180" t="s">
        <v>298</v>
      </c>
      <c r="E1180" t="s">
        <v>65</v>
      </c>
      <c r="F1180">
        <v>135000</v>
      </c>
      <c r="G1180" t="s">
        <v>72</v>
      </c>
      <c r="H1180">
        <v>9</v>
      </c>
    </row>
    <row r="1181" spans="1:8" x14ac:dyDescent="0.3">
      <c r="A1181" t="s">
        <v>250</v>
      </c>
      <c r="B1181">
        <v>2015</v>
      </c>
      <c r="C1181" t="s">
        <v>271</v>
      </c>
      <c r="D1181" t="s">
        <v>298</v>
      </c>
      <c r="E1181" t="s">
        <v>65</v>
      </c>
      <c r="F1181">
        <v>135000</v>
      </c>
      <c r="G1181" t="s">
        <v>72</v>
      </c>
      <c r="H1181">
        <v>20</v>
      </c>
    </row>
    <row r="1182" spans="1:8" x14ac:dyDescent="0.3">
      <c r="A1182" t="s">
        <v>250</v>
      </c>
      <c r="B1182">
        <v>2016</v>
      </c>
      <c r="C1182" t="s">
        <v>271</v>
      </c>
      <c r="D1182" t="s">
        <v>298</v>
      </c>
      <c r="E1182" t="s">
        <v>65</v>
      </c>
      <c r="F1182">
        <v>135000</v>
      </c>
      <c r="G1182" t="s">
        <v>72</v>
      </c>
      <c r="H1182">
        <v>12</v>
      </c>
    </row>
    <row r="1183" spans="1:8" x14ac:dyDescent="0.3">
      <c r="A1183" t="s">
        <v>250</v>
      </c>
      <c r="B1183">
        <v>2017</v>
      </c>
      <c r="C1183" t="s">
        <v>271</v>
      </c>
      <c r="D1183" t="s">
        <v>298</v>
      </c>
      <c r="E1183" t="s">
        <v>65</v>
      </c>
      <c r="F1183">
        <v>135000</v>
      </c>
      <c r="G1183" t="s">
        <v>72</v>
      </c>
      <c r="H1183">
        <v>14</v>
      </c>
    </row>
    <row r="1184" spans="1:8" x14ac:dyDescent="0.3">
      <c r="A1184" t="s">
        <v>250</v>
      </c>
      <c r="B1184">
        <v>2018</v>
      </c>
      <c r="C1184" t="s">
        <v>271</v>
      </c>
      <c r="D1184" t="s">
        <v>298</v>
      </c>
      <c r="E1184" t="s">
        <v>65</v>
      </c>
      <c r="F1184">
        <v>135000</v>
      </c>
      <c r="G1184" t="s">
        <v>72</v>
      </c>
      <c r="H1184">
        <v>4</v>
      </c>
    </row>
    <row r="1185" spans="1:8" x14ac:dyDescent="0.3">
      <c r="A1185" t="s">
        <v>250</v>
      </c>
      <c r="B1185">
        <v>2019</v>
      </c>
      <c r="C1185" t="s">
        <v>271</v>
      </c>
      <c r="D1185" t="s">
        <v>298</v>
      </c>
      <c r="E1185" t="s">
        <v>65</v>
      </c>
      <c r="F1185">
        <v>135000</v>
      </c>
      <c r="G1185" t="s">
        <v>72</v>
      </c>
      <c r="H1185">
        <v>1</v>
      </c>
    </row>
    <row r="1186" spans="1:8" x14ac:dyDescent="0.3">
      <c r="A1186" t="s">
        <v>250</v>
      </c>
      <c r="B1186">
        <v>2020</v>
      </c>
      <c r="C1186" t="s">
        <v>271</v>
      </c>
      <c r="D1186" t="s">
        <v>298</v>
      </c>
      <c r="E1186" t="s">
        <v>65</v>
      </c>
      <c r="F1186">
        <v>135000</v>
      </c>
      <c r="G1186" t="s">
        <v>72</v>
      </c>
      <c r="H1186">
        <v>1</v>
      </c>
    </row>
    <row r="1187" spans="1:8" x14ac:dyDescent="0.3">
      <c r="A1187" t="s">
        <v>250</v>
      </c>
      <c r="B1187">
        <v>2021</v>
      </c>
      <c r="C1187" t="s">
        <v>271</v>
      </c>
      <c r="D1187" t="s">
        <v>298</v>
      </c>
      <c r="E1187" t="s">
        <v>65</v>
      </c>
      <c r="F1187">
        <v>135000</v>
      </c>
      <c r="G1187" t="s">
        <v>72</v>
      </c>
      <c r="H1187">
        <v>2</v>
      </c>
    </row>
    <row r="1188" spans="1:8" x14ac:dyDescent="0.3">
      <c r="A1188" t="s">
        <v>129</v>
      </c>
      <c r="B1188">
        <v>2017</v>
      </c>
      <c r="C1188" t="s">
        <v>271</v>
      </c>
      <c r="D1188" t="s">
        <v>298</v>
      </c>
      <c r="E1188" t="s">
        <v>65</v>
      </c>
      <c r="F1188">
        <v>3615</v>
      </c>
      <c r="G1188" t="s">
        <v>66</v>
      </c>
      <c r="H1188">
        <v>3</v>
      </c>
    </row>
    <row r="1189" spans="1:8" x14ac:dyDescent="0.3">
      <c r="A1189" t="s">
        <v>129</v>
      </c>
      <c r="B1189">
        <v>2019</v>
      </c>
      <c r="C1189" t="s">
        <v>271</v>
      </c>
      <c r="D1189" t="s">
        <v>298</v>
      </c>
      <c r="E1189" t="s">
        <v>65</v>
      </c>
      <c r="F1189">
        <v>3615</v>
      </c>
      <c r="G1189" t="s">
        <v>66</v>
      </c>
      <c r="H1189">
        <v>1</v>
      </c>
    </row>
    <row r="1190" spans="1:8" x14ac:dyDescent="0.3">
      <c r="A1190" t="s">
        <v>130</v>
      </c>
      <c r="B1190">
        <v>2014</v>
      </c>
      <c r="C1190" t="s">
        <v>271</v>
      </c>
      <c r="D1190" t="s">
        <v>298</v>
      </c>
      <c r="E1190" t="s">
        <v>65</v>
      </c>
      <c r="F1190">
        <v>4850</v>
      </c>
      <c r="G1190" t="s">
        <v>66</v>
      </c>
      <c r="H1190">
        <v>1</v>
      </c>
    </row>
    <row r="1191" spans="1:8" x14ac:dyDescent="0.3">
      <c r="A1191" t="s">
        <v>132</v>
      </c>
      <c r="B1191">
        <v>2015</v>
      </c>
      <c r="C1191" t="s">
        <v>271</v>
      </c>
      <c r="D1191" t="s">
        <v>298</v>
      </c>
      <c r="E1191" t="s">
        <v>65</v>
      </c>
      <c r="F1191">
        <v>3200</v>
      </c>
      <c r="G1191" t="s">
        <v>66</v>
      </c>
      <c r="H1191">
        <v>1</v>
      </c>
    </row>
    <row r="1192" spans="1:8" x14ac:dyDescent="0.3">
      <c r="A1192" t="s">
        <v>133</v>
      </c>
      <c r="B1192">
        <v>2014</v>
      </c>
      <c r="C1192" t="s">
        <v>271</v>
      </c>
      <c r="D1192" t="s">
        <v>298</v>
      </c>
      <c r="E1192" t="s">
        <v>65</v>
      </c>
      <c r="F1192">
        <v>2150</v>
      </c>
      <c r="G1192" t="s">
        <v>66</v>
      </c>
      <c r="H1192">
        <v>1</v>
      </c>
    </row>
    <row r="1193" spans="1:8" x14ac:dyDescent="0.3">
      <c r="A1193" t="s">
        <v>133</v>
      </c>
      <c r="B1193">
        <v>2015</v>
      </c>
      <c r="C1193" t="s">
        <v>271</v>
      </c>
      <c r="D1193" t="s">
        <v>298</v>
      </c>
      <c r="E1193" t="s">
        <v>65</v>
      </c>
      <c r="F1193">
        <v>2150</v>
      </c>
      <c r="G1193" t="s">
        <v>66</v>
      </c>
      <c r="H1193">
        <v>1</v>
      </c>
    </row>
    <row r="1194" spans="1:8" x14ac:dyDescent="0.3">
      <c r="A1194" t="s">
        <v>133</v>
      </c>
      <c r="B1194">
        <v>2018</v>
      </c>
      <c r="C1194" t="s">
        <v>271</v>
      </c>
      <c r="D1194" t="s">
        <v>298</v>
      </c>
      <c r="E1194" t="s">
        <v>65</v>
      </c>
      <c r="F1194">
        <v>2150</v>
      </c>
      <c r="G1194" t="s">
        <v>66</v>
      </c>
      <c r="H1194">
        <v>1</v>
      </c>
    </row>
    <row r="1195" spans="1:8" x14ac:dyDescent="0.3">
      <c r="A1195" t="s">
        <v>133</v>
      </c>
      <c r="B1195">
        <v>2019</v>
      </c>
      <c r="C1195" t="s">
        <v>271</v>
      </c>
      <c r="D1195" t="s">
        <v>298</v>
      </c>
      <c r="E1195" t="s">
        <v>65</v>
      </c>
      <c r="F1195">
        <v>2150</v>
      </c>
      <c r="G1195" t="s">
        <v>66</v>
      </c>
      <c r="H1195">
        <v>3</v>
      </c>
    </row>
    <row r="1196" spans="1:8" x14ac:dyDescent="0.3">
      <c r="A1196" t="s">
        <v>134</v>
      </c>
      <c r="B1196">
        <v>2015</v>
      </c>
      <c r="C1196" t="s">
        <v>271</v>
      </c>
      <c r="D1196" t="s">
        <v>298</v>
      </c>
      <c r="E1196" t="s">
        <v>65</v>
      </c>
      <c r="F1196">
        <v>3725</v>
      </c>
      <c r="G1196" t="s">
        <v>66</v>
      </c>
      <c r="H1196">
        <v>1</v>
      </c>
    </row>
    <row r="1197" spans="1:8" x14ac:dyDescent="0.3">
      <c r="A1197" t="s">
        <v>134</v>
      </c>
      <c r="B1197">
        <v>2016</v>
      </c>
      <c r="C1197" t="s">
        <v>271</v>
      </c>
      <c r="D1197" t="s">
        <v>298</v>
      </c>
      <c r="E1197" t="s">
        <v>65</v>
      </c>
      <c r="F1197">
        <v>3725</v>
      </c>
      <c r="G1197" t="s">
        <v>66</v>
      </c>
      <c r="H1197">
        <v>3</v>
      </c>
    </row>
    <row r="1198" spans="1:8" x14ac:dyDescent="0.3">
      <c r="A1198" t="s">
        <v>252</v>
      </c>
      <c r="B1198">
        <v>2015</v>
      </c>
      <c r="C1198" t="s">
        <v>271</v>
      </c>
      <c r="D1198" t="s">
        <v>298</v>
      </c>
      <c r="E1198" t="s">
        <v>65</v>
      </c>
      <c r="F1198">
        <v>6500</v>
      </c>
      <c r="G1198" t="s">
        <v>66</v>
      </c>
      <c r="H1198">
        <v>1</v>
      </c>
    </row>
    <row r="1199" spans="1:8" x14ac:dyDescent="0.3">
      <c r="A1199" t="s">
        <v>252</v>
      </c>
      <c r="B1199">
        <v>2016</v>
      </c>
      <c r="C1199" t="s">
        <v>271</v>
      </c>
      <c r="D1199" t="s">
        <v>298</v>
      </c>
      <c r="E1199" t="s">
        <v>65</v>
      </c>
      <c r="F1199">
        <v>6500</v>
      </c>
      <c r="G1199" t="s">
        <v>66</v>
      </c>
      <c r="H1199">
        <v>1</v>
      </c>
    </row>
    <row r="1200" spans="1:8" x14ac:dyDescent="0.3">
      <c r="A1200" t="s">
        <v>135</v>
      </c>
      <c r="B1200">
        <v>2016</v>
      </c>
      <c r="C1200" t="s">
        <v>271</v>
      </c>
      <c r="D1200" t="s">
        <v>298</v>
      </c>
      <c r="E1200" t="s">
        <v>65</v>
      </c>
      <c r="F1200">
        <v>3400</v>
      </c>
      <c r="G1200" t="s">
        <v>66</v>
      </c>
      <c r="H1200">
        <v>1</v>
      </c>
    </row>
    <row r="1201" spans="1:8" x14ac:dyDescent="0.3">
      <c r="A1201" t="s">
        <v>135</v>
      </c>
      <c r="B1201">
        <v>2017</v>
      </c>
      <c r="C1201" t="s">
        <v>271</v>
      </c>
      <c r="D1201" t="s">
        <v>298</v>
      </c>
      <c r="E1201" t="s">
        <v>65</v>
      </c>
      <c r="F1201">
        <v>3400</v>
      </c>
      <c r="G1201" t="s">
        <v>66</v>
      </c>
      <c r="H1201">
        <v>1</v>
      </c>
    </row>
    <row r="1202" spans="1:8" x14ac:dyDescent="0.3">
      <c r="A1202" t="s">
        <v>135</v>
      </c>
      <c r="B1202">
        <v>2018</v>
      </c>
      <c r="C1202" t="s">
        <v>271</v>
      </c>
      <c r="D1202" t="s">
        <v>298</v>
      </c>
      <c r="E1202" t="s">
        <v>65</v>
      </c>
      <c r="F1202">
        <v>3400</v>
      </c>
      <c r="G1202" t="s">
        <v>66</v>
      </c>
      <c r="H1202">
        <v>1</v>
      </c>
    </row>
    <row r="1203" spans="1:8" x14ac:dyDescent="0.3">
      <c r="A1203" t="s">
        <v>136</v>
      </c>
      <c r="B1203">
        <v>2016</v>
      </c>
      <c r="C1203" t="s">
        <v>271</v>
      </c>
      <c r="D1203" t="s">
        <v>298</v>
      </c>
      <c r="E1203" t="s">
        <v>65</v>
      </c>
      <c r="F1203">
        <v>4629</v>
      </c>
      <c r="G1203" t="s">
        <v>66</v>
      </c>
      <c r="H1203">
        <v>2</v>
      </c>
    </row>
    <row r="1204" spans="1:8" x14ac:dyDescent="0.3">
      <c r="A1204" t="s">
        <v>136</v>
      </c>
      <c r="B1204">
        <v>2020</v>
      </c>
      <c r="C1204" t="s">
        <v>271</v>
      </c>
      <c r="D1204" t="s">
        <v>298</v>
      </c>
      <c r="E1204" t="s">
        <v>65</v>
      </c>
      <c r="F1204">
        <v>4629</v>
      </c>
      <c r="G1204" t="s">
        <v>66</v>
      </c>
      <c r="H1204">
        <v>1</v>
      </c>
    </row>
    <row r="1205" spans="1:8" x14ac:dyDescent="0.3">
      <c r="A1205" t="s">
        <v>253</v>
      </c>
      <c r="B1205">
        <v>2014</v>
      </c>
      <c r="C1205" t="s">
        <v>271</v>
      </c>
      <c r="D1205" t="s">
        <v>298</v>
      </c>
      <c r="E1205" t="s">
        <v>65</v>
      </c>
      <c r="F1205">
        <v>3798</v>
      </c>
      <c r="G1205" t="s">
        <v>66</v>
      </c>
      <c r="H1205">
        <v>1</v>
      </c>
    </row>
    <row r="1206" spans="1:8" x14ac:dyDescent="0.3">
      <c r="A1206" t="s">
        <v>253</v>
      </c>
      <c r="B1206">
        <v>2016</v>
      </c>
      <c r="C1206" t="s">
        <v>271</v>
      </c>
      <c r="D1206" t="s">
        <v>298</v>
      </c>
      <c r="E1206" t="s">
        <v>65</v>
      </c>
      <c r="F1206">
        <v>3798</v>
      </c>
      <c r="G1206" t="s">
        <v>66</v>
      </c>
      <c r="H1206">
        <v>3</v>
      </c>
    </row>
    <row r="1207" spans="1:8" x14ac:dyDescent="0.3">
      <c r="A1207" t="s">
        <v>253</v>
      </c>
      <c r="B1207">
        <v>2017</v>
      </c>
      <c r="C1207" t="s">
        <v>271</v>
      </c>
      <c r="D1207" t="s">
        <v>298</v>
      </c>
      <c r="E1207" t="s">
        <v>65</v>
      </c>
      <c r="F1207">
        <v>3798</v>
      </c>
      <c r="G1207" t="s">
        <v>66</v>
      </c>
      <c r="H1207">
        <v>2</v>
      </c>
    </row>
    <row r="1208" spans="1:8" x14ac:dyDescent="0.3">
      <c r="A1208" t="s">
        <v>253</v>
      </c>
      <c r="B1208">
        <v>2019</v>
      </c>
      <c r="C1208" t="s">
        <v>271</v>
      </c>
      <c r="D1208" t="s">
        <v>298</v>
      </c>
      <c r="E1208" t="s">
        <v>65</v>
      </c>
      <c r="F1208">
        <v>3798</v>
      </c>
      <c r="G1208" t="s">
        <v>66</v>
      </c>
      <c r="H1208">
        <v>1</v>
      </c>
    </row>
    <row r="1209" spans="1:8" x14ac:dyDescent="0.3">
      <c r="A1209" t="s">
        <v>137</v>
      </c>
      <c r="B1209">
        <v>2014</v>
      </c>
      <c r="C1209" t="s">
        <v>271</v>
      </c>
      <c r="D1209" t="s">
        <v>298</v>
      </c>
      <c r="E1209" t="s">
        <v>65</v>
      </c>
      <c r="F1209">
        <v>4299</v>
      </c>
      <c r="G1209" t="s">
        <v>66</v>
      </c>
      <c r="H1209">
        <v>1</v>
      </c>
    </row>
    <row r="1210" spans="1:8" x14ac:dyDescent="0.3">
      <c r="A1210" t="s">
        <v>254</v>
      </c>
      <c r="B1210">
        <v>2019</v>
      </c>
      <c r="C1210" t="s">
        <v>271</v>
      </c>
      <c r="D1210" t="s">
        <v>298</v>
      </c>
      <c r="E1210" t="s">
        <v>65</v>
      </c>
      <c r="F1210">
        <v>8699</v>
      </c>
      <c r="G1210" t="s">
        <v>66</v>
      </c>
      <c r="H1210">
        <v>1</v>
      </c>
    </row>
    <row r="1211" spans="1:8" x14ac:dyDescent="0.3">
      <c r="A1211" t="s">
        <v>139</v>
      </c>
      <c r="B1211">
        <v>2014</v>
      </c>
      <c r="C1211" t="s">
        <v>271</v>
      </c>
      <c r="D1211" t="s">
        <v>298</v>
      </c>
      <c r="E1211" t="s">
        <v>65</v>
      </c>
      <c r="F1211">
        <v>9039</v>
      </c>
      <c r="G1211" t="s">
        <v>66</v>
      </c>
      <c r="H1211">
        <v>2</v>
      </c>
    </row>
    <row r="1212" spans="1:8" x14ac:dyDescent="0.3">
      <c r="A1212" t="s">
        <v>139</v>
      </c>
      <c r="B1212">
        <v>2015</v>
      </c>
      <c r="C1212" t="s">
        <v>271</v>
      </c>
      <c r="D1212" t="s">
        <v>298</v>
      </c>
      <c r="E1212" t="s">
        <v>65</v>
      </c>
      <c r="F1212">
        <v>9039</v>
      </c>
      <c r="G1212" t="s">
        <v>66</v>
      </c>
      <c r="H1212">
        <v>1</v>
      </c>
    </row>
    <row r="1213" spans="1:8" x14ac:dyDescent="0.3">
      <c r="A1213" t="s">
        <v>139</v>
      </c>
      <c r="B1213">
        <v>2016</v>
      </c>
      <c r="C1213" t="s">
        <v>271</v>
      </c>
      <c r="D1213" t="s">
        <v>298</v>
      </c>
      <c r="E1213" t="s">
        <v>65</v>
      </c>
      <c r="F1213">
        <v>9039</v>
      </c>
      <c r="G1213" t="s">
        <v>66</v>
      </c>
      <c r="H1213">
        <v>4</v>
      </c>
    </row>
    <row r="1214" spans="1:8" x14ac:dyDescent="0.3">
      <c r="A1214" t="s">
        <v>139</v>
      </c>
      <c r="B1214">
        <v>2017</v>
      </c>
      <c r="C1214" t="s">
        <v>271</v>
      </c>
      <c r="D1214" t="s">
        <v>298</v>
      </c>
      <c r="E1214" t="s">
        <v>65</v>
      </c>
      <c r="F1214">
        <v>9039</v>
      </c>
      <c r="G1214" t="s">
        <v>66</v>
      </c>
      <c r="H1214">
        <v>3</v>
      </c>
    </row>
    <row r="1215" spans="1:8" x14ac:dyDescent="0.3">
      <c r="A1215" t="s">
        <v>139</v>
      </c>
      <c r="B1215">
        <v>2018</v>
      </c>
      <c r="C1215" t="s">
        <v>271</v>
      </c>
      <c r="D1215" t="s">
        <v>298</v>
      </c>
      <c r="E1215" t="s">
        <v>65</v>
      </c>
      <c r="F1215">
        <v>9039</v>
      </c>
      <c r="G1215" t="s">
        <v>66</v>
      </c>
      <c r="H1215">
        <v>7</v>
      </c>
    </row>
    <row r="1216" spans="1:8" x14ac:dyDescent="0.3">
      <c r="A1216" t="s">
        <v>139</v>
      </c>
      <c r="B1216">
        <v>2019</v>
      </c>
      <c r="C1216" t="s">
        <v>271</v>
      </c>
      <c r="D1216" t="s">
        <v>298</v>
      </c>
      <c r="E1216" t="s">
        <v>65</v>
      </c>
      <c r="F1216">
        <v>9039</v>
      </c>
      <c r="G1216" t="s">
        <v>66</v>
      </c>
      <c r="H1216">
        <v>7</v>
      </c>
    </row>
    <row r="1217" spans="1:8" x14ac:dyDescent="0.3">
      <c r="A1217" t="s">
        <v>139</v>
      </c>
      <c r="B1217">
        <v>2020</v>
      </c>
      <c r="C1217" t="s">
        <v>271</v>
      </c>
      <c r="D1217" t="s">
        <v>298</v>
      </c>
      <c r="E1217" t="s">
        <v>65</v>
      </c>
      <c r="F1217">
        <v>9039</v>
      </c>
      <c r="G1217" t="s">
        <v>66</v>
      </c>
      <c r="H1217">
        <v>3</v>
      </c>
    </row>
    <row r="1218" spans="1:8" x14ac:dyDescent="0.3">
      <c r="A1218" t="s">
        <v>256</v>
      </c>
      <c r="B1218">
        <v>2017</v>
      </c>
      <c r="C1218" t="s">
        <v>271</v>
      </c>
      <c r="D1218" t="s">
        <v>298</v>
      </c>
      <c r="E1218" t="s">
        <v>65</v>
      </c>
      <c r="F1218">
        <v>8800</v>
      </c>
      <c r="G1218" t="s">
        <v>66</v>
      </c>
      <c r="H1218">
        <v>1</v>
      </c>
    </row>
    <row r="1219" spans="1:8" x14ac:dyDescent="0.3">
      <c r="A1219" t="s">
        <v>258</v>
      </c>
      <c r="B1219">
        <v>2015</v>
      </c>
      <c r="C1219" t="s">
        <v>271</v>
      </c>
      <c r="D1219" t="s">
        <v>298</v>
      </c>
      <c r="E1219" t="s">
        <v>65</v>
      </c>
      <c r="F1219">
        <v>97000</v>
      </c>
      <c r="G1219" t="s">
        <v>72</v>
      </c>
      <c r="H1219">
        <v>1</v>
      </c>
    </row>
    <row r="1220" spans="1:8" x14ac:dyDescent="0.3">
      <c r="A1220" t="s">
        <v>258</v>
      </c>
      <c r="B1220">
        <v>2016</v>
      </c>
      <c r="C1220" t="s">
        <v>271</v>
      </c>
      <c r="D1220" t="s">
        <v>298</v>
      </c>
      <c r="E1220" t="s">
        <v>65</v>
      </c>
      <c r="F1220">
        <v>97000</v>
      </c>
      <c r="G1220" t="s">
        <v>72</v>
      </c>
      <c r="H1220">
        <v>1</v>
      </c>
    </row>
    <row r="1221" spans="1:8" x14ac:dyDescent="0.3">
      <c r="A1221" t="s">
        <v>258</v>
      </c>
      <c r="B1221">
        <v>2017</v>
      </c>
      <c r="C1221" t="s">
        <v>271</v>
      </c>
      <c r="D1221" t="s">
        <v>298</v>
      </c>
      <c r="E1221" t="s">
        <v>65</v>
      </c>
      <c r="F1221">
        <v>97000</v>
      </c>
      <c r="G1221" t="s">
        <v>72</v>
      </c>
      <c r="H1221">
        <v>2</v>
      </c>
    </row>
    <row r="1222" spans="1:8" x14ac:dyDescent="0.3">
      <c r="A1222" t="s">
        <v>140</v>
      </c>
      <c r="B1222">
        <v>2018</v>
      </c>
      <c r="C1222" t="s">
        <v>271</v>
      </c>
      <c r="D1222" t="s">
        <v>298</v>
      </c>
      <c r="E1222" t="s">
        <v>65</v>
      </c>
      <c r="F1222">
        <v>1650</v>
      </c>
      <c r="G1222" t="s">
        <v>66</v>
      </c>
      <c r="H1222">
        <v>1</v>
      </c>
    </row>
    <row r="1223" spans="1:8" x14ac:dyDescent="0.3">
      <c r="A1223" t="s">
        <v>141</v>
      </c>
      <c r="B1223">
        <v>2019</v>
      </c>
      <c r="C1223" t="s">
        <v>271</v>
      </c>
      <c r="D1223" t="s">
        <v>298</v>
      </c>
      <c r="E1223" t="s">
        <v>65</v>
      </c>
      <c r="F1223">
        <v>1600</v>
      </c>
      <c r="G1223" t="s">
        <v>66</v>
      </c>
      <c r="H1223">
        <v>7</v>
      </c>
    </row>
    <row r="1224" spans="1:8" x14ac:dyDescent="0.3">
      <c r="A1224" t="s">
        <v>141</v>
      </c>
      <c r="B1224">
        <v>2020</v>
      </c>
      <c r="C1224" t="s">
        <v>271</v>
      </c>
      <c r="D1224" t="s">
        <v>298</v>
      </c>
      <c r="E1224" t="s">
        <v>65</v>
      </c>
      <c r="F1224">
        <v>1600</v>
      </c>
      <c r="G1224" t="s">
        <v>66</v>
      </c>
      <c r="H1224">
        <v>1</v>
      </c>
    </row>
    <row r="1225" spans="1:8" x14ac:dyDescent="0.3">
      <c r="A1225" t="s">
        <v>141</v>
      </c>
      <c r="B1225">
        <v>2021</v>
      </c>
      <c r="C1225" t="s">
        <v>271</v>
      </c>
      <c r="D1225" t="s">
        <v>298</v>
      </c>
      <c r="E1225" t="s">
        <v>65</v>
      </c>
      <c r="F1225">
        <v>1600</v>
      </c>
      <c r="G1225" t="s">
        <v>66</v>
      </c>
      <c r="H1225">
        <v>1</v>
      </c>
    </row>
    <row r="1226" spans="1:8" x14ac:dyDescent="0.3">
      <c r="A1226" t="s">
        <v>142</v>
      </c>
      <c r="B1226">
        <v>2017</v>
      </c>
      <c r="C1226" t="s">
        <v>271</v>
      </c>
      <c r="D1226" t="s">
        <v>298</v>
      </c>
      <c r="E1226" t="s">
        <v>65</v>
      </c>
      <c r="F1226">
        <v>3000</v>
      </c>
      <c r="G1226" t="s">
        <v>66</v>
      </c>
      <c r="H1226">
        <v>1</v>
      </c>
    </row>
    <row r="1227" spans="1:8" x14ac:dyDescent="0.3">
      <c r="A1227" t="s">
        <v>265</v>
      </c>
      <c r="B1227">
        <v>2014</v>
      </c>
      <c r="C1227" t="s">
        <v>271</v>
      </c>
      <c r="D1227" t="s">
        <v>298</v>
      </c>
      <c r="E1227" t="s">
        <v>65</v>
      </c>
      <c r="F1227">
        <v>3368</v>
      </c>
      <c r="G1227" t="s">
        <v>66</v>
      </c>
      <c r="H1227">
        <v>1</v>
      </c>
    </row>
    <row r="1228" spans="1:8" x14ac:dyDescent="0.3">
      <c r="A1228" t="s">
        <v>265</v>
      </c>
      <c r="B1228">
        <v>2015</v>
      </c>
      <c r="C1228" t="s">
        <v>271</v>
      </c>
      <c r="D1228" t="s">
        <v>298</v>
      </c>
      <c r="E1228" t="s">
        <v>65</v>
      </c>
      <c r="F1228">
        <v>3368</v>
      </c>
      <c r="G1228" t="s">
        <v>66</v>
      </c>
      <c r="H1228">
        <v>4</v>
      </c>
    </row>
    <row r="1229" spans="1:8" x14ac:dyDescent="0.3">
      <c r="A1229" t="s">
        <v>265</v>
      </c>
      <c r="B1229">
        <v>2016</v>
      </c>
      <c r="C1229" t="s">
        <v>271</v>
      </c>
      <c r="D1229" t="s">
        <v>298</v>
      </c>
      <c r="E1229" t="s">
        <v>65</v>
      </c>
      <c r="F1229">
        <v>3368</v>
      </c>
      <c r="G1229" t="s">
        <v>66</v>
      </c>
      <c r="H1229">
        <v>6</v>
      </c>
    </row>
    <row r="1230" spans="1:8" x14ac:dyDescent="0.3">
      <c r="A1230" t="s">
        <v>265</v>
      </c>
      <c r="B1230">
        <v>2017</v>
      </c>
      <c r="C1230" t="s">
        <v>271</v>
      </c>
      <c r="D1230" t="s">
        <v>298</v>
      </c>
      <c r="E1230" t="s">
        <v>65</v>
      </c>
      <c r="F1230">
        <v>3368</v>
      </c>
      <c r="G1230" t="s">
        <v>66</v>
      </c>
      <c r="H1230">
        <v>1</v>
      </c>
    </row>
    <row r="1231" spans="1:8" x14ac:dyDescent="0.3">
      <c r="A1231" t="s">
        <v>143</v>
      </c>
      <c r="B1231">
        <v>2015</v>
      </c>
      <c r="C1231" t="s">
        <v>271</v>
      </c>
      <c r="D1231" t="s">
        <v>298</v>
      </c>
      <c r="E1231" t="s">
        <v>65</v>
      </c>
      <c r="F1231">
        <v>14500</v>
      </c>
      <c r="G1231" t="s">
        <v>72</v>
      </c>
      <c r="H1231">
        <v>2</v>
      </c>
    </row>
    <row r="1232" spans="1:8" x14ac:dyDescent="0.3">
      <c r="A1232" t="s">
        <v>143</v>
      </c>
      <c r="B1232">
        <v>2017</v>
      </c>
      <c r="C1232" t="s">
        <v>271</v>
      </c>
      <c r="D1232" t="s">
        <v>298</v>
      </c>
      <c r="E1232" t="s">
        <v>65</v>
      </c>
      <c r="F1232">
        <v>14500</v>
      </c>
      <c r="G1232" t="s">
        <v>72</v>
      </c>
      <c r="H1232">
        <v>2</v>
      </c>
    </row>
    <row r="1233" spans="1:8" x14ac:dyDescent="0.3">
      <c r="A1233" t="s">
        <v>143</v>
      </c>
      <c r="B1233">
        <v>2020</v>
      </c>
      <c r="C1233" t="s">
        <v>271</v>
      </c>
      <c r="D1233" t="s">
        <v>298</v>
      </c>
      <c r="E1233" t="s">
        <v>65</v>
      </c>
      <c r="F1233">
        <v>14500</v>
      </c>
      <c r="G1233" t="s">
        <v>72</v>
      </c>
      <c r="H1233">
        <v>1</v>
      </c>
    </row>
    <row r="1234" spans="1:8" x14ac:dyDescent="0.3">
      <c r="A1234" t="s">
        <v>267</v>
      </c>
      <c r="B1234">
        <v>2014</v>
      </c>
      <c r="C1234" t="s">
        <v>271</v>
      </c>
      <c r="D1234" t="s">
        <v>298</v>
      </c>
      <c r="E1234" t="s">
        <v>65</v>
      </c>
      <c r="F1234">
        <v>12093</v>
      </c>
      <c r="G1234" t="s">
        <v>66</v>
      </c>
      <c r="H1234">
        <v>2</v>
      </c>
    </row>
    <row r="1235" spans="1:8" x14ac:dyDescent="0.3">
      <c r="A1235" t="s">
        <v>267</v>
      </c>
      <c r="B1235">
        <v>2015</v>
      </c>
      <c r="C1235" t="s">
        <v>271</v>
      </c>
      <c r="D1235" t="s">
        <v>298</v>
      </c>
      <c r="E1235" t="s">
        <v>65</v>
      </c>
      <c r="F1235">
        <v>12093</v>
      </c>
      <c r="G1235" t="s">
        <v>66</v>
      </c>
      <c r="H1235">
        <v>7</v>
      </c>
    </row>
    <row r="1236" spans="1:8" x14ac:dyDescent="0.3">
      <c r="A1236" t="s">
        <v>267</v>
      </c>
      <c r="B1236">
        <v>2016</v>
      </c>
      <c r="C1236" t="s">
        <v>271</v>
      </c>
      <c r="D1236" t="s">
        <v>298</v>
      </c>
      <c r="E1236" t="s">
        <v>65</v>
      </c>
      <c r="F1236">
        <v>12093</v>
      </c>
      <c r="G1236" t="s">
        <v>66</v>
      </c>
      <c r="H1236">
        <v>5</v>
      </c>
    </row>
    <row r="1237" spans="1:8" x14ac:dyDescent="0.3">
      <c r="A1237" t="s">
        <v>267</v>
      </c>
      <c r="B1237">
        <v>2017</v>
      </c>
      <c r="C1237" t="s">
        <v>271</v>
      </c>
      <c r="D1237" t="s">
        <v>298</v>
      </c>
      <c r="E1237" t="s">
        <v>65</v>
      </c>
      <c r="F1237">
        <v>12093</v>
      </c>
      <c r="G1237" t="s">
        <v>66</v>
      </c>
      <c r="H1237">
        <v>2</v>
      </c>
    </row>
    <row r="1238" spans="1:8" x14ac:dyDescent="0.3">
      <c r="A1238" t="s">
        <v>267</v>
      </c>
      <c r="B1238">
        <v>2018</v>
      </c>
      <c r="C1238" t="s">
        <v>271</v>
      </c>
      <c r="D1238" t="s">
        <v>298</v>
      </c>
      <c r="E1238" t="s">
        <v>65</v>
      </c>
      <c r="F1238">
        <v>12093</v>
      </c>
      <c r="G1238" t="s">
        <v>66</v>
      </c>
      <c r="H1238">
        <v>1</v>
      </c>
    </row>
    <row r="1239" spans="1:8" x14ac:dyDescent="0.3">
      <c r="A1239" t="s">
        <v>267</v>
      </c>
      <c r="B1239">
        <v>2019</v>
      </c>
      <c r="C1239" t="s">
        <v>271</v>
      </c>
      <c r="D1239" t="s">
        <v>298</v>
      </c>
      <c r="E1239" t="s">
        <v>65</v>
      </c>
      <c r="F1239">
        <v>12093</v>
      </c>
      <c r="G1239" t="s">
        <v>66</v>
      </c>
      <c r="H1239">
        <v>1</v>
      </c>
    </row>
    <row r="1240" spans="1:8" x14ac:dyDescent="0.3">
      <c r="A1240" t="s">
        <v>270</v>
      </c>
      <c r="B1240">
        <v>2014</v>
      </c>
      <c r="C1240" t="s">
        <v>271</v>
      </c>
      <c r="D1240" t="s">
        <v>298</v>
      </c>
      <c r="E1240" t="s">
        <v>65</v>
      </c>
      <c r="F1240">
        <v>-1</v>
      </c>
      <c r="G1240" t="s">
        <v>270</v>
      </c>
      <c r="H1240">
        <v>4</v>
      </c>
    </row>
    <row r="1241" spans="1:8" x14ac:dyDescent="0.3">
      <c r="A1241" t="s">
        <v>270</v>
      </c>
      <c r="B1241">
        <v>2015</v>
      </c>
      <c r="C1241" t="s">
        <v>271</v>
      </c>
      <c r="D1241" t="s">
        <v>298</v>
      </c>
      <c r="E1241" t="s">
        <v>65</v>
      </c>
      <c r="F1241">
        <v>-1</v>
      </c>
      <c r="G1241" t="s">
        <v>270</v>
      </c>
      <c r="H1241">
        <v>11</v>
      </c>
    </row>
    <row r="1242" spans="1:8" x14ac:dyDescent="0.3">
      <c r="A1242" t="s">
        <v>270</v>
      </c>
      <c r="B1242">
        <v>2016</v>
      </c>
      <c r="C1242" t="s">
        <v>271</v>
      </c>
      <c r="D1242" t="s">
        <v>298</v>
      </c>
      <c r="E1242" t="s">
        <v>65</v>
      </c>
      <c r="F1242">
        <v>-1</v>
      </c>
      <c r="G1242" t="s">
        <v>270</v>
      </c>
      <c r="H1242">
        <v>19</v>
      </c>
    </row>
    <row r="1243" spans="1:8" x14ac:dyDescent="0.3">
      <c r="A1243" t="s">
        <v>270</v>
      </c>
      <c r="B1243">
        <v>2017</v>
      </c>
      <c r="C1243" t="s">
        <v>271</v>
      </c>
      <c r="D1243" t="s">
        <v>298</v>
      </c>
      <c r="E1243" t="s">
        <v>65</v>
      </c>
      <c r="F1243">
        <v>-1</v>
      </c>
      <c r="G1243" t="s">
        <v>270</v>
      </c>
      <c r="H1243">
        <v>13</v>
      </c>
    </row>
    <row r="1244" spans="1:8" x14ac:dyDescent="0.3">
      <c r="A1244" t="s">
        <v>270</v>
      </c>
      <c r="B1244">
        <v>2018</v>
      </c>
      <c r="C1244" t="s">
        <v>271</v>
      </c>
      <c r="D1244" t="s">
        <v>298</v>
      </c>
      <c r="E1244" t="s">
        <v>65</v>
      </c>
      <c r="F1244">
        <v>-1</v>
      </c>
      <c r="G1244" t="s">
        <v>270</v>
      </c>
      <c r="H1244">
        <v>16</v>
      </c>
    </row>
    <row r="1245" spans="1:8" x14ac:dyDescent="0.3">
      <c r="A1245" t="s">
        <v>270</v>
      </c>
      <c r="B1245">
        <v>2019</v>
      </c>
      <c r="C1245" t="s">
        <v>271</v>
      </c>
      <c r="D1245" t="s">
        <v>298</v>
      </c>
      <c r="E1245" t="s">
        <v>65</v>
      </c>
      <c r="F1245">
        <v>-1</v>
      </c>
      <c r="G1245" t="s">
        <v>270</v>
      </c>
      <c r="H1245">
        <v>38</v>
      </c>
    </row>
    <row r="1246" spans="1:8" x14ac:dyDescent="0.3">
      <c r="A1246" t="s">
        <v>270</v>
      </c>
      <c r="B1246">
        <v>2020</v>
      </c>
      <c r="C1246" t="s">
        <v>271</v>
      </c>
      <c r="D1246" t="s">
        <v>298</v>
      </c>
      <c r="E1246" t="s">
        <v>65</v>
      </c>
      <c r="F1246">
        <v>-1</v>
      </c>
      <c r="G1246" t="s">
        <v>270</v>
      </c>
      <c r="H1246">
        <v>32</v>
      </c>
    </row>
    <row r="1247" spans="1:8" x14ac:dyDescent="0.3">
      <c r="A1247" t="s">
        <v>270</v>
      </c>
      <c r="B1247">
        <v>2021</v>
      </c>
      <c r="C1247" t="s">
        <v>271</v>
      </c>
      <c r="D1247" t="s">
        <v>298</v>
      </c>
      <c r="E1247" t="s">
        <v>65</v>
      </c>
      <c r="F1247">
        <v>-1</v>
      </c>
      <c r="G1247" t="s">
        <v>270</v>
      </c>
      <c r="H1247">
        <v>28</v>
      </c>
    </row>
    <row r="1248" spans="1:8" x14ac:dyDescent="0.3">
      <c r="A1248" t="s">
        <v>275</v>
      </c>
      <c r="B1248">
        <v>2017</v>
      </c>
      <c r="C1248" t="s">
        <v>271</v>
      </c>
      <c r="D1248" t="s">
        <v>299</v>
      </c>
      <c r="E1248" t="s">
        <v>65</v>
      </c>
      <c r="F1248">
        <v>310852</v>
      </c>
      <c r="G1248" t="s">
        <v>276</v>
      </c>
      <c r="H1248">
        <v>2</v>
      </c>
    </row>
    <row r="1249" spans="1:8" x14ac:dyDescent="0.3">
      <c r="A1249" t="s">
        <v>67</v>
      </c>
      <c r="B1249">
        <v>2015</v>
      </c>
      <c r="C1249" t="s">
        <v>271</v>
      </c>
      <c r="D1249" t="s">
        <v>299</v>
      </c>
      <c r="E1249" t="s">
        <v>65</v>
      </c>
      <c r="F1249">
        <v>2400</v>
      </c>
      <c r="G1249" t="s">
        <v>66</v>
      </c>
      <c r="H1249">
        <v>1</v>
      </c>
    </row>
    <row r="1250" spans="1:8" x14ac:dyDescent="0.3">
      <c r="A1250" t="s">
        <v>67</v>
      </c>
      <c r="B1250">
        <v>2016</v>
      </c>
      <c r="C1250" t="s">
        <v>271</v>
      </c>
      <c r="D1250" t="s">
        <v>299</v>
      </c>
      <c r="E1250" t="s">
        <v>65</v>
      </c>
      <c r="F1250">
        <v>2400</v>
      </c>
      <c r="G1250" t="s">
        <v>66</v>
      </c>
      <c r="H1250">
        <v>3</v>
      </c>
    </row>
    <row r="1251" spans="1:8" x14ac:dyDescent="0.3">
      <c r="A1251" t="s">
        <v>67</v>
      </c>
      <c r="B1251">
        <v>2019</v>
      </c>
      <c r="C1251" t="s">
        <v>271</v>
      </c>
      <c r="D1251" t="s">
        <v>299</v>
      </c>
      <c r="E1251" t="s">
        <v>65</v>
      </c>
      <c r="F1251">
        <v>2400</v>
      </c>
      <c r="G1251" t="s">
        <v>66</v>
      </c>
      <c r="H1251">
        <v>3</v>
      </c>
    </row>
    <row r="1252" spans="1:8" x14ac:dyDescent="0.3">
      <c r="A1252" t="s">
        <v>67</v>
      </c>
      <c r="B1252">
        <v>2020</v>
      </c>
      <c r="C1252" t="s">
        <v>271</v>
      </c>
      <c r="D1252" t="s">
        <v>299</v>
      </c>
      <c r="E1252" t="s">
        <v>65</v>
      </c>
      <c r="F1252">
        <v>2400</v>
      </c>
      <c r="G1252" t="s">
        <v>66</v>
      </c>
      <c r="H1252">
        <v>1</v>
      </c>
    </row>
    <row r="1253" spans="1:8" x14ac:dyDescent="0.3">
      <c r="A1253" t="s">
        <v>69</v>
      </c>
      <c r="B1253">
        <v>2014</v>
      </c>
      <c r="C1253" t="s">
        <v>271</v>
      </c>
      <c r="D1253" t="s">
        <v>299</v>
      </c>
      <c r="E1253" t="s">
        <v>65</v>
      </c>
      <c r="F1253">
        <v>10700</v>
      </c>
      <c r="G1253" t="s">
        <v>66</v>
      </c>
      <c r="H1253">
        <v>1</v>
      </c>
    </row>
    <row r="1254" spans="1:8" x14ac:dyDescent="0.3">
      <c r="A1254" t="s">
        <v>69</v>
      </c>
      <c r="B1254">
        <v>2015</v>
      </c>
      <c r="C1254" t="s">
        <v>271</v>
      </c>
      <c r="D1254" t="s">
        <v>299</v>
      </c>
      <c r="E1254" t="s">
        <v>65</v>
      </c>
      <c r="F1254">
        <v>10700</v>
      </c>
      <c r="G1254" t="s">
        <v>66</v>
      </c>
      <c r="H1254">
        <v>1</v>
      </c>
    </row>
    <row r="1255" spans="1:8" x14ac:dyDescent="0.3">
      <c r="A1255" t="s">
        <v>69</v>
      </c>
      <c r="B1255">
        <v>2016</v>
      </c>
      <c r="C1255" t="s">
        <v>271</v>
      </c>
      <c r="D1255" t="s">
        <v>299</v>
      </c>
      <c r="E1255" t="s">
        <v>65</v>
      </c>
      <c r="F1255">
        <v>10700</v>
      </c>
      <c r="G1255" t="s">
        <v>66</v>
      </c>
      <c r="H1255">
        <v>2</v>
      </c>
    </row>
    <row r="1256" spans="1:8" x14ac:dyDescent="0.3">
      <c r="A1256" t="s">
        <v>69</v>
      </c>
      <c r="B1256">
        <v>2017</v>
      </c>
      <c r="C1256" t="s">
        <v>271</v>
      </c>
      <c r="D1256" t="s">
        <v>299</v>
      </c>
      <c r="E1256" t="s">
        <v>65</v>
      </c>
      <c r="F1256">
        <v>10700</v>
      </c>
      <c r="G1256" t="s">
        <v>66</v>
      </c>
      <c r="H1256">
        <v>2</v>
      </c>
    </row>
    <row r="1257" spans="1:8" x14ac:dyDescent="0.3">
      <c r="A1257" t="s">
        <v>70</v>
      </c>
      <c r="B1257">
        <v>2014</v>
      </c>
      <c r="C1257" t="s">
        <v>271</v>
      </c>
      <c r="D1257" t="s">
        <v>299</v>
      </c>
      <c r="E1257" t="s">
        <v>65</v>
      </c>
      <c r="F1257">
        <v>6850</v>
      </c>
      <c r="G1257" t="s">
        <v>66</v>
      </c>
      <c r="H1257">
        <v>1</v>
      </c>
    </row>
    <row r="1258" spans="1:8" x14ac:dyDescent="0.3">
      <c r="A1258" t="s">
        <v>159</v>
      </c>
      <c r="B1258">
        <v>2016</v>
      </c>
      <c r="C1258" t="s">
        <v>271</v>
      </c>
      <c r="D1258" t="s">
        <v>299</v>
      </c>
      <c r="E1258" t="s">
        <v>65</v>
      </c>
      <c r="F1258">
        <v>17120</v>
      </c>
      <c r="G1258" t="s">
        <v>72</v>
      </c>
      <c r="H1258">
        <v>1</v>
      </c>
    </row>
    <row r="1259" spans="1:8" x14ac:dyDescent="0.3">
      <c r="A1259" t="s">
        <v>160</v>
      </c>
      <c r="B1259">
        <v>2014</v>
      </c>
      <c r="C1259" t="s">
        <v>271</v>
      </c>
      <c r="D1259" t="s">
        <v>299</v>
      </c>
      <c r="E1259" t="s">
        <v>65</v>
      </c>
      <c r="F1259">
        <v>16500</v>
      </c>
      <c r="G1259" t="s">
        <v>72</v>
      </c>
      <c r="H1259">
        <v>1</v>
      </c>
    </row>
    <row r="1260" spans="1:8" x14ac:dyDescent="0.3">
      <c r="A1260" t="s">
        <v>160</v>
      </c>
      <c r="B1260">
        <v>2016</v>
      </c>
      <c r="C1260" t="s">
        <v>271</v>
      </c>
      <c r="D1260" t="s">
        <v>299</v>
      </c>
      <c r="E1260" t="s">
        <v>65</v>
      </c>
      <c r="F1260">
        <v>16500</v>
      </c>
      <c r="G1260" t="s">
        <v>72</v>
      </c>
      <c r="H1260">
        <v>1</v>
      </c>
    </row>
    <row r="1261" spans="1:8" x14ac:dyDescent="0.3">
      <c r="A1261" t="s">
        <v>160</v>
      </c>
      <c r="B1261">
        <v>2017</v>
      </c>
      <c r="C1261" t="s">
        <v>271</v>
      </c>
      <c r="D1261" t="s">
        <v>299</v>
      </c>
      <c r="E1261" t="s">
        <v>65</v>
      </c>
      <c r="F1261">
        <v>16500</v>
      </c>
      <c r="G1261" t="s">
        <v>72</v>
      </c>
      <c r="H1261">
        <v>4</v>
      </c>
    </row>
    <row r="1262" spans="1:8" x14ac:dyDescent="0.3">
      <c r="A1262" t="s">
        <v>160</v>
      </c>
      <c r="B1262">
        <v>2018</v>
      </c>
      <c r="C1262" t="s">
        <v>271</v>
      </c>
      <c r="D1262" t="s">
        <v>299</v>
      </c>
      <c r="E1262" t="s">
        <v>65</v>
      </c>
      <c r="F1262">
        <v>16500</v>
      </c>
      <c r="G1262" t="s">
        <v>72</v>
      </c>
      <c r="H1262">
        <v>1</v>
      </c>
    </row>
    <row r="1263" spans="1:8" x14ac:dyDescent="0.3">
      <c r="A1263" t="s">
        <v>160</v>
      </c>
      <c r="B1263">
        <v>2021</v>
      </c>
      <c r="C1263" t="s">
        <v>271</v>
      </c>
      <c r="D1263" t="s">
        <v>299</v>
      </c>
      <c r="E1263" t="s">
        <v>65</v>
      </c>
      <c r="F1263">
        <v>16500</v>
      </c>
      <c r="G1263" t="s">
        <v>72</v>
      </c>
      <c r="H1263">
        <v>3</v>
      </c>
    </row>
    <row r="1264" spans="1:8" x14ac:dyDescent="0.3">
      <c r="A1264" t="s">
        <v>161</v>
      </c>
      <c r="B1264">
        <v>2021</v>
      </c>
      <c r="C1264" t="s">
        <v>271</v>
      </c>
      <c r="D1264" t="s">
        <v>299</v>
      </c>
      <c r="E1264" t="s">
        <v>65</v>
      </c>
      <c r="F1264">
        <v>181200</v>
      </c>
      <c r="G1264" t="s">
        <v>72</v>
      </c>
      <c r="H1264">
        <v>2</v>
      </c>
    </row>
    <row r="1265" spans="1:8" x14ac:dyDescent="0.3">
      <c r="A1265" t="s">
        <v>162</v>
      </c>
      <c r="B1265">
        <v>2017</v>
      </c>
      <c r="C1265" t="s">
        <v>271</v>
      </c>
      <c r="D1265" t="s">
        <v>299</v>
      </c>
      <c r="E1265" t="s">
        <v>65</v>
      </c>
      <c r="F1265">
        <v>93000</v>
      </c>
      <c r="G1265" t="s">
        <v>72</v>
      </c>
      <c r="H1265">
        <v>1</v>
      </c>
    </row>
    <row r="1266" spans="1:8" x14ac:dyDescent="0.3">
      <c r="A1266" t="s">
        <v>279</v>
      </c>
      <c r="B1266">
        <v>2016</v>
      </c>
      <c r="C1266" t="s">
        <v>271</v>
      </c>
      <c r="D1266" t="s">
        <v>299</v>
      </c>
      <c r="E1266" t="s">
        <v>65</v>
      </c>
      <c r="F1266">
        <v>333600</v>
      </c>
      <c r="G1266" t="s">
        <v>83</v>
      </c>
      <c r="H1266">
        <v>1</v>
      </c>
    </row>
    <row r="1267" spans="1:8" x14ac:dyDescent="0.3">
      <c r="A1267" t="s">
        <v>167</v>
      </c>
      <c r="B1267">
        <v>2014</v>
      </c>
      <c r="C1267" t="s">
        <v>271</v>
      </c>
      <c r="D1267" t="s">
        <v>299</v>
      </c>
      <c r="E1267" t="s">
        <v>65</v>
      </c>
      <c r="F1267">
        <v>154500</v>
      </c>
      <c r="G1267" t="s">
        <v>72</v>
      </c>
      <c r="H1267">
        <v>3</v>
      </c>
    </row>
    <row r="1268" spans="1:8" x14ac:dyDescent="0.3">
      <c r="A1268" t="s">
        <v>167</v>
      </c>
      <c r="B1268">
        <v>2015</v>
      </c>
      <c r="C1268" t="s">
        <v>271</v>
      </c>
      <c r="D1268" t="s">
        <v>299</v>
      </c>
      <c r="E1268" t="s">
        <v>65</v>
      </c>
      <c r="F1268">
        <v>154500</v>
      </c>
      <c r="G1268" t="s">
        <v>72</v>
      </c>
      <c r="H1268">
        <v>4</v>
      </c>
    </row>
    <row r="1269" spans="1:8" x14ac:dyDescent="0.3">
      <c r="A1269" t="s">
        <v>167</v>
      </c>
      <c r="B1269">
        <v>2016</v>
      </c>
      <c r="C1269" t="s">
        <v>271</v>
      </c>
      <c r="D1269" t="s">
        <v>299</v>
      </c>
      <c r="E1269" t="s">
        <v>65</v>
      </c>
      <c r="F1269">
        <v>154500</v>
      </c>
      <c r="G1269" t="s">
        <v>72</v>
      </c>
      <c r="H1269">
        <v>1</v>
      </c>
    </row>
    <row r="1270" spans="1:8" x14ac:dyDescent="0.3">
      <c r="A1270" t="s">
        <v>167</v>
      </c>
      <c r="B1270">
        <v>2017</v>
      </c>
      <c r="C1270" t="s">
        <v>271</v>
      </c>
      <c r="D1270" t="s">
        <v>299</v>
      </c>
      <c r="E1270" t="s">
        <v>65</v>
      </c>
      <c r="F1270">
        <v>154500</v>
      </c>
      <c r="G1270" t="s">
        <v>72</v>
      </c>
      <c r="H1270">
        <v>2</v>
      </c>
    </row>
    <row r="1271" spans="1:8" x14ac:dyDescent="0.3">
      <c r="A1271" t="s">
        <v>167</v>
      </c>
      <c r="B1271">
        <v>2018</v>
      </c>
      <c r="C1271" t="s">
        <v>271</v>
      </c>
      <c r="D1271" t="s">
        <v>299</v>
      </c>
      <c r="E1271" t="s">
        <v>65</v>
      </c>
      <c r="F1271">
        <v>154500</v>
      </c>
      <c r="G1271" t="s">
        <v>72</v>
      </c>
      <c r="H1271">
        <v>1</v>
      </c>
    </row>
    <row r="1272" spans="1:8" x14ac:dyDescent="0.3">
      <c r="A1272" t="s">
        <v>167</v>
      </c>
      <c r="B1272">
        <v>2019</v>
      </c>
      <c r="C1272" t="s">
        <v>271</v>
      </c>
      <c r="D1272" t="s">
        <v>299</v>
      </c>
      <c r="E1272" t="s">
        <v>65</v>
      </c>
      <c r="F1272">
        <v>154500</v>
      </c>
      <c r="G1272" t="s">
        <v>72</v>
      </c>
      <c r="H1272">
        <v>2</v>
      </c>
    </row>
    <row r="1273" spans="1:8" x14ac:dyDescent="0.3">
      <c r="A1273" t="s">
        <v>168</v>
      </c>
      <c r="B1273">
        <v>2014</v>
      </c>
      <c r="C1273" t="s">
        <v>271</v>
      </c>
      <c r="D1273" t="s">
        <v>299</v>
      </c>
      <c r="E1273" t="s">
        <v>65</v>
      </c>
      <c r="F1273">
        <v>174200</v>
      </c>
      <c r="G1273" t="s">
        <v>72</v>
      </c>
      <c r="H1273">
        <v>56</v>
      </c>
    </row>
    <row r="1274" spans="1:8" x14ac:dyDescent="0.3">
      <c r="A1274" t="s">
        <v>168</v>
      </c>
      <c r="B1274">
        <v>2015</v>
      </c>
      <c r="C1274" t="s">
        <v>271</v>
      </c>
      <c r="D1274" t="s">
        <v>299</v>
      </c>
      <c r="E1274" t="s">
        <v>65</v>
      </c>
      <c r="F1274">
        <v>174200</v>
      </c>
      <c r="G1274" t="s">
        <v>72</v>
      </c>
      <c r="H1274">
        <v>102</v>
      </c>
    </row>
    <row r="1275" spans="1:8" x14ac:dyDescent="0.3">
      <c r="A1275" t="s">
        <v>168</v>
      </c>
      <c r="B1275">
        <v>2016</v>
      </c>
      <c r="C1275" t="s">
        <v>271</v>
      </c>
      <c r="D1275" t="s">
        <v>299</v>
      </c>
      <c r="E1275" t="s">
        <v>65</v>
      </c>
      <c r="F1275">
        <v>174200</v>
      </c>
      <c r="G1275" t="s">
        <v>72</v>
      </c>
      <c r="H1275">
        <v>69</v>
      </c>
    </row>
    <row r="1276" spans="1:8" x14ac:dyDescent="0.3">
      <c r="A1276" t="s">
        <v>168</v>
      </c>
      <c r="B1276">
        <v>2017</v>
      </c>
      <c r="C1276" t="s">
        <v>271</v>
      </c>
      <c r="D1276" t="s">
        <v>299</v>
      </c>
      <c r="E1276" t="s">
        <v>65</v>
      </c>
      <c r="F1276">
        <v>174200</v>
      </c>
      <c r="G1276" t="s">
        <v>72</v>
      </c>
      <c r="H1276">
        <v>12</v>
      </c>
    </row>
    <row r="1277" spans="1:8" x14ac:dyDescent="0.3">
      <c r="A1277" t="s">
        <v>168</v>
      </c>
      <c r="B1277">
        <v>2018</v>
      </c>
      <c r="C1277" t="s">
        <v>271</v>
      </c>
      <c r="D1277" t="s">
        <v>299</v>
      </c>
      <c r="E1277" t="s">
        <v>65</v>
      </c>
      <c r="F1277">
        <v>174200</v>
      </c>
      <c r="G1277" t="s">
        <v>72</v>
      </c>
      <c r="H1277">
        <v>1</v>
      </c>
    </row>
    <row r="1278" spans="1:8" x14ac:dyDescent="0.3">
      <c r="A1278" t="s">
        <v>169</v>
      </c>
      <c r="B1278">
        <v>2014</v>
      </c>
      <c r="C1278" t="s">
        <v>271</v>
      </c>
      <c r="D1278" t="s">
        <v>299</v>
      </c>
      <c r="E1278" t="s">
        <v>65</v>
      </c>
      <c r="F1278">
        <v>187700</v>
      </c>
      <c r="G1278" t="s">
        <v>72</v>
      </c>
      <c r="H1278">
        <v>6</v>
      </c>
    </row>
    <row r="1279" spans="1:8" x14ac:dyDescent="0.3">
      <c r="A1279" t="s">
        <v>169</v>
      </c>
      <c r="B1279">
        <v>2015</v>
      </c>
      <c r="C1279" t="s">
        <v>271</v>
      </c>
      <c r="D1279" t="s">
        <v>299</v>
      </c>
      <c r="E1279" t="s">
        <v>65</v>
      </c>
      <c r="F1279">
        <v>187700</v>
      </c>
      <c r="G1279" t="s">
        <v>72</v>
      </c>
      <c r="H1279">
        <v>18</v>
      </c>
    </row>
    <row r="1280" spans="1:8" x14ac:dyDescent="0.3">
      <c r="A1280" t="s">
        <v>169</v>
      </c>
      <c r="B1280">
        <v>2016</v>
      </c>
      <c r="C1280" t="s">
        <v>271</v>
      </c>
      <c r="D1280" t="s">
        <v>299</v>
      </c>
      <c r="E1280" t="s">
        <v>65</v>
      </c>
      <c r="F1280">
        <v>187700</v>
      </c>
      <c r="G1280" t="s">
        <v>72</v>
      </c>
      <c r="H1280">
        <v>5</v>
      </c>
    </row>
    <row r="1281" spans="1:8" x14ac:dyDescent="0.3">
      <c r="A1281" t="s">
        <v>282</v>
      </c>
      <c r="B1281">
        <v>2020</v>
      </c>
      <c r="C1281" t="s">
        <v>271</v>
      </c>
      <c r="D1281" t="s">
        <v>299</v>
      </c>
      <c r="E1281" t="s">
        <v>65</v>
      </c>
      <c r="F1281">
        <v>910000</v>
      </c>
      <c r="G1281" t="s">
        <v>283</v>
      </c>
      <c r="H1281">
        <v>1</v>
      </c>
    </row>
    <row r="1282" spans="1:8" x14ac:dyDescent="0.3">
      <c r="A1282" t="s">
        <v>284</v>
      </c>
      <c r="B1282">
        <v>2014</v>
      </c>
      <c r="C1282" t="s">
        <v>271</v>
      </c>
      <c r="D1282" t="s">
        <v>299</v>
      </c>
      <c r="E1282" t="s">
        <v>65</v>
      </c>
      <c r="F1282">
        <v>987000</v>
      </c>
      <c r="G1282" t="s">
        <v>283</v>
      </c>
      <c r="H1282">
        <v>1</v>
      </c>
    </row>
    <row r="1283" spans="1:8" x14ac:dyDescent="0.3">
      <c r="A1283" t="s">
        <v>284</v>
      </c>
      <c r="B1283">
        <v>2015</v>
      </c>
      <c r="C1283" t="s">
        <v>271</v>
      </c>
      <c r="D1283" t="s">
        <v>299</v>
      </c>
      <c r="E1283" t="s">
        <v>65</v>
      </c>
      <c r="F1283">
        <v>987000</v>
      </c>
      <c r="G1283" t="s">
        <v>283</v>
      </c>
      <c r="H1283">
        <v>1</v>
      </c>
    </row>
    <row r="1284" spans="1:8" x14ac:dyDescent="0.3">
      <c r="A1284" t="s">
        <v>284</v>
      </c>
      <c r="B1284">
        <v>2016</v>
      </c>
      <c r="C1284" t="s">
        <v>271</v>
      </c>
      <c r="D1284" t="s">
        <v>299</v>
      </c>
      <c r="E1284" t="s">
        <v>65</v>
      </c>
      <c r="F1284">
        <v>987000</v>
      </c>
      <c r="G1284" t="s">
        <v>283</v>
      </c>
      <c r="H1284">
        <v>2</v>
      </c>
    </row>
    <row r="1285" spans="1:8" x14ac:dyDescent="0.3">
      <c r="A1285" t="s">
        <v>170</v>
      </c>
      <c r="B1285">
        <v>2016</v>
      </c>
      <c r="C1285" t="s">
        <v>271</v>
      </c>
      <c r="D1285" t="s">
        <v>299</v>
      </c>
      <c r="E1285" t="s">
        <v>65</v>
      </c>
      <c r="F1285">
        <v>255500</v>
      </c>
      <c r="G1285" t="s">
        <v>83</v>
      </c>
      <c r="H1285">
        <v>2</v>
      </c>
    </row>
    <row r="1286" spans="1:8" x14ac:dyDescent="0.3">
      <c r="A1286" t="s">
        <v>171</v>
      </c>
      <c r="B1286">
        <v>2015</v>
      </c>
      <c r="C1286" t="s">
        <v>271</v>
      </c>
      <c r="D1286" t="s">
        <v>299</v>
      </c>
      <c r="E1286" t="s">
        <v>65</v>
      </c>
      <c r="F1286">
        <v>395000</v>
      </c>
      <c r="G1286" t="s">
        <v>83</v>
      </c>
      <c r="H1286">
        <v>1</v>
      </c>
    </row>
    <row r="1287" spans="1:8" x14ac:dyDescent="0.3">
      <c r="A1287" t="s">
        <v>171</v>
      </c>
      <c r="B1287">
        <v>2016</v>
      </c>
      <c r="C1287" t="s">
        <v>271</v>
      </c>
      <c r="D1287" t="s">
        <v>299</v>
      </c>
      <c r="E1287" t="s">
        <v>65</v>
      </c>
      <c r="F1287">
        <v>395000</v>
      </c>
      <c r="G1287" t="s">
        <v>83</v>
      </c>
      <c r="H1287">
        <v>1</v>
      </c>
    </row>
    <row r="1288" spans="1:8" x14ac:dyDescent="0.3">
      <c r="A1288" t="s">
        <v>285</v>
      </c>
      <c r="B1288">
        <v>2015</v>
      </c>
      <c r="C1288" t="s">
        <v>271</v>
      </c>
      <c r="D1288" t="s">
        <v>299</v>
      </c>
      <c r="E1288" t="s">
        <v>65</v>
      </c>
      <c r="F1288">
        <v>412000</v>
      </c>
      <c r="G1288" t="s">
        <v>83</v>
      </c>
      <c r="H1288">
        <v>1</v>
      </c>
    </row>
    <row r="1289" spans="1:8" x14ac:dyDescent="0.3">
      <c r="A1289" t="s">
        <v>285</v>
      </c>
      <c r="B1289">
        <v>2016</v>
      </c>
      <c r="C1289" t="s">
        <v>271</v>
      </c>
      <c r="D1289" t="s">
        <v>299</v>
      </c>
      <c r="E1289" t="s">
        <v>65</v>
      </c>
      <c r="F1289">
        <v>412000</v>
      </c>
      <c r="G1289" t="s">
        <v>83</v>
      </c>
      <c r="H1289">
        <v>1</v>
      </c>
    </row>
    <row r="1290" spans="1:8" x14ac:dyDescent="0.3">
      <c r="A1290" t="s">
        <v>286</v>
      </c>
      <c r="B1290">
        <v>2014</v>
      </c>
      <c r="C1290" t="s">
        <v>271</v>
      </c>
      <c r="D1290" t="s">
        <v>299</v>
      </c>
      <c r="E1290" t="s">
        <v>65</v>
      </c>
      <c r="F1290">
        <v>766000</v>
      </c>
      <c r="G1290" t="s">
        <v>276</v>
      </c>
      <c r="H1290">
        <v>1</v>
      </c>
    </row>
    <row r="1291" spans="1:8" x14ac:dyDescent="0.3">
      <c r="A1291" t="s">
        <v>287</v>
      </c>
      <c r="B1291">
        <v>2015</v>
      </c>
      <c r="C1291" t="s">
        <v>271</v>
      </c>
      <c r="D1291" t="s">
        <v>299</v>
      </c>
      <c r="E1291" t="s">
        <v>65</v>
      </c>
      <c r="F1291">
        <v>766800</v>
      </c>
      <c r="G1291" t="s">
        <v>276</v>
      </c>
      <c r="H1291">
        <v>3</v>
      </c>
    </row>
    <row r="1292" spans="1:8" x14ac:dyDescent="0.3">
      <c r="A1292" t="s">
        <v>289</v>
      </c>
      <c r="B1292">
        <v>2014</v>
      </c>
      <c r="C1292" t="s">
        <v>271</v>
      </c>
      <c r="D1292" t="s">
        <v>299</v>
      </c>
      <c r="E1292" t="s">
        <v>65</v>
      </c>
      <c r="F1292">
        <v>775000</v>
      </c>
      <c r="G1292" t="s">
        <v>276</v>
      </c>
      <c r="H1292">
        <v>2</v>
      </c>
    </row>
    <row r="1293" spans="1:8" x14ac:dyDescent="0.3">
      <c r="A1293" t="s">
        <v>289</v>
      </c>
      <c r="B1293">
        <v>2015</v>
      </c>
      <c r="C1293" t="s">
        <v>271</v>
      </c>
      <c r="D1293" t="s">
        <v>299</v>
      </c>
      <c r="E1293" t="s">
        <v>65</v>
      </c>
      <c r="F1293">
        <v>775000</v>
      </c>
      <c r="G1293" t="s">
        <v>276</v>
      </c>
      <c r="H1293">
        <v>1</v>
      </c>
    </row>
    <row r="1294" spans="1:8" x14ac:dyDescent="0.3">
      <c r="A1294" t="s">
        <v>290</v>
      </c>
      <c r="B1294">
        <v>2014</v>
      </c>
      <c r="C1294" t="s">
        <v>271</v>
      </c>
      <c r="D1294" t="s">
        <v>299</v>
      </c>
      <c r="E1294" t="s">
        <v>65</v>
      </c>
      <c r="F1294">
        <v>775000</v>
      </c>
      <c r="G1294" t="s">
        <v>276</v>
      </c>
      <c r="H1294">
        <v>1</v>
      </c>
    </row>
    <row r="1295" spans="1:8" x14ac:dyDescent="0.3">
      <c r="A1295" t="s">
        <v>290</v>
      </c>
      <c r="B1295">
        <v>2015</v>
      </c>
      <c r="C1295" t="s">
        <v>271</v>
      </c>
      <c r="D1295" t="s">
        <v>299</v>
      </c>
      <c r="E1295" t="s">
        <v>65</v>
      </c>
      <c r="F1295">
        <v>775000</v>
      </c>
      <c r="G1295" t="s">
        <v>276</v>
      </c>
      <c r="H1295">
        <v>2</v>
      </c>
    </row>
    <row r="1296" spans="1:8" x14ac:dyDescent="0.3">
      <c r="A1296" t="s">
        <v>290</v>
      </c>
      <c r="B1296">
        <v>2016</v>
      </c>
      <c r="C1296" t="s">
        <v>271</v>
      </c>
      <c r="D1296" t="s">
        <v>299</v>
      </c>
      <c r="E1296" t="s">
        <v>65</v>
      </c>
      <c r="F1296">
        <v>775000</v>
      </c>
      <c r="G1296" t="s">
        <v>276</v>
      </c>
      <c r="H1296">
        <v>2</v>
      </c>
    </row>
    <row r="1297" spans="1:8" x14ac:dyDescent="0.3">
      <c r="A1297" t="s">
        <v>291</v>
      </c>
      <c r="B1297">
        <v>2014</v>
      </c>
      <c r="C1297" t="s">
        <v>271</v>
      </c>
      <c r="D1297" t="s">
        <v>299</v>
      </c>
      <c r="E1297" t="s">
        <v>65</v>
      </c>
      <c r="F1297">
        <v>502500</v>
      </c>
      <c r="G1297" t="s">
        <v>83</v>
      </c>
      <c r="H1297">
        <v>5</v>
      </c>
    </row>
    <row r="1298" spans="1:8" x14ac:dyDescent="0.3">
      <c r="A1298" t="s">
        <v>291</v>
      </c>
      <c r="B1298">
        <v>2015</v>
      </c>
      <c r="C1298" t="s">
        <v>271</v>
      </c>
      <c r="D1298" t="s">
        <v>299</v>
      </c>
      <c r="E1298" t="s">
        <v>65</v>
      </c>
      <c r="F1298">
        <v>502500</v>
      </c>
      <c r="G1298" t="s">
        <v>83</v>
      </c>
      <c r="H1298">
        <v>6</v>
      </c>
    </row>
    <row r="1299" spans="1:8" x14ac:dyDescent="0.3">
      <c r="A1299" t="s">
        <v>291</v>
      </c>
      <c r="B1299">
        <v>2016</v>
      </c>
      <c r="C1299" t="s">
        <v>271</v>
      </c>
      <c r="D1299" t="s">
        <v>299</v>
      </c>
      <c r="E1299" t="s">
        <v>65</v>
      </c>
      <c r="F1299">
        <v>502500</v>
      </c>
      <c r="G1299" t="s">
        <v>83</v>
      </c>
      <c r="H1299">
        <v>2</v>
      </c>
    </row>
    <row r="1300" spans="1:8" x14ac:dyDescent="0.3">
      <c r="A1300" t="s">
        <v>292</v>
      </c>
      <c r="B1300">
        <v>2014</v>
      </c>
      <c r="C1300" t="s">
        <v>271</v>
      </c>
      <c r="D1300" t="s">
        <v>299</v>
      </c>
      <c r="E1300" t="s">
        <v>65</v>
      </c>
      <c r="F1300">
        <v>560000</v>
      </c>
      <c r="G1300" t="s">
        <v>83</v>
      </c>
      <c r="H1300">
        <v>2</v>
      </c>
    </row>
    <row r="1301" spans="1:8" x14ac:dyDescent="0.3">
      <c r="A1301" t="s">
        <v>292</v>
      </c>
      <c r="B1301">
        <v>2015</v>
      </c>
      <c r="C1301" t="s">
        <v>271</v>
      </c>
      <c r="D1301" t="s">
        <v>299</v>
      </c>
      <c r="E1301" t="s">
        <v>65</v>
      </c>
      <c r="F1301">
        <v>560000</v>
      </c>
      <c r="G1301" t="s">
        <v>83</v>
      </c>
      <c r="H1301">
        <v>4</v>
      </c>
    </row>
    <row r="1302" spans="1:8" x14ac:dyDescent="0.3">
      <c r="A1302" t="s">
        <v>292</v>
      </c>
      <c r="B1302">
        <v>2016</v>
      </c>
      <c r="C1302" t="s">
        <v>271</v>
      </c>
      <c r="D1302" t="s">
        <v>299</v>
      </c>
      <c r="E1302" t="s">
        <v>65</v>
      </c>
      <c r="F1302">
        <v>560000</v>
      </c>
      <c r="G1302" t="s">
        <v>83</v>
      </c>
      <c r="H1302">
        <v>4</v>
      </c>
    </row>
    <row r="1303" spans="1:8" x14ac:dyDescent="0.3">
      <c r="A1303" t="s">
        <v>174</v>
      </c>
      <c r="B1303">
        <v>2014</v>
      </c>
      <c r="C1303" t="s">
        <v>271</v>
      </c>
      <c r="D1303" t="s">
        <v>299</v>
      </c>
      <c r="E1303" t="s">
        <v>65</v>
      </c>
      <c r="F1303">
        <v>11800</v>
      </c>
      <c r="G1303" t="s">
        <v>72</v>
      </c>
      <c r="H1303">
        <v>2</v>
      </c>
    </row>
    <row r="1304" spans="1:8" x14ac:dyDescent="0.3">
      <c r="A1304" t="s">
        <v>174</v>
      </c>
      <c r="B1304">
        <v>2015</v>
      </c>
      <c r="C1304" t="s">
        <v>271</v>
      </c>
      <c r="D1304" t="s">
        <v>299</v>
      </c>
      <c r="E1304" t="s">
        <v>65</v>
      </c>
      <c r="F1304">
        <v>11800</v>
      </c>
      <c r="G1304" t="s">
        <v>72</v>
      </c>
      <c r="H1304">
        <v>2</v>
      </c>
    </row>
    <row r="1305" spans="1:8" x14ac:dyDescent="0.3">
      <c r="A1305" t="s">
        <v>174</v>
      </c>
      <c r="B1305">
        <v>2017</v>
      </c>
      <c r="C1305" t="s">
        <v>271</v>
      </c>
      <c r="D1305" t="s">
        <v>299</v>
      </c>
      <c r="E1305" t="s">
        <v>65</v>
      </c>
      <c r="F1305">
        <v>11800</v>
      </c>
      <c r="G1305" t="s">
        <v>72</v>
      </c>
      <c r="H1305">
        <v>2</v>
      </c>
    </row>
    <row r="1306" spans="1:8" x14ac:dyDescent="0.3">
      <c r="A1306" t="s">
        <v>174</v>
      </c>
      <c r="B1306">
        <v>2018</v>
      </c>
      <c r="C1306" t="s">
        <v>271</v>
      </c>
      <c r="D1306" t="s">
        <v>299</v>
      </c>
      <c r="E1306" t="s">
        <v>65</v>
      </c>
      <c r="F1306">
        <v>11800</v>
      </c>
      <c r="G1306" t="s">
        <v>72</v>
      </c>
      <c r="H1306">
        <v>2</v>
      </c>
    </row>
    <row r="1307" spans="1:8" x14ac:dyDescent="0.3">
      <c r="A1307" t="s">
        <v>175</v>
      </c>
      <c r="B1307">
        <v>2014</v>
      </c>
      <c r="C1307" t="s">
        <v>271</v>
      </c>
      <c r="D1307" t="s">
        <v>299</v>
      </c>
      <c r="E1307" t="s">
        <v>65</v>
      </c>
      <c r="F1307">
        <v>17120</v>
      </c>
      <c r="G1307" t="s">
        <v>72</v>
      </c>
      <c r="H1307">
        <v>25</v>
      </c>
    </row>
    <row r="1308" spans="1:8" x14ac:dyDescent="0.3">
      <c r="A1308" t="s">
        <v>175</v>
      </c>
      <c r="B1308">
        <v>2015</v>
      </c>
      <c r="C1308" t="s">
        <v>271</v>
      </c>
      <c r="D1308" t="s">
        <v>299</v>
      </c>
      <c r="E1308" t="s">
        <v>65</v>
      </c>
      <c r="F1308">
        <v>17120</v>
      </c>
      <c r="G1308" t="s">
        <v>72</v>
      </c>
      <c r="H1308">
        <v>116</v>
      </c>
    </row>
    <row r="1309" spans="1:8" x14ac:dyDescent="0.3">
      <c r="A1309" t="s">
        <v>175</v>
      </c>
      <c r="B1309">
        <v>2016</v>
      </c>
      <c r="C1309" t="s">
        <v>271</v>
      </c>
      <c r="D1309" t="s">
        <v>299</v>
      </c>
      <c r="E1309" t="s">
        <v>65</v>
      </c>
      <c r="F1309">
        <v>17120</v>
      </c>
      <c r="G1309" t="s">
        <v>72</v>
      </c>
      <c r="H1309">
        <v>104</v>
      </c>
    </row>
    <row r="1310" spans="1:8" x14ac:dyDescent="0.3">
      <c r="A1310" t="s">
        <v>175</v>
      </c>
      <c r="B1310">
        <v>2017</v>
      </c>
      <c r="C1310" t="s">
        <v>271</v>
      </c>
      <c r="D1310" t="s">
        <v>299</v>
      </c>
      <c r="E1310" t="s">
        <v>65</v>
      </c>
      <c r="F1310">
        <v>17120</v>
      </c>
      <c r="G1310" t="s">
        <v>72</v>
      </c>
      <c r="H1310">
        <v>98</v>
      </c>
    </row>
    <row r="1311" spans="1:8" x14ac:dyDescent="0.3">
      <c r="A1311" t="s">
        <v>175</v>
      </c>
      <c r="B1311">
        <v>2018</v>
      </c>
      <c r="C1311" t="s">
        <v>271</v>
      </c>
      <c r="D1311" t="s">
        <v>299</v>
      </c>
      <c r="E1311" t="s">
        <v>65</v>
      </c>
      <c r="F1311">
        <v>17120</v>
      </c>
      <c r="G1311" t="s">
        <v>72</v>
      </c>
      <c r="H1311">
        <v>145</v>
      </c>
    </row>
    <row r="1312" spans="1:8" x14ac:dyDescent="0.3">
      <c r="A1312" t="s">
        <v>175</v>
      </c>
      <c r="B1312">
        <v>2019</v>
      </c>
      <c r="C1312" t="s">
        <v>271</v>
      </c>
      <c r="D1312" t="s">
        <v>299</v>
      </c>
      <c r="E1312" t="s">
        <v>65</v>
      </c>
      <c r="F1312">
        <v>17120</v>
      </c>
      <c r="G1312" t="s">
        <v>72</v>
      </c>
      <c r="H1312">
        <v>125</v>
      </c>
    </row>
    <row r="1313" spans="1:8" x14ac:dyDescent="0.3">
      <c r="A1313" t="s">
        <v>175</v>
      </c>
      <c r="B1313">
        <v>2020</v>
      </c>
      <c r="C1313" t="s">
        <v>271</v>
      </c>
      <c r="D1313" t="s">
        <v>299</v>
      </c>
      <c r="E1313" t="s">
        <v>65</v>
      </c>
      <c r="F1313">
        <v>17120</v>
      </c>
      <c r="G1313" t="s">
        <v>72</v>
      </c>
      <c r="H1313">
        <v>123</v>
      </c>
    </row>
    <row r="1314" spans="1:8" x14ac:dyDescent="0.3">
      <c r="A1314" t="s">
        <v>175</v>
      </c>
      <c r="B1314">
        <v>2021</v>
      </c>
      <c r="C1314" t="s">
        <v>271</v>
      </c>
      <c r="D1314" t="s">
        <v>299</v>
      </c>
      <c r="E1314" t="s">
        <v>65</v>
      </c>
      <c r="F1314">
        <v>17120</v>
      </c>
      <c r="G1314" t="s">
        <v>72</v>
      </c>
      <c r="H1314">
        <v>159</v>
      </c>
    </row>
    <row r="1315" spans="1:8" x14ac:dyDescent="0.3">
      <c r="A1315" t="s">
        <v>71</v>
      </c>
      <c r="B1315">
        <v>2014</v>
      </c>
      <c r="C1315" t="s">
        <v>271</v>
      </c>
      <c r="D1315" t="s">
        <v>299</v>
      </c>
      <c r="E1315" t="s">
        <v>65</v>
      </c>
      <c r="F1315">
        <v>12500</v>
      </c>
      <c r="G1315" t="s">
        <v>72</v>
      </c>
      <c r="H1315">
        <v>1</v>
      </c>
    </row>
    <row r="1316" spans="1:8" x14ac:dyDescent="0.3">
      <c r="A1316" t="s">
        <v>71</v>
      </c>
      <c r="B1316">
        <v>2015</v>
      </c>
      <c r="C1316" t="s">
        <v>271</v>
      </c>
      <c r="D1316" t="s">
        <v>299</v>
      </c>
      <c r="E1316" t="s">
        <v>65</v>
      </c>
      <c r="F1316">
        <v>12500</v>
      </c>
      <c r="G1316" t="s">
        <v>72</v>
      </c>
      <c r="H1316">
        <v>3</v>
      </c>
    </row>
    <row r="1317" spans="1:8" x14ac:dyDescent="0.3">
      <c r="A1317" t="s">
        <v>71</v>
      </c>
      <c r="B1317">
        <v>2016</v>
      </c>
      <c r="C1317" t="s">
        <v>271</v>
      </c>
      <c r="D1317" t="s">
        <v>299</v>
      </c>
      <c r="E1317" t="s">
        <v>65</v>
      </c>
      <c r="F1317">
        <v>12500</v>
      </c>
      <c r="G1317" t="s">
        <v>72</v>
      </c>
      <c r="H1317">
        <v>2</v>
      </c>
    </row>
    <row r="1318" spans="1:8" x14ac:dyDescent="0.3">
      <c r="A1318" t="s">
        <v>71</v>
      </c>
      <c r="B1318">
        <v>2017</v>
      </c>
      <c r="C1318" t="s">
        <v>271</v>
      </c>
      <c r="D1318" t="s">
        <v>299</v>
      </c>
      <c r="E1318" t="s">
        <v>65</v>
      </c>
      <c r="F1318">
        <v>12500</v>
      </c>
      <c r="G1318" t="s">
        <v>72</v>
      </c>
      <c r="H1318">
        <v>5</v>
      </c>
    </row>
    <row r="1319" spans="1:8" x14ac:dyDescent="0.3">
      <c r="A1319" t="s">
        <v>71</v>
      </c>
      <c r="B1319">
        <v>2018</v>
      </c>
      <c r="C1319" t="s">
        <v>271</v>
      </c>
      <c r="D1319" t="s">
        <v>299</v>
      </c>
      <c r="E1319" t="s">
        <v>65</v>
      </c>
      <c r="F1319">
        <v>12500</v>
      </c>
      <c r="G1319" t="s">
        <v>72</v>
      </c>
      <c r="H1319">
        <v>1</v>
      </c>
    </row>
    <row r="1320" spans="1:8" x14ac:dyDescent="0.3">
      <c r="A1320" t="s">
        <v>71</v>
      </c>
      <c r="B1320">
        <v>2019</v>
      </c>
      <c r="C1320" t="s">
        <v>271</v>
      </c>
      <c r="D1320" t="s">
        <v>299</v>
      </c>
      <c r="E1320" t="s">
        <v>65</v>
      </c>
      <c r="F1320">
        <v>12500</v>
      </c>
      <c r="G1320" t="s">
        <v>72</v>
      </c>
      <c r="H1320">
        <v>3</v>
      </c>
    </row>
    <row r="1321" spans="1:8" x14ac:dyDescent="0.3">
      <c r="A1321" t="s">
        <v>176</v>
      </c>
      <c r="B1321">
        <v>2014</v>
      </c>
      <c r="C1321" t="s">
        <v>271</v>
      </c>
      <c r="D1321" t="s">
        <v>299</v>
      </c>
      <c r="E1321" t="s">
        <v>65</v>
      </c>
      <c r="F1321">
        <v>2250</v>
      </c>
      <c r="G1321" t="s">
        <v>66</v>
      </c>
      <c r="H1321">
        <v>96</v>
      </c>
    </row>
    <row r="1322" spans="1:8" x14ac:dyDescent="0.3">
      <c r="A1322" t="s">
        <v>176</v>
      </c>
      <c r="B1322">
        <v>2015</v>
      </c>
      <c r="C1322" t="s">
        <v>271</v>
      </c>
      <c r="D1322" t="s">
        <v>299</v>
      </c>
      <c r="E1322" t="s">
        <v>65</v>
      </c>
      <c r="F1322">
        <v>2250</v>
      </c>
      <c r="G1322" t="s">
        <v>66</v>
      </c>
      <c r="H1322">
        <v>171</v>
      </c>
    </row>
    <row r="1323" spans="1:8" x14ac:dyDescent="0.3">
      <c r="A1323" t="s">
        <v>176</v>
      </c>
      <c r="B1323">
        <v>2016</v>
      </c>
      <c r="C1323" t="s">
        <v>271</v>
      </c>
      <c r="D1323" t="s">
        <v>299</v>
      </c>
      <c r="E1323" t="s">
        <v>65</v>
      </c>
      <c r="F1323">
        <v>2250</v>
      </c>
      <c r="G1323" t="s">
        <v>66</v>
      </c>
      <c r="H1323">
        <v>90</v>
      </c>
    </row>
    <row r="1324" spans="1:8" x14ac:dyDescent="0.3">
      <c r="A1324" t="s">
        <v>176</v>
      </c>
      <c r="B1324">
        <v>2017</v>
      </c>
      <c r="C1324" t="s">
        <v>271</v>
      </c>
      <c r="D1324" t="s">
        <v>299</v>
      </c>
      <c r="E1324" t="s">
        <v>65</v>
      </c>
      <c r="F1324">
        <v>2250</v>
      </c>
      <c r="G1324" t="s">
        <v>66</v>
      </c>
      <c r="H1324">
        <v>108</v>
      </c>
    </row>
    <row r="1325" spans="1:8" x14ac:dyDescent="0.3">
      <c r="A1325" t="s">
        <v>176</v>
      </c>
      <c r="B1325">
        <v>2018</v>
      </c>
      <c r="C1325" t="s">
        <v>271</v>
      </c>
      <c r="D1325" t="s">
        <v>299</v>
      </c>
      <c r="E1325" t="s">
        <v>65</v>
      </c>
      <c r="F1325">
        <v>2250</v>
      </c>
      <c r="G1325" t="s">
        <v>66</v>
      </c>
      <c r="H1325">
        <v>111</v>
      </c>
    </row>
    <row r="1326" spans="1:8" x14ac:dyDescent="0.3">
      <c r="A1326" t="s">
        <v>176</v>
      </c>
      <c r="B1326">
        <v>2019</v>
      </c>
      <c r="C1326" t="s">
        <v>271</v>
      </c>
      <c r="D1326" t="s">
        <v>299</v>
      </c>
      <c r="E1326" t="s">
        <v>65</v>
      </c>
      <c r="F1326">
        <v>2250</v>
      </c>
      <c r="G1326" t="s">
        <v>66</v>
      </c>
      <c r="H1326">
        <v>135</v>
      </c>
    </row>
    <row r="1327" spans="1:8" x14ac:dyDescent="0.3">
      <c r="A1327" t="s">
        <v>176</v>
      </c>
      <c r="B1327">
        <v>2020</v>
      </c>
      <c r="C1327" t="s">
        <v>271</v>
      </c>
      <c r="D1327" t="s">
        <v>299</v>
      </c>
      <c r="E1327" t="s">
        <v>65</v>
      </c>
      <c r="F1327">
        <v>2250</v>
      </c>
      <c r="G1327" t="s">
        <v>66</v>
      </c>
      <c r="H1327">
        <v>75</v>
      </c>
    </row>
    <row r="1328" spans="1:8" x14ac:dyDescent="0.3">
      <c r="A1328" t="s">
        <v>176</v>
      </c>
      <c r="B1328">
        <v>2021</v>
      </c>
      <c r="C1328" t="s">
        <v>271</v>
      </c>
      <c r="D1328" t="s">
        <v>299</v>
      </c>
      <c r="E1328" t="s">
        <v>65</v>
      </c>
      <c r="F1328">
        <v>2250</v>
      </c>
      <c r="G1328" t="s">
        <v>66</v>
      </c>
      <c r="H1328">
        <v>139</v>
      </c>
    </row>
    <row r="1329" spans="1:8" x14ac:dyDescent="0.3">
      <c r="A1329" t="s">
        <v>177</v>
      </c>
      <c r="B1329">
        <v>2020</v>
      </c>
      <c r="C1329" t="s">
        <v>271</v>
      </c>
      <c r="D1329" t="s">
        <v>299</v>
      </c>
      <c r="E1329" t="s">
        <v>65</v>
      </c>
      <c r="F1329">
        <v>2750</v>
      </c>
      <c r="G1329" t="s">
        <v>66</v>
      </c>
      <c r="H1329">
        <v>1</v>
      </c>
    </row>
    <row r="1330" spans="1:8" x14ac:dyDescent="0.3">
      <c r="A1330" t="s">
        <v>178</v>
      </c>
      <c r="B1330">
        <v>2016</v>
      </c>
      <c r="C1330" t="s">
        <v>271</v>
      </c>
      <c r="D1330" t="s">
        <v>299</v>
      </c>
      <c r="E1330" t="s">
        <v>65</v>
      </c>
      <c r="F1330">
        <v>14000</v>
      </c>
      <c r="G1330" t="s">
        <v>72</v>
      </c>
      <c r="H1330">
        <v>1</v>
      </c>
    </row>
    <row r="1331" spans="1:8" x14ac:dyDescent="0.3">
      <c r="A1331" t="s">
        <v>178</v>
      </c>
      <c r="B1331">
        <v>2018</v>
      </c>
      <c r="C1331" t="s">
        <v>271</v>
      </c>
      <c r="D1331" t="s">
        <v>299</v>
      </c>
      <c r="E1331" t="s">
        <v>65</v>
      </c>
      <c r="F1331">
        <v>14000</v>
      </c>
      <c r="G1331" t="s">
        <v>72</v>
      </c>
      <c r="H1331">
        <v>1</v>
      </c>
    </row>
    <row r="1332" spans="1:8" x14ac:dyDescent="0.3">
      <c r="A1332" t="s">
        <v>73</v>
      </c>
      <c r="B1332">
        <v>2014</v>
      </c>
      <c r="C1332" t="s">
        <v>271</v>
      </c>
      <c r="D1332" t="s">
        <v>299</v>
      </c>
      <c r="E1332" t="s">
        <v>65</v>
      </c>
      <c r="F1332">
        <v>3500</v>
      </c>
      <c r="G1332" t="s">
        <v>66</v>
      </c>
      <c r="H1332">
        <v>4</v>
      </c>
    </row>
    <row r="1333" spans="1:8" x14ac:dyDescent="0.3">
      <c r="A1333" t="s">
        <v>73</v>
      </c>
      <c r="B1333">
        <v>2015</v>
      </c>
      <c r="C1333" t="s">
        <v>271</v>
      </c>
      <c r="D1333" t="s">
        <v>299</v>
      </c>
      <c r="E1333" t="s">
        <v>65</v>
      </c>
      <c r="F1333">
        <v>3500</v>
      </c>
      <c r="G1333" t="s">
        <v>66</v>
      </c>
      <c r="H1333">
        <v>13</v>
      </c>
    </row>
    <row r="1334" spans="1:8" x14ac:dyDescent="0.3">
      <c r="A1334" t="s">
        <v>73</v>
      </c>
      <c r="B1334">
        <v>2016</v>
      </c>
      <c r="C1334" t="s">
        <v>271</v>
      </c>
      <c r="D1334" t="s">
        <v>299</v>
      </c>
      <c r="E1334" t="s">
        <v>65</v>
      </c>
      <c r="F1334">
        <v>3500</v>
      </c>
      <c r="G1334" t="s">
        <v>66</v>
      </c>
      <c r="H1334">
        <v>13</v>
      </c>
    </row>
    <row r="1335" spans="1:8" x14ac:dyDescent="0.3">
      <c r="A1335" t="s">
        <v>73</v>
      </c>
      <c r="B1335">
        <v>2017</v>
      </c>
      <c r="C1335" t="s">
        <v>271</v>
      </c>
      <c r="D1335" t="s">
        <v>299</v>
      </c>
      <c r="E1335" t="s">
        <v>65</v>
      </c>
      <c r="F1335">
        <v>3500</v>
      </c>
      <c r="G1335" t="s">
        <v>66</v>
      </c>
      <c r="H1335">
        <v>13</v>
      </c>
    </row>
    <row r="1336" spans="1:8" x14ac:dyDescent="0.3">
      <c r="A1336" t="s">
        <v>73</v>
      </c>
      <c r="B1336">
        <v>2018</v>
      </c>
      <c r="C1336" t="s">
        <v>271</v>
      </c>
      <c r="D1336" t="s">
        <v>299</v>
      </c>
      <c r="E1336" t="s">
        <v>65</v>
      </c>
      <c r="F1336">
        <v>3500</v>
      </c>
      <c r="G1336" t="s">
        <v>66</v>
      </c>
      <c r="H1336">
        <v>6</v>
      </c>
    </row>
    <row r="1337" spans="1:8" x14ac:dyDescent="0.3">
      <c r="A1337" t="s">
        <v>73</v>
      </c>
      <c r="B1337">
        <v>2019</v>
      </c>
      <c r="C1337" t="s">
        <v>271</v>
      </c>
      <c r="D1337" t="s">
        <v>299</v>
      </c>
      <c r="E1337" t="s">
        <v>65</v>
      </c>
      <c r="F1337">
        <v>3500</v>
      </c>
      <c r="G1337" t="s">
        <v>66</v>
      </c>
      <c r="H1337">
        <v>8</v>
      </c>
    </row>
    <row r="1338" spans="1:8" x14ac:dyDescent="0.3">
      <c r="A1338" t="s">
        <v>73</v>
      </c>
      <c r="B1338">
        <v>2020</v>
      </c>
      <c r="C1338" t="s">
        <v>271</v>
      </c>
      <c r="D1338" t="s">
        <v>299</v>
      </c>
      <c r="E1338" t="s">
        <v>65</v>
      </c>
      <c r="F1338">
        <v>3500</v>
      </c>
      <c r="G1338" t="s">
        <v>66</v>
      </c>
      <c r="H1338">
        <v>1</v>
      </c>
    </row>
    <row r="1339" spans="1:8" x14ac:dyDescent="0.3">
      <c r="A1339" t="s">
        <v>73</v>
      </c>
      <c r="B1339">
        <v>2021</v>
      </c>
      <c r="C1339" t="s">
        <v>271</v>
      </c>
      <c r="D1339" t="s">
        <v>299</v>
      </c>
      <c r="E1339" t="s">
        <v>65</v>
      </c>
      <c r="F1339">
        <v>3500</v>
      </c>
      <c r="G1339" t="s">
        <v>66</v>
      </c>
      <c r="H1339">
        <v>2</v>
      </c>
    </row>
    <row r="1340" spans="1:8" x14ac:dyDescent="0.3">
      <c r="A1340" t="s">
        <v>74</v>
      </c>
      <c r="B1340">
        <v>2014</v>
      </c>
      <c r="C1340" t="s">
        <v>271</v>
      </c>
      <c r="D1340" t="s">
        <v>299</v>
      </c>
      <c r="E1340" t="s">
        <v>65</v>
      </c>
      <c r="F1340">
        <v>3400</v>
      </c>
      <c r="G1340" t="s">
        <v>66</v>
      </c>
      <c r="H1340">
        <v>1</v>
      </c>
    </row>
    <row r="1341" spans="1:8" x14ac:dyDescent="0.3">
      <c r="A1341" t="s">
        <v>74</v>
      </c>
      <c r="B1341">
        <v>2015</v>
      </c>
      <c r="C1341" t="s">
        <v>271</v>
      </c>
      <c r="D1341" t="s">
        <v>299</v>
      </c>
      <c r="E1341" t="s">
        <v>65</v>
      </c>
      <c r="F1341">
        <v>3400</v>
      </c>
      <c r="G1341" t="s">
        <v>66</v>
      </c>
      <c r="H1341">
        <v>3</v>
      </c>
    </row>
    <row r="1342" spans="1:8" x14ac:dyDescent="0.3">
      <c r="A1342" t="s">
        <v>74</v>
      </c>
      <c r="B1342">
        <v>2016</v>
      </c>
      <c r="C1342" t="s">
        <v>271</v>
      </c>
      <c r="D1342" t="s">
        <v>299</v>
      </c>
      <c r="E1342" t="s">
        <v>65</v>
      </c>
      <c r="F1342">
        <v>3400</v>
      </c>
      <c r="G1342" t="s">
        <v>66</v>
      </c>
      <c r="H1342">
        <v>2</v>
      </c>
    </row>
    <row r="1343" spans="1:8" x14ac:dyDescent="0.3">
      <c r="A1343" t="s">
        <v>74</v>
      </c>
      <c r="B1343">
        <v>2017</v>
      </c>
      <c r="C1343" t="s">
        <v>271</v>
      </c>
      <c r="D1343" t="s">
        <v>299</v>
      </c>
      <c r="E1343" t="s">
        <v>65</v>
      </c>
      <c r="F1343">
        <v>3400</v>
      </c>
      <c r="G1343" t="s">
        <v>66</v>
      </c>
      <c r="H1343">
        <v>5</v>
      </c>
    </row>
    <row r="1344" spans="1:8" x14ac:dyDescent="0.3">
      <c r="A1344" t="s">
        <v>74</v>
      </c>
      <c r="B1344">
        <v>2018</v>
      </c>
      <c r="C1344" t="s">
        <v>271</v>
      </c>
      <c r="D1344" t="s">
        <v>299</v>
      </c>
      <c r="E1344" t="s">
        <v>65</v>
      </c>
      <c r="F1344">
        <v>3400</v>
      </c>
      <c r="G1344" t="s">
        <v>66</v>
      </c>
      <c r="H1344">
        <v>4</v>
      </c>
    </row>
    <row r="1345" spans="1:8" x14ac:dyDescent="0.3">
      <c r="A1345" t="s">
        <v>74</v>
      </c>
      <c r="B1345">
        <v>2019</v>
      </c>
      <c r="C1345" t="s">
        <v>271</v>
      </c>
      <c r="D1345" t="s">
        <v>299</v>
      </c>
      <c r="E1345" t="s">
        <v>65</v>
      </c>
      <c r="F1345">
        <v>3400</v>
      </c>
      <c r="G1345" t="s">
        <v>66</v>
      </c>
      <c r="H1345">
        <v>1</v>
      </c>
    </row>
    <row r="1346" spans="1:8" x14ac:dyDescent="0.3">
      <c r="A1346" t="s">
        <v>74</v>
      </c>
      <c r="B1346">
        <v>2020</v>
      </c>
      <c r="C1346" t="s">
        <v>271</v>
      </c>
      <c r="D1346" t="s">
        <v>299</v>
      </c>
      <c r="E1346" t="s">
        <v>65</v>
      </c>
      <c r="F1346">
        <v>3400</v>
      </c>
      <c r="G1346" t="s">
        <v>66</v>
      </c>
      <c r="H1346">
        <v>1</v>
      </c>
    </row>
    <row r="1347" spans="1:8" x14ac:dyDescent="0.3">
      <c r="A1347" t="s">
        <v>74</v>
      </c>
      <c r="B1347">
        <v>2021</v>
      </c>
      <c r="C1347" t="s">
        <v>271</v>
      </c>
      <c r="D1347" t="s">
        <v>299</v>
      </c>
      <c r="E1347" t="s">
        <v>65</v>
      </c>
      <c r="F1347">
        <v>3400</v>
      </c>
      <c r="G1347" t="s">
        <v>66</v>
      </c>
      <c r="H1347">
        <v>2</v>
      </c>
    </row>
    <row r="1348" spans="1:8" x14ac:dyDescent="0.3">
      <c r="A1348" t="s">
        <v>75</v>
      </c>
      <c r="B1348">
        <v>2016</v>
      </c>
      <c r="C1348" t="s">
        <v>271</v>
      </c>
      <c r="D1348" t="s">
        <v>299</v>
      </c>
      <c r="E1348" t="s">
        <v>65</v>
      </c>
      <c r="F1348">
        <v>3650</v>
      </c>
      <c r="G1348" t="s">
        <v>66</v>
      </c>
      <c r="H1348">
        <v>1</v>
      </c>
    </row>
    <row r="1349" spans="1:8" x14ac:dyDescent="0.3">
      <c r="A1349" t="s">
        <v>75</v>
      </c>
      <c r="B1349">
        <v>2017</v>
      </c>
      <c r="C1349" t="s">
        <v>271</v>
      </c>
      <c r="D1349" t="s">
        <v>299</v>
      </c>
      <c r="E1349" t="s">
        <v>65</v>
      </c>
      <c r="F1349">
        <v>3650</v>
      </c>
      <c r="G1349" t="s">
        <v>66</v>
      </c>
      <c r="H1349">
        <v>2</v>
      </c>
    </row>
    <row r="1350" spans="1:8" x14ac:dyDescent="0.3">
      <c r="A1350" t="s">
        <v>179</v>
      </c>
      <c r="B1350">
        <v>2016</v>
      </c>
      <c r="C1350" t="s">
        <v>271</v>
      </c>
      <c r="D1350" t="s">
        <v>299</v>
      </c>
      <c r="E1350" t="s">
        <v>65</v>
      </c>
      <c r="F1350">
        <v>16100</v>
      </c>
      <c r="G1350" t="s">
        <v>66</v>
      </c>
      <c r="H1350">
        <v>3</v>
      </c>
    </row>
    <row r="1351" spans="1:8" x14ac:dyDescent="0.3">
      <c r="A1351" t="s">
        <v>179</v>
      </c>
      <c r="B1351">
        <v>2017</v>
      </c>
      <c r="C1351" t="s">
        <v>271</v>
      </c>
      <c r="D1351" t="s">
        <v>299</v>
      </c>
      <c r="E1351" t="s">
        <v>65</v>
      </c>
      <c r="F1351">
        <v>16100</v>
      </c>
      <c r="G1351" t="s">
        <v>66</v>
      </c>
      <c r="H1351">
        <v>2</v>
      </c>
    </row>
    <row r="1352" spans="1:8" x14ac:dyDescent="0.3">
      <c r="A1352" t="s">
        <v>76</v>
      </c>
      <c r="B1352">
        <v>2015</v>
      </c>
      <c r="C1352" t="s">
        <v>271</v>
      </c>
      <c r="D1352" t="s">
        <v>299</v>
      </c>
      <c r="E1352" t="s">
        <v>65</v>
      </c>
      <c r="F1352">
        <v>5300</v>
      </c>
      <c r="G1352" t="s">
        <v>66</v>
      </c>
      <c r="H1352">
        <v>1</v>
      </c>
    </row>
    <row r="1353" spans="1:8" x14ac:dyDescent="0.3">
      <c r="A1353" t="s">
        <v>76</v>
      </c>
      <c r="B1353">
        <v>2017</v>
      </c>
      <c r="C1353" t="s">
        <v>271</v>
      </c>
      <c r="D1353" t="s">
        <v>299</v>
      </c>
      <c r="E1353" t="s">
        <v>65</v>
      </c>
      <c r="F1353">
        <v>5300</v>
      </c>
      <c r="G1353" t="s">
        <v>66</v>
      </c>
      <c r="H1353">
        <v>1</v>
      </c>
    </row>
    <row r="1354" spans="1:8" x14ac:dyDescent="0.3">
      <c r="A1354" t="s">
        <v>78</v>
      </c>
      <c r="B1354">
        <v>2016</v>
      </c>
      <c r="C1354" t="s">
        <v>271</v>
      </c>
      <c r="D1354" t="s">
        <v>299</v>
      </c>
      <c r="E1354" t="s">
        <v>65</v>
      </c>
      <c r="F1354">
        <v>6775</v>
      </c>
      <c r="G1354" t="s">
        <v>66</v>
      </c>
      <c r="H1354">
        <v>2</v>
      </c>
    </row>
    <row r="1355" spans="1:8" x14ac:dyDescent="0.3">
      <c r="A1355" t="s">
        <v>182</v>
      </c>
      <c r="B1355">
        <v>2014</v>
      </c>
      <c r="C1355" t="s">
        <v>271</v>
      </c>
      <c r="D1355" t="s">
        <v>299</v>
      </c>
      <c r="E1355" t="s">
        <v>65</v>
      </c>
      <c r="F1355">
        <v>10400</v>
      </c>
      <c r="G1355" t="s">
        <v>72</v>
      </c>
      <c r="H1355">
        <v>5</v>
      </c>
    </row>
    <row r="1356" spans="1:8" x14ac:dyDescent="0.3">
      <c r="A1356" t="s">
        <v>182</v>
      </c>
      <c r="B1356">
        <v>2015</v>
      </c>
      <c r="C1356" t="s">
        <v>271</v>
      </c>
      <c r="D1356" t="s">
        <v>299</v>
      </c>
      <c r="E1356" t="s">
        <v>65</v>
      </c>
      <c r="F1356">
        <v>10400</v>
      </c>
      <c r="G1356" t="s">
        <v>72</v>
      </c>
      <c r="H1356">
        <v>51</v>
      </c>
    </row>
    <row r="1357" spans="1:8" x14ac:dyDescent="0.3">
      <c r="A1357" t="s">
        <v>182</v>
      </c>
      <c r="B1357">
        <v>2016</v>
      </c>
      <c r="C1357" t="s">
        <v>271</v>
      </c>
      <c r="D1357" t="s">
        <v>299</v>
      </c>
      <c r="E1357" t="s">
        <v>65</v>
      </c>
      <c r="F1357">
        <v>10400</v>
      </c>
      <c r="G1357" t="s">
        <v>72</v>
      </c>
      <c r="H1357">
        <v>36</v>
      </c>
    </row>
    <row r="1358" spans="1:8" x14ac:dyDescent="0.3">
      <c r="A1358" t="s">
        <v>182</v>
      </c>
      <c r="B1358">
        <v>2017</v>
      </c>
      <c r="C1358" t="s">
        <v>271</v>
      </c>
      <c r="D1358" t="s">
        <v>299</v>
      </c>
      <c r="E1358" t="s">
        <v>65</v>
      </c>
      <c r="F1358">
        <v>10400</v>
      </c>
      <c r="G1358" t="s">
        <v>72</v>
      </c>
      <c r="H1358">
        <v>5</v>
      </c>
    </row>
    <row r="1359" spans="1:8" x14ac:dyDescent="0.3">
      <c r="A1359" t="s">
        <v>182</v>
      </c>
      <c r="B1359">
        <v>2019</v>
      </c>
      <c r="C1359" t="s">
        <v>271</v>
      </c>
      <c r="D1359" t="s">
        <v>299</v>
      </c>
      <c r="E1359" t="s">
        <v>65</v>
      </c>
      <c r="F1359">
        <v>10400</v>
      </c>
      <c r="G1359" t="s">
        <v>72</v>
      </c>
      <c r="H1359">
        <v>1</v>
      </c>
    </row>
    <row r="1360" spans="1:8" x14ac:dyDescent="0.3">
      <c r="A1360" t="s">
        <v>182</v>
      </c>
      <c r="B1360">
        <v>2020</v>
      </c>
      <c r="C1360" t="s">
        <v>271</v>
      </c>
      <c r="D1360" t="s">
        <v>299</v>
      </c>
      <c r="E1360" t="s">
        <v>65</v>
      </c>
      <c r="F1360">
        <v>10400</v>
      </c>
      <c r="G1360" t="s">
        <v>72</v>
      </c>
      <c r="H1360">
        <v>1</v>
      </c>
    </row>
    <row r="1361" spans="1:8" x14ac:dyDescent="0.3">
      <c r="A1361" t="s">
        <v>80</v>
      </c>
      <c r="B1361">
        <v>2014</v>
      </c>
      <c r="C1361" t="s">
        <v>271</v>
      </c>
      <c r="D1361" t="s">
        <v>299</v>
      </c>
      <c r="E1361" t="s">
        <v>65</v>
      </c>
      <c r="F1361">
        <v>10097</v>
      </c>
      <c r="G1361" t="s">
        <v>72</v>
      </c>
      <c r="H1361">
        <v>1</v>
      </c>
    </row>
    <row r="1362" spans="1:8" x14ac:dyDescent="0.3">
      <c r="A1362" t="s">
        <v>80</v>
      </c>
      <c r="B1362">
        <v>2015</v>
      </c>
      <c r="C1362" t="s">
        <v>271</v>
      </c>
      <c r="D1362" t="s">
        <v>299</v>
      </c>
      <c r="E1362" t="s">
        <v>65</v>
      </c>
      <c r="F1362">
        <v>10097</v>
      </c>
      <c r="G1362" t="s">
        <v>72</v>
      </c>
      <c r="H1362">
        <v>4</v>
      </c>
    </row>
    <row r="1363" spans="1:8" x14ac:dyDescent="0.3">
      <c r="A1363" t="s">
        <v>80</v>
      </c>
      <c r="B1363">
        <v>2016</v>
      </c>
      <c r="C1363" t="s">
        <v>271</v>
      </c>
      <c r="D1363" t="s">
        <v>299</v>
      </c>
      <c r="E1363" t="s">
        <v>65</v>
      </c>
      <c r="F1363">
        <v>10097</v>
      </c>
      <c r="G1363" t="s">
        <v>72</v>
      </c>
      <c r="H1363">
        <v>6</v>
      </c>
    </row>
    <row r="1364" spans="1:8" x14ac:dyDescent="0.3">
      <c r="A1364" t="s">
        <v>80</v>
      </c>
      <c r="B1364">
        <v>2017</v>
      </c>
      <c r="C1364" t="s">
        <v>271</v>
      </c>
      <c r="D1364" t="s">
        <v>299</v>
      </c>
      <c r="E1364" t="s">
        <v>65</v>
      </c>
      <c r="F1364">
        <v>10097</v>
      </c>
      <c r="G1364" t="s">
        <v>72</v>
      </c>
      <c r="H1364">
        <v>2</v>
      </c>
    </row>
    <row r="1365" spans="1:8" x14ac:dyDescent="0.3">
      <c r="A1365" t="s">
        <v>81</v>
      </c>
      <c r="B1365">
        <v>2015</v>
      </c>
      <c r="C1365" t="s">
        <v>271</v>
      </c>
      <c r="D1365" t="s">
        <v>299</v>
      </c>
      <c r="E1365" t="s">
        <v>65</v>
      </c>
      <c r="F1365">
        <v>3325</v>
      </c>
      <c r="G1365" t="s">
        <v>66</v>
      </c>
      <c r="H1365">
        <v>1</v>
      </c>
    </row>
    <row r="1366" spans="1:8" x14ac:dyDescent="0.3">
      <c r="A1366" t="s">
        <v>81</v>
      </c>
      <c r="B1366">
        <v>2021</v>
      </c>
      <c r="C1366" t="s">
        <v>271</v>
      </c>
      <c r="D1366" t="s">
        <v>299</v>
      </c>
      <c r="E1366" t="s">
        <v>65</v>
      </c>
      <c r="F1366">
        <v>3325</v>
      </c>
      <c r="G1366" t="s">
        <v>66</v>
      </c>
      <c r="H1366">
        <v>1</v>
      </c>
    </row>
    <row r="1367" spans="1:8" x14ac:dyDescent="0.3">
      <c r="A1367" t="s">
        <v>82</v>
      </c>
      <c r="B1367">
        <v>2015</v>
      </c>
      <c r="C1367" t="s">
        <v>271</v>
      </c>
      <c r="D1367" t="s">
        <v>299</v>
      </c>
      <c r="E1367" t="s">
        <v>65</v>
      </c>
      <c r="F1367">
        <v>155000</v>
      </c>
      <c r="G1367" t="s">
        <v>83</v>
      </c>
      <c r="H1367">
        <v>3</v>
      </c>
    </row>
    <row r="1368" spans="1:8" x14ac:dyDescent="0.3">
      <c r="A1368" t="s">
        <v>82</v>
      </c>
      <c r="B1368">
        <v>2017</v>
      </c>
      <c r="C1368" t="s">
        <v>271</v>
      </c>
      <c r="D1368" t="s">
        <v>299</v>
      </c>
      <c r="E1368" t="s">
        <v>65</v>
      </c>
      <c r="F1368">
        <v>155000</v>
      </c>
      <c r="G1368" t="s">
        <v>83</v>
      </c>
      <c r="H1368">
        <v>1</v>
      </c>
    </row>
    <row r="1369" spans="1:8" x14ac:dyDescent="0.3">
      <c r="A1369" t="s">
        <v>184</v>
      </c>
      <c r="B1369">
        <v>2017</v>
      </c>
      <c r="C1369" t="s">
        <v>271</v>
      </c>
      <c r="D1369" t="s">
        <v>299</v>
      </c>
      <c r="E1369" t="s">
        <v>65</v>
      </c>
      <c r="F1369">
        <v>1450</v>
      </c>
      <c r="G1369" t="s">
        <v>66</v>
      </c>
      <c r="H1369">
        <v>1</v>
      </c>
    </row>
    <row r="1370" spans="1:8" x14ac:dyDescent="0.3">
      <c r="A1370" t="s">
        <v>184</v>
      </c>
      <c r="B1370">
        <v>2018</v>
      </c>
      <c r="C1370" t="s">
        <v>271</v>
      </c>
      <c r="D1370" t="s">
        <v>299</v>
      </c>
      <c r="E1370" t="s">
        <v>65</v>
      </c>
      <c r="F1370">
        <v>1450</v>
      </c>
      <c r="G1370" t="s">
        <v>66</v>
      </c>
      <c r="H1370">
        <v>1</v>
      </c>
    </row>
    <row r="1371" spans="1:8" x14ac:dyDescent="0.3">
      <c r="A1371" t="s">
        <v>184</v>
      </c>
      <c r="B1371">
        <v>2019</v>
      </c>
      <c r="C1371" t="s">
        <v>271</v>
      </c>
      <c r="D1371" t="s">
        <v>299</v>
      </c>
      <c r="E1371" t="s">
        <v>65</v>
      </c>
      <c r="F1371">
        <v>1450</v>
      </c>
      <c r="G1371" t="s">
        <v>66</v>
      </c>
      <c r="H1371">
        <v>1</v>
      </c>
    </row>
    <row r="1372" spans="1:8" x14ac:dyDescent="0.3">
      <c r="A1372" t="s">
        <v>184</v>
      </c>
      <c r="B1372">
        <v>2020</v>
      </c>
      <c r="C1372" t="s">
        <v>271</v>
      </c>
      <c r="D1372" t="s">
        <v>299</v>
      </c>
      <c r="E1372" t="s">
        <v>65</v>
      </c>
      <c r="F1372">
        <v>1450</v>
      </c>
      <c r="G1372" t="s">
        <v>66</v>
      </c>
      <c r="H1372">
        <v>1</v>
      </c>
    </row>
    <row r="1373" spans="1:8" x14ac:dyDescent="0.3">
      <c r="A1373" t="s">
        <v>84</v>
      </c>
      <c r="B1373">
        <v>2014</v>
      </c>
      <c r="C1373" t="s">
        <v>271</v>
      </c>
      <c r="D1373" t="s">
        <v>299</v>
      </c>
      <c r="E1373" t="s">
        <v>65</v>
      </c>
      <c r="F1373">
        <v>1543</v>
      </c>
      <c r="G1373" t="s">
        <v>66</v>
      </c>
      <c r="H1373">
        <v>3</v>
      </c>
    </row>
    <row r="1374" spans="1:8" x14ac:dyDescent="0.3">
      <c r="A1374" t="s">
        <v>84</v>
      </c>
      <c r="B1374">
        <v>2015</v>
      </c>
      <c r="C1374" t="s">
        <v>271</v>
      </c>
      <c r="D1374" t="s">
        <v>299</v>
      </c>
      <c r="E1374" t="s">
        <v>65</v>
      </c>
      <c r="F1374">
        <v>1543</v>
      </c>
      <c r="G1374" t="s">
        <v>66</v>
      </c>
      <c r="H1374">
        <v>1</v>
      </c>
    </row>
    <row r="1375" spans="1:8" x14ac:dyDescent="0.3">
      <c r="A1375" t="s">
        <v>84</v>
      </c>
      <c r="B1375">
        <v>2016</v>
      </c>
      <c r="C1375" t="s">
        <v>271</v>
      </c>
      <c r="D1375" t="s">
        <v>299</v>
      </c>
      <c r="E1375" t="s">
        <v>65</v>
      </c>
      <c r="F1375">
        <v>1543</v>
      </c>
      <c r="G1375" t="s">
        <v>66</v>
      </c>
      <c r="H1375">
        <v>1</v>
      </c>
    </row>
    <row r="1376" spans="1:8" x14ac:dyDescent="0.3">
      <c r="A1376" t="s">
        <v>84</v>
      </c>
      <c r="B1376">
        <v>2017</v>
      </c>
      <c r="C1376" t="s">
        <v>271</v>
      </c>
      <c r="D1376" t="s">
        <v>299</v>
      </c>
      <c r="E1376" t="s">
        <v>65</v>
      </c>
      <c r="F1376">
        <v>1543</v>
      </c>
      <c r="G1376" t="s">
        <v>66</v>
      </c>
      <c r="H1376">
        <v>2</v>
      </c>
    </row>
    <row r="1377" spans="1:8" x14ac:dyDescent="0.3">
      <c r="A1377" t="s">
        <v>84</v>
      </c>
      <c r="B1377">
        <v>2018</v>
      </c>
      <c r="C1377" t="s">
        <v>271</v>
      </c>
      <c r="D1377" t="s">
        <v>299</v>
      </c>
      <c r="E1377" t="s">
        <v>65</v>
      </c>
      <c r="F1377">
        <v>1543</v>
      </c>
      <c r="G1377" t="s">
        <v>66</v>
      </c>
      <c r="H1377">
        <v>2</v>
      </c>
    </row>
    <row r="1378" spans="1:8" x14ac:dyDescent="0.3">
      <c r="A1378" t="s">
        <v>84</v>
      </c>
      <c r="B1378">
        <v>2019</v>
      </c>
      <c r="C1378" t="s">
        <v>271</v>
      </c>
      <c r="D1378" t="s">
        <v>299</v>
      </c>
      <c r="E1378" t="s">
        <v>65</v>
      </c>
      <c r="F1378">
        <v>1543</v>
      </c>
      <c r="G1378" t="s">
        <v>66</v>
      </c>
      <c r="H1378">
        <v>4</v>
      </c>
    </row>
    <row r="1379" spans="1:8" x14ac:dyDescent="0.3">
      <c r="A1379" t="s">
        <v>84</v>
      </c>
      <c r="B1379">
        <v>2020</v>
      </c>
      <c r="C1379" t="s">
        <v>271</v>
      </c>
      <c r="D1379" t="s">
        <v>299</v>
      </c>
      <c r="E1379" t="s">
        <v>65</v>
      </c>
      <c r="F1379">
        <v>1543</v>
      </c>
      <c r="G1379" t="s">
        <v>66</v>
      </c>
      <c r="H1379">
        <v>2</v>
      </c>
    </row>
    <row r="1380" spans="1:8" x14ac:dyDescent="0.3">
      <c r="A1380" t="s">
        <v>84</v>
      </c>
      <c r="B1380">
        <v>2021</v>
      </c>
      <c r="C1380" t="s">
        <v>271</v>
      </c>
      <c r="D1380" t="s">
        <v>299</v>
      </c>
      <c r="E1380" t="s">
        <v>65</v>
      </c>
      <c r="F1380">
        <v>1543</v>
      </c>
      <c r="G1380" t="s">
        <v>66</v>
      </c>
      <c r="H1380">
        <v>1</v>
      </c>
    </row>
    <row r="1381" spans="1:8" x14ac:dyDescent="0.3">
      <c r="A1381" t="s">
        <v>85</v>
      </c>
      <c r="B1381">
        <v>2014</v>
      </c>
      <c r="C1381" t="s">
        <v>271</v>
      </c>
      <c r="D1381" t="s">
        <v>299</v>
      </c>
      <c r="E1381" t="s">
        <v>65</v>
      </c>
      <c r="F1381">
        <v>5732</v>
      </c>
      <c r="G1381" t="s">
        <v>66</v>
      </c>
      <c r="H1381">
        <v>5</v>
      </c>
    </row>
    <row r="1382" spans="1:8" x14ac:dyDescent="0.3">
      <c r="A1382" t="s">
        <v>85</v>
      </c>
      <c r="B1382">
        <v>2015</v>
      </c>
      <c r="C1382" t="s">
        <v>271</v>
      </c>
      <c r="D1382" t="s">
        <v>299</v>
      </c>
      <c r="E1382" t="s">
        <v>65</v>
      </c>
      <c r="F1382">
        <v>5732</v>
      </c>
      <c r="G1382" t="s">
        <v>66</v>
      </c>
      <c r="H1382">
        <v>4</v>
      </c>
    </row>
    <row r="1383" spans="1:8" x14ac:dyDescent="0.3">
      <c r="A1383" t="s">
        <v>85</v>
      </c>
      <c r="B1383">
        <v>2016</v>
      </c>
      <c r="C1383" t="s">
        <v>271</v>
      </c>
      <c r="D1383" t="s">
        <v>299</v>
      </c>
      <c r="E1383" t="s">
        <v>65</v>
      </c>
      <c r="F1383">
        <v>5732</v>
      </c>
      <c r="G1383" t="s">
        <v>66</v>
      </c>
      <c r="H1383">
        <v>3</v>
      </c>
    </row>
    <row r="1384" spans="1:8" x14ac:dyDescent="0.3">
      <c r="A1384" t="s">
        <v>85</v>
      </c>
      <c r="B1384">
        <v>2017</v>
      </c>
      <c r="C1384" t="s">
        <v>271</v>
      </c>
      <c r="D1384" t="s">
        <v>299</v>
      </c>
      <c r="E1384" t="s">
        <v>65</v>
      </c>
      <c r="F1384">
        <v>5732</v>
      </c>
      <c r="G1384" t="s">
        <v>66</v>
      </c>
      <c r="H1384">
        <v>6</v>
      </c>
    </row>
    <row r="1385" spans="1:8" x14ac:dyDescent="0.3">
      <c r="A1385" t="s">
        <v>85</v>
      </c>
      <c r="B1385">
        <v>2018</v>
      </c>
      <c r="C1385" t="s">
        <v>271</v>
      </c>
      <c r="D1385" t="s">
        <v>299</v>
      </c>
      <c r="E1385" t="s">
        <v>65</v>
      </c>
      <c r="F1385">
        <v>5732</v>
      </c>
      <c r="G1385" t="s">
        <v>66</v>
      </c>
      <c r="H1385">
        <v>6</v>
      </c>
    </row>
    <row r="1386" spans="1:8" x14ac:dyDescent="0.3">
      <c r="A1386" t="s">
        <v>85</v>
      </c>
      <c r="B1386">
        <v>2019</v>
      </c>
      <c r="C1386" t="s">
        <v>271</v>
      </c>
      <c r="D1386" t="s">
        <v>299</v>
      </c>
      <c r="E1386" t="s">
        <v>65</v>
      </c>
      <c r="F1386">
        <v>5732</v>
      </c>
      <c r="G1386" t="s">
        <v>66</v>
      </c>
      <c r="H1386">
        <v>48</v>
      </c>
    </row>
    <row r="1387" spans="1:8" x14ac:dyDescent="0.3">
      <c r="A1387" t="s">
        <v>85</v>
      </c>
      <c r="B1387">
        <v>2020</v>
      </c>
      <c r="C1387" t="s">
        <v>271</v>
      </c>
      <c r="D1387" t="s">
        <v>299</v>
      </c>
      <c r="E1387" t="s">
        <v>65</v>
      </c>
      <c r="F1387">
        <v>5732</v>
      </c>
      <c r="G1387" t="s">
        <v>66</v>
      </c>
      <c r="H1387">
        <v>28</v>
      </c>
    </row>
    <row r="1388" spans="1:8" x14ac:dyDescent="0.3">
      <c r="A1388" t="s">
        <v>85</v>
      </c>
      <c r="B1388">
        <v>2021</v>
      </c>
      <c r="C1388" t="s">
        <v>271</v>
      </c>
      <c r="D1388" t="s">
        <v>299</v>
      </c>
      <c r="E1388" t="s">
        <v>65</v>
      </c>
      <c r="F1388">
        <v>5732</v>
      </c>
      <c r="G1388" t="s">
        <v>66</v>
      </c>
      <c r="H1388">
        <v>24</v>
      </c>
    </row>
    <row r="1389" spans="1:8" x14ac:dyDescent="0.3">
      <c r="A1389" t="s">
        <v>185</v>
      </c>
      <c r="B1389">
        <v>2021</v>
      </c>
      <c r="C1389" t="s">
        <v>271</v>
      </c>
      <c r="D1389" t="s">
        <v>299</v>
      </c>
      <c r="E1389" t="s">
        <v>65</v>
      </c>
      <c r="F1389">
        <v>1320</v>
      </c>
      <c r="G1389" t="s">
        <v>66</v>
      </c>
      <c r="H1389">
        <v>1</v>
      </c>
    </row>
    <row r="1390" spans="1:8" x14ac:dyDescent="0.3">
      <c r="A1390" t="s">
        <v>186</v>
      </c>
      <c r="B1390">
        <v>2014</v>
      </c>
      <c r="C1390" t="s">
        <v>271</v>
      </c>
      <c r="D1390" t="s">
        <v>299</v>
      </c>
      <c r="E1390" t="s">
        <v>65</v>
      </c>
      <c r="F1390">
        <v>585000</v>
      </c>
      <c r="G1390" t="s">
        <v>83</v>
      </c>
      <c r="H1390">
        <v>11</v>
      </c>
    </row>
    <row r="1391" spans="1:8" x14ac:dyDescent="0.3">
      <c r="A1391" t="s">
        <v>186</v>
      </c>
      <c r="B1391">
        <v>2015</v>
      </c>
      <c r="C1391" t="s">
        <v>271</v>
      </c>
      <c r="D1391" t="s">
        <v>299</v>
      </c>
      <c r="E1391" t="s">
        <v>65</v>
      </c>
      <c r="F1391">
        <v>585000</v>
      </c>
      <c r="G1391" t="s">
        <v>83</v>
      </c>
      <c r="H1391">
        <v>19</v>
      </c>
    </row>
    <row r="1392" spans="1:8" x14ac:dyDescent="0.3">
      <c r="A1392" t="s">
        <v>186</v>
      </c>
      <c r="B1392">
        <v>2016</v>
      </c>
      <c r="C1392" t="s">
        <v>271</v>
      </c>
      <c r="D1392" t="s">
        <v>299</v>
      </c>
      <c r="E1392" t="s">
        <v>65</v>
      </c>
      <c r="F1392">
        <v>585000</v>
      </c>
      <c r="G1392" t="s">
        <v>83</v>
      </c>
      <c r="H1392">
        <v>13</v>
      </c>
    </row>
    <row r="1393" spans="1:8" x14ac:dyDescent="0.3">
      <c r="A1393" t="s">
        <v>186</v>
      </c>
      <c r="B1393">
        <v>2017</v>
      </c>
      <c r="C1393" t="s">
        <v>271</v>
      </c>
      <c r="D1393" t="s">
        <v>299</v>
      </c>
      <c r="E1393" t="s">
        <v>65</v>
      </c>
      <c r="F1393">
        <v>585000</v>
      </c>
      <c r="G1393" t="s">
        <v>83</v>
      </c>
      <c r="H1393">
        <v>37</v>
      </c>
    </row>
    <row r="1394" spans="1:8" x14ac:dyDescent="0.3">
      <c r="A1394" t="s">
        <v>186</v>
      </c>
      <c r="B1394">
        <v>2018</v>
      </c>
      <c r="C1394" t="s">
        <v>271</v>
      </c>
      <c r="D1394" t="s">
        <v>299</v>
      </c>
      <c r="E1394" t="s">
        <v>65</v>
      </c>
      <c r="F1394">
        <v>585000</v>
      </c>
      <c r="G1394" t="s">
        <v>83</v>
      </c>
      <c r="H1394">
        <v>10</v>
      </c>
    </row>
    <row r="1395" spans="1:8" x14ac:dyDescent="0.3">
      <c r="A1395" t="s">
        <v>186</v>
      </c>
      <c r="B1395">
        <v>2019</v>
      </c>
      <c r="C1395" t="s">
        <v>271</v>
      </c>
      <c r="D1395" t="s">
        <v>299</v>
      </c>
      <c r="E1395" t="s">
        <v>65</v>
      </c>
      <c r="F1395">
        <v>585000</v>
      </c>
      <c r="G1395" t="s">
        <v>83</v>
      </c>
      <c r="H1395">
        <v>5</v>
      </c>
    </row>
    <row r="1396" spans="1:8" x14ac:dyDescent="0.3">
      <c r="A1396" t="s">
        <v>186</v>
      </c>
      <c r="B1396">
        <v>2020</v>
      </c>
      <c r="C1396" t="s">
        <v>271</v>
      </c>
      <c r="D1396" t="s">
        <v>299</v>
      </c>
      <c r="E1396" t="s">
        <v>65</v>
      </c>
      <c r="F1396">
        <v>585000</v>
      </c>
      <c r="G1396" t="s">
        <v>83</v>
      </c>
      <c r="H1396">
        <v>11</v>
      </c>
    </row>
    <row r="1397" spans="1:8" x14ac:dyDescent="0.3">
      <c r="A1397" t="s">
        <v>186</v>
      </c>
      <c r="B1397">
        <v>2021</v>
      </c>
      <c r="C1397" t="s">
        <v>271</v>
      </c>
      <c r="D1397" t="s">
        <v>299</v>
      </c>
      <c r="E1397" t="s">
        <v>65</v>
      </c>
      <c r="F1397">
        <v>585000</v>
      </c>
      <c r="G1397" t="s">
        <v>83</v>
      </c>
      <c r="H1397">
        <v>15</v>
      </c>
    </row>
    <row r="1398" spans="1:8" x14ac:dyDescent="0.3">
      <c r="A1398" t="s">
        <v>86</v>
      </c>
      <c r="B1398">
        <v>2014</v>
      </c>
      <c r="C1398" t="s">
        <v>271</v>
      </c>
      <c r="D1398" t="s">
        <v>299</v>
      </c>
      <c r="E1398" t="s">
        <v>65</v>
      </c>
      <c r="F1398">
        <v>2450</v>
      </c>
      <c r="G1398" t="s">
        <v>66</v>
      </c>
      <c r="H1398">
        <v>11</v>
      </c>
    </row>
    <row r="1399" spans="1:8" x14ac:dyDescent="0.3">
      <c r="A1399" t="s">
        <v>86</v>
      </c>
      <c r="B1399">
        <v>2015</v>
      </c>
      <c r="C1399" t="s">
        <v>271</v>
      </c>
      <c r="D1399" t="s">
        <v>299</v>
      </c>
      <c r="E1399" t="s">
        <v>65</v>
      </c>
      <c r="F1399">
        <v>2450</v>
      </c>
      <c r="G1399" t="s">
        <v>66</v>
      </c>
      <c r="H1399">
        <v>54</v>
      </c>
    </row>
    <row r="1400" spans="1:8" x14ac:dyDescent="0.3">
      <c r="A1400" t="s">
        <v>86</v>
      </c>
      <c r="B1400">
        <v>2016</v>
      </c>
      <c r="C1400" t="s">
        <v>271</v>
      </c>
      <c r="D1400" t="s">
        <v>299</v>
      </c>
      <c r="E1400" t="s">
        <v>65</v>
      </c>
      <c r="F1400">
        <v>2450</v>
      </c>
      <c r="G1400" t="s">
        <v>66</v>
      </c>
      <c r="H1400">
        <v>107</v>
      </c>
    </row>
    <row r="1401" spans="1:8" x14ac:dyDescent="0.3">
      <c r="A1401" t="s">
        <v>86</v>
      </c>
      <c r="B1401">
        <v>2017</v>
      </c>
      <c r="C1401" t="s">
        <v>271</v>
      </c>
      <c r="D1401" t="s">
        <v>299</v>
      </c>
      <c r="E1401" t="s">
        <v>65</v>
      </c>
      <c r="F1401">
        <v>2450</v>
      </c>
      <c r="G1401" t="s">
        <v>66</v>
      </c>
      <c r="H1401">
        <v>59</v>
      </c>
    </row>
    <row r="1402" spans="1:8" x14ac:dyDescent="0.3">
      <c r="A1402" t="s">
        <v>86</v>
      </c>
      <c r="B1402">
        <v>2018</v>
      </c>
      <c r="C1402" t="s">
        <v>271</v>
      </c>
      <c r="D1402" t="s">
        <v>299</v>
      </c>
      <c r="E1402" t="s">
        <v>65</v>
      </c>
      <c r="F1402">
        <v>2450</v>
      </c>
      <c r="G1402" t="s">
        <v>66</v>
      </c>
      <c r="H1402">
        <v>54</v>
      </c>
    </row>
    <row r="1403" spans="1:8" x14ac:dyDescent="0.3">
      <c r="A1403" t="s">
        <v>86</v>
      </c>
      <c r="B1403">
        <v>2019</v>
      </c>
      <c r="C1403" t="s">
        <v>271</v>
      </c>
      <c r="D1403" t="s">
        <v>299</v>
      </c>
      <c r="E1403" t="s">
        <v>65</v>
      </c>
      <c r="F1403">
        <v>2450</v>
      </c>
      <c r="G1403" t="s">
        <v>66</v>
      </c>
      <c r="H1403">
        <v>57</v>
      </c>
    </row>
    <row r="1404" spans="1:8" x14ac:dyDescent="0.3">
      <c r="A1404" t="s">
        <v>86</v>
      </c>
      <c r="B1404">
        <v>2020</v>
      </c>
      <c r="C1404" t="s">
        <v>271</v>
      </c>
      <c r="D1404" t="s">
        <v>299</v>
      </c>
      <c r="E1404" t="s">
        <v>65</v>
      </c>
      <c r="F1404">
        <v>2450</v>
      </c>
      <c r="G1404" t="s">
        <v>66</v>
      </c>
      <c r="H1404">
        <v>64</v>
      </c>
    </row>
    <row r="1405" spans="1:8" x14ac:dyDescent="0.3">
      <c r="A1405" t="s">
        <v>86</v>
      </c>
      <c r="B1405">
        <v>2021</v>
      </c>
      <c r="C1405" t="s">
        <v>271</v>
      </c>
      <c r="D1405" t="s">
        <v>299</v>
      </c>
      <c r="E1405" t="s">
        <v>65</v>
      </c>
      <c r="F1405">
        <v>2450</v>
      </c>
      <c r="G1405" t="s">
        <v>66</v>
      </c>
      <c r="H1405">
        <v>69</v>
      </c>
    </row>
    <row r="1406" spans="1:8" x14ac:dyDescent="0.3">
      <c r="A1406" t="s">
        <v>87</v>
      </c>
      <c r="B1406">
        <v>2014</v>
      </c>
      <c r="C1406" t="s">
        <v>271</v>
      </c>
      <c r="D1406" t="s">
        <v>299</v>
      </c>
      <c r="E1406" t="s">
        <v>65</v>
      </c>
      <c r="F1406">
        <v>2500</v>
      </c>
      <c r="G1406" t="s">
        <v>66</v>
      </c>
      <c r="H1406">
        <v>2</v>
      </c>
    </row>
    <row r="1407" spans="1:8" x14ac:dyDescent="0.3">
      <c r="A1407" t="s">
        <v>87</v>
      </c>
      <c r="B1407">
        <v>2016</v>
      </c>
      <c r="C1407" t="s">
        <v>271</v>
      </c>
      <c r="D1407" t="s">
        <v>299</v>
      </c>
      <c r="E1407" t="s">
        <v>65</v>
      </c>
      <c r="F1407">
        <v>2500</v>
      </c>
      <c r="G1407" t="s">
        <v>66</v>
      </c>
      <c r="H1407">
        <v>1</v>
      </c>
    </row>
    <row r="1408" spans="1:8" x14ac:dyDescent="0.3">
      <c r="A1408" t="s">
        <v>87</v>
      </c>
      <c r="B1408">
        <v>2020</v>
      </c>
      <c r="C1408" t="s">
        <v>271</v>
      </c>
      <c r="D1408" t="s">
        <v>299</v>
      </c>
      <c r="E1408" t="s">
        <v>65</v>
      </c>
      <c r="F1408">
        <v>2500</v>
      </c>
      <c r="G1408" t="s">
        <v>66</v>
      </c>
      <c r="H1408">
        <v>1</v>
      </c>
    </row>
    <row r="1409" spans="1:8" x14ac:dyDescent="0.3">
      <c r="A1409" t="s">
        <v>88</v>
      </c>
      <c r="B1409">
        <v>2014</v>
      </c>
      <c r="C1409" t="s">
        <v>271</v>
      </c>
      <c r="D1409" t="s">
        <v>299</v>
      </c>
      <c r="E1409" t="s">
        <v>65</v>
      </c>
      <c r="F1409">
        <v>2550</v>
      </c>
      <c r="G1409" t="s">
        <v>66</v>
      </c>
      <c r="H1409">
        <v>11</v>
      </c>
    </row>
    <row r="1410" spans="1:8" x14ac:dyDescent="0.3">
      <c r="A1410" t="s">
        <v>88</v>
      </c>
      <c r="B1410">
        <v>2015</v>
      </c>
      <c r="C1410" t="s">
        <v>271</v>
      </c>
      <c r="D1410" t="s">
        <v>299</v>
      </c>
      <c r="E1410" t="s">
        <v>65</v>
      </c>
      <c r="F1410">
        <v>2550</v>
      </c>
      <c r="G1410" t="s">
        <v>66</v>
      </c>
      <c r="H1410">
        <v>22</v>
      </c>
    </row>
    <row r="1411" spans="1:8" x14ac:dyDescent="0.3">
      <c r="A1411" t="s">
        <v>88</v>
      </c>
      <c r="B1411">
        <v>2016</v>
      </c>
      <c r="C1411" t="s">
        <v>271</v>
      </c>
      <c r="D1411" t="s">
        <v>299</v>
      </c>
      <c r="E1411" t="s">
        <v>65</v>
      </c>
      <c r="F1411">
        <v>2550</v>
      </c>
      <c r="G1411" t="s">
        <v>66</v>
      </c>
      <c r="H1411">
        <v>9</v>
      </c>
    </row>
    <row r="1412" spans="1:8" x14ac:dyDescent="0.3">
      <c r="A1412" t="s">
        <v>88</v>
      </c>
      <c r="B1412">
        <v>2017</v>
      </c>
      <c r="C1412" t="s">
        <v>271</v>
      </c>
      <c r="D1412" t="s">
        <v>299</v>
      </c>
      <c r="E1412" t="s">
        <v>65</v>
      </c>
      <c r="F1412">
        <v>2550</v>
      </c>
      <c r="G1412" t="s">
        <v>66</v>
      </c>
      <c r="H1412">
        <v>6</v>
      </c>
    </row>
    <row r="1413" spans="1:8" x14ac:dyDescent="0.3">
      <c r="A1413" t="s">
        <v>88</v>
      </c>
      <c r="B1413">
        <v>2018</v>
      </c>
      <c r="C1413" t="s">
        <v>271</v>
      </c>
      <c r="D1413" t="s">
        <v>299</v>
      </c>
      <c r="E1413" t="s">
        <v>65</v>
      </c>
      <c r="F1413">
        <v>2550</v>
      </c>
      <c r="G1413" t="s">
        <v>66</v>
      </c>
      <c r="H1413">
        <v>9</v>
      </c>
    </row>
    <row r="1414" spans="1:8" x14ac:dyDescent="0.3">
      <c r="A1414" t="s">
        <v>88</v>
      </c>
      <c r="B1414">
        <v>2019</v>
      </c>
      <c r="C1414" t="s">
        <v>271</v>
      </c>
      <c r="D1414" t="s">
        <v>299</v>
      </c>
      <c r="E1414" t="s">
        <v>65</v>
      </c>
      <c r="F1414">
        <v>2550</v>
      </c>
      <c r="G1414" t="s">
        <v>66</v>
      </c>
      <c r="H1414">
        <v>8</v>
      </c>
    </row>
    <row r="1415" spans="1:8" x14ac:dyDescent="0.3">
      <c r="A1415" t="s">
        <v>88</v>
      </c>
      <c r="B1415">
        <v>2020</v>
      </c>
      <c r="C1415" t="s">
        <v>271</v>
      </c>
      <c r="D1415" t="s">
        <v>299</v>
      </c>
      <c r="E1415" t="s">
        <v>65</v>
      </c>
      <c r="F1415">
        <v>2550</v>
      </c>
      <c r="G1415" t="s">
        <v>66</v>
      </c>
      <c r="H1415">
        <v>6</v>
      </c>
    </row>
    <row r="1416" spans="1:8" x14ac:dyDescent="0.3">
      <c r="A1416" t="s">
        <v>88</v>
      </c>
      <c r="B1416">
        <v>2021</v>
      </c>
      <c r="C1416" t="s">
        <v>271</v>
      </c>
      <c r="D1416" t="s">
        <v>299</v>
      </c>
      <c r="E1416" t="s">
        <v>65</v>
      </c>
      <c r="F1416">
        <v>2550</v>
      </c>
      <c r="G1416" t="s">
        <v>66</v>
      </c>
      <c r="H1416">
        <v>9</v>
      </c>
    </row>
    <row r="1417" spans="1:8" x14ac:dyDescent="0.3">
      <c r="A1417" t="s">
        <v>89</v>
      </c>
      <c r="B1417">
        <v>2017</v>
      </c>
      <c r="C1417" t="s">
        <v>271</v>
      </c>
      <c r="D1417" t="s">
        <v>299</v>
      </c>
      <c r="E1417" t="s">
        <v>65</v>
      </c>
      <c r="F1417">
        <v>3348</v>
      </c>
      <c r="G1417" t="s">
        <v>66</v>
      </c>
      <c r="H1417">
        <v>1</v>
      </c>
    </row>
    <row r="1418" spans="1:8" x14ac:dyDescent="0.3">
      <c r="A1418" t="s">
        <v>89</v>
      </c>
      <c r="B1418">
        <v>2018</v>
      </c>
      <c r="C1418" t="s">
        <v>271</v>
      </c>
      <c r="D1418" t="s">
        <v>299</v>
      </c>
      <c r="E1418" t="s">
        <v>65</v>
      </c>
      <c r="F1418">
        <v>3348</v>
      </c>
      <c r="G1418" t="s">
        <v>66</v>
      </c>
      <c r="H1418">
        <v>2</v>
      </c>
    </row>
    <row r="1419" spans="1:8" x14ac:dyDescent="0.3">
      <c r="A1419" t="s">
        <v>89</v>
      </c>
      <c r="B1419">
        <v>2019</v>
      </c>
      <c r="C1419" t="s">
        <v>271</v>
      </c>
      <c r="D1419" t="s">
        <v>299</v>
      </c>
      <c r="E1419" t="s">
        <v>65</v>
      </c>
      <c r="F1419">
        <v>3348</v>
      </c>
      <c r="G1419" t="s">
        <v>66</v>
      </c>
      <c r="H1419">
        <v>2</v>
      </c>
    </row>
    <row r="1420" spans="1:8" x14ac:dyDescent="0.3">
      <c r="A1420" t="s">
        <v>89</v>
      </c>
      <c r="B1420">
        <v>2021</v>
      </c>
      <c r="C1420" t="s">
        <v>271</v>
      </c>
      <c r="D1420" t="s">
        <v>299</v>
      </c>
      <c r="E1420" t="s">
        <v>65</v>
      </c>
      <c r="F1420">
        <v>3348</v>
      </c>
      <c r="G1420" t="s">
        <v>66</v>
      </c>
      <c r="H1420">
        <v>3</v>
      </c>
    </row>
    <row r="1421" spans="1:8" x14ac:dyDescent="0.3">
      <c r="A1421" t="s">
        <v>90</v>
      </c>
      <c r="B1421">
        <v>2015</v>
      </c>
      <c r="C1421" t="s">
        <v>271</v>
      </c>
      <c r="D1421" t="s">
        <v>299</v>
      </c>
      <c r="E1421" t="s">
        <v>65</v>
      </c>
      <c r="F1421">
        <v>3600</v>
      </c>
      <c r="G1421" t="s">
        <v>66</v>
      </c>
      <c r="H1421">
        <v>2</v>
      </c>
    </row>
    <row r="1422" spans="1:8" x14ac:dyDescent="0.3">
      <c r="A1422" t="s">
        <v>90</v>
      </c>
      <c r="B1422">
        <v>2016</v>
      </c>
      <c r="C1422" t="s">
        <v>271</v>
      </c>
      <c r="D1422" t="s">
        <v>299</v>
      </c>
      <c r="E1422" t="s">
        <v>65</v>
      </c>
      <c r="F1422">
        <v>3600</v>
      </c>
      <c r="G1422" t="s">
        <v>66</v>
      </c>
      <c r="H1422">
        <v>2</v>
      </c>
    </row>
    <row r="1423" spans="1:8" x14ac:dyDescent="0.3">
      <c r="A1423" t="s">
        <v>90</v>
      </c>
      <c r="B1423">
        <v>2017</v>
      </c>
      <c r="C1423" t="s">
        <v>271</v>
      </c>
      <c r="D1423" t="s">
        <v>299</v>
      </c>
      <c r="E1423" t="s">
        <v>65</v>
      </c>
      <c r="F1423">
        <v>3600</v>
      </c>
      <c r="G1423" t="s">
        <v>66</v>
      </c>
      <c r="H1423">
        <v>1</v>
      </c>
    </row>
    <row r="1424" spans="1:8" x14ac:dyDescent="0.3">
      <c r="A1424" t="s">
        <v>90</v>
      </c>
      <c r="B1424">
        <v>2018</v>
      </c>
      <c r="C1424" t="s">
        <v>271</v>
      </c>
      <c r="D1424" t="s">
        <v>299</v>
      </c>
      <c r="E1424" t="s">
        <v>65</v>
      </c>
      <c r="F1424">
        <v>3600</v>
      </c>
      <c r="G1424" t="s">
        <v>66</v>
      </c>
      <c r="H1424">
        <v>3</v>
      </c>
    </row>
    <row r="1425" spans="1:8" x14ac:dyDescent="0.3">
      <c r="A1425" t="s">
        <v>91</v>
      </c>
      <c r="B1425">
        <v>2014</v>
      </c>
      <c r="C1425" t="s">
        <v>271</v>
      </c>
      <c r="D1425" t="s">
        <v>299</v>
      </c>
      <c r="E1425" t="s">
        <v>65</v>
      </c>
      <c r="F1425">
        <v>7800</v>
      </c>
      <c r="G1425" t="s">
        <v>66</v>
      </c>
      <c r="H1425">
        <v>1</v>
      </c>
    </row>
    <row r="1426" spans="1:8" x14ac:dyDescent="0.3">
      <c r="A1426" t="s">
        <v>91</v>
      </c>
      <c r="B1426">
        <v>2015</v>
      </c>
      <c r="C1426" t="s">
        <v>271</v>
      </c>
      <c r="D1426" t="s">
        <v>299</v>
      </c>
      <c r="E1426" t="s">
        <v>65</v>
      </c>
      <c r="F1426">
        <v>7800</v>
      </c>
      <c r="G1426" t="s">
        <v>66</v>
      </c>
      <c r="H1426">
        <v>4</v>
      </c>
    </row>
    <row r="1427" spans="1:8" x14ac:dyDescent="0.3">
      <c r="A1427" t="s">
        <v>91</v>
      </c>
      <c r="B1427">
        <v>2016</v>
      </c>
      <c r="C1427" t="s">
        <v>271</v>
      </c>
      <c r="D1427" t="s">
        <v>299</v>
      </c>
      <c r="E1427" t="s">
        <v>65</v>
      </c>
      <c r="F1427">
        <v>7800</v>
      </c>
      <c r="G1427" t="s">
        <v>66</v>
      </c>
      <c r="H1427">
        <v>5</v>
      </c>
    </row>
    <row r="1428" spans="1:8" x14ac:dyDescent="0.3">
      <c r="A1428" t="s">
        <v>91</v>
      </c>
      <c r="B1428">
        <v>2017</v>
      </c>
      <c r="C1428" t="s">
        <v>271</v>
      </c>
      <c r="D1428" t="s">
        <v>299</v>
      </c>
      <c r="E1428" t="s">
        <v>65</v>
      </c>
      <c r="F1428">
        <v>7800</v>
      </c>
      <c r="G1428" t="s">
        <v>66</v>
      </c>
      <c r="H1428">
        <v>3</v>
      </c>
    </row>
    <row r="1429" spans="1:8" x14ac:dyDescent="0.3">
      <c r="A1429" t="s">
        <v>91</v>
      </c>
      <c r="B1429">
        <v>2019</v>
      </c>
      <c r="C1429" t="s">
        <v>271</v>
      </c>
      <c r="D1429" t="s">
        <v>299</v>
      </c>
      <c r="E1429" t="s">
        <v>65</v>
      </c>
      <c r="F1429">
        <v>7800</v>
      </c>
      <c r="G1429" t="s">
        <v>66</v>
      </c>
      <c r="H1429">
        <v>2</v>
      </c>
    </row>
    <row r="1430" spans="1:8" x14ac:dyDescent="0.3">
      <c r="A1430" t="s">
        <v>91</v>
      </c>
      <c r="B1430">
        <v>2020</v>
      </c>
      <c r="C1430" t="s">
        <v>271</v>
      </c>
      <c r="D1430" t="s">
        <v>299</v>
      </c>
      <c r="E1430" t="s">
        <v>65</v>
      </c>
      <c r="F1430">
        <v>7800</v>
      </c>
      <c r="G1430" t="s">
        <v>66</v>
      </c>
      <c r="H1430">
        <v>7</v>
      </c>
    </row>
    <row r="1431" spans="1:8" x14ac:dyDescent="0.3">
      <c r="A1431" t="s">
        <v>91</v>
      </c>
      <c r="B1431">
        <v>2021</v>
      </c>
      <c r="C1431" t="s">
        <v>271</v>
      </c>
      <c r="D1431" t="s">
        <v>299</v>
      </c>
      <c r="E1431" t="s">
        <v>65</v>
      </c>
      <c r="F1431">
        <v>7800</v>
      </c>
      <c r="G1431" t="s">
        <v>66</v>
      </c>
      <c r="H1431">
        <v>1</v>
      </c>
    </row>
    <row r="1432" spans="1:8" x14ac:dyDescent="0.3">
      <c r="A1432" t="s">
        <v>92</v>
      </c>
      <c r="B1432">
        <v>2016</v>
      </c>
      <c r="C1432" t="s">
        <v>271</v>
      </c>
      <c r="D1432" t="s">
        <v>299</v>
      </c>
      <c r="E1432" t="s">
        <v>65</v>
      </c>
      <c r="F1432">
        <v>3100</v>
      </c>
      <c r="G1432" t="s">
        <v>66</v>
      </c>
      <c r="H1432">
        <v>2</v>
      </c>
    </row>
    <row r="1433" spans="1:8" x14ac:dyDescent="0.3">
      <c r="A1433" t="s">
        <v>92</v>
      </c>
      <c r="B1433">
        <v>2018</v>
      </c>
      <c r="C1433" t="s">
        <v>271</v>
      </c>
      <c r="D1433" t="s">
        <v>299</v>
      </c>
      <c r="E1433" t="s">
        <v>65</v>
      </c>
      <c r="F1433">
        <v>3100</v>
      </c>
      <c r="G1433" t="s">
        <v>66</v>
      </c>
      <c r="H1433">
        <v>3</v>
      </c>
    </row>
    <row r="1434" spans="1:8" x14ac:dyDescent="0.3">
      <c r="A1434" t="s">
        <v>92</v>
      </c>
      <c r="B1434">
        <v>2019</v>
      </c>
      <c r="C1434" t="s">
        <v>271</v>
      </c>
      <c r="D1434" t="s">
        <v>299</v>
      </c>
      <c r="E1434" t="s">
        <v>65</v>
      </c>
      <c r="F1434">
        <v>3100</v>
      </c>
      <c r="G1434" t="s">
        <v>66</v>
      </c>
      <c r="H1434">
        <v>2</v>
      </c>
    </row>
    <row r="1435" spans="1:8" x14ac:dyDescent="0.3">
      <c r="A1435" t="s">
        <v>92</v>
      </c>
      <c r="B1435">
        <v>2020</v>
      </c>
      <c r="C1435" t="s">
        <v>271</v>
      </c>
      <c r="D1435" t="s">
        <v>299</v>
      </c>
      <c r="E1435" t="s">
        <v>65</v>
      </c>
      <c r="F1435">
        <v>3100</v>
      </c>
      <c r="G1435" t="s">
        <v>66</v>
      </c>
      <c r="H1435">
        <v>1</v>
      </c>
    </row>
    <row r="1436" spans="1:8" x14ac:dyDescent="0.3">
      <c r="A1436" t="s">
        <v>188</v>
      </c>
      <c r="B1436">
        <v>2015</v>
      </c>
      <c r="C1436" t="s">
        <v>271</v>
      </c>
      <c r="D1436" t="s">
        <v>299</v>
      </c>
      <c r="E1436" t="s">
        <v>65</v>
      </c>
      <c r="F1436">
        <v>3600</v>
      </c>
      <c r="G1436" t="s">
        <v>66</v>
      </c>
      <c r="H1436">
        <v>1</v>
      </c>
    </row>
    <row r="1437" spans="1:8" x14ac:dyDescent="0.3">
      <c r="A1437" t="s">
        <v>94</v>
      </c>
      <c r="B1437">
        <v>2016</v>
      </c>
      <c r="C1437" t="s">
        <v>271</v>
      </c>
      <c r="D1437" t="s">
        <v>299</v>
      </c>
      <c r="E1437" t="s">
        <v>65</v>
      </c>
      <c r="F1437">
        <v>13870</v>
      </c>
      <c r="G1437" t="s">
        <v>66</v>
      </c>
      <c r="H1437">
        <v>1</v>
      </c>
    </row>
    <row r="1438" spans="1:8" x14ac:dyDescent="0.3">
      <c r="A1438" t="s">
        <v>189</v>
      </c>
      <c r="B1438">
        <v>2016</v>
      </c>
      <c r="C1438" t="s">
        <v>271</v>
      </c>
      <c r="D1438" t="s">
        <v>299</v>
      </c>
      <c r="E1438" t="s">
        <v>65</v>
      </c>
      <c r="F1438">
        <v>10361</v>
      </c>
      <c r="G1438" t="s">
        <v>66</v>
      </c>
      <c r="H1438">
        <v>1</v>
      </c>
    </row>
    <row r="1439" spans="1:8" x14ac:dyDescent="0.3">
      <c r="A1439" t="s">
        <v>190</v>
      </c>
      <c r="B1439">
        <v>2015</v>
      </c>
      <c r="C1439" t="s">
        <v>271</v>
      </c>
      <c r="D1439" t="s">
        <v>299</v>
      </c>
      <c r="E1439" t="s">
        <v>65</v>
      </c>
      <c r="F1439">
        <v>155000</v>
      </c>
      <c r="G1439" t="s">
        <v>83</v>
      </c>
      <c r="H1439">
        <v>2</v>
      </c>
    </row>
    <row r="1440" spans="1:8" x14ac:dyDescent="0.3">
      <c r="A1440" t="s">
        <v>190</v>
      </c>
      <c r="B1440">
        <v>2017</v>
      </c>
      <c r="C1440" t="s">
        <v>271</v>
      </c>
      <c r="D1440" t="s">
        <v>299</v>
      </c>
      <c r="E1440" t="s">
        <v>65</v>
      </c>
      <c r="F1440">
        <v>155000</v>
      </c>
      <c r="G1440" t="s">
        <v>83</v>
      </c>
      <c r="H1440">
        <v>1</v>
      </c>
    </row>
    <row r="1441" spans="1:8" x14ac:dyDescent="0.3">
      <c r="A1441" t="s">
        <v>190</v>
      </c>
      <c r="B1441">
        <v>2018</v>
      </c>
      <c r="C1441" t="s">
        <v>271</v>
      </c>
      <c r="D1441" t="s">
        <v>299</v>
      </c>
      <c r="E1441" t="s">
        <v>65</v>
      </c>
      <c r="F1441">
        <v>155000</v>
      </c>
      <c r="G1441" t="s">
        <v>83</v>
      </c>
      <c r="H1441">
        <v>2</v>
      </c>
    </row>
    <row r="1442" spans="1:8" x14ac:dyDescent="0.3">
      <c r="A1442" t="s">
        <v>190</v>
      </c>
      <c r="B1442">
        <v>2019</v>
      </c>
      <c r="C1442" t="s">
        <v>271</v>
      </c>
      <c r="D1442" t="s">
        <v>299</v>
      </c>
      <c r="E1442" t="s">
        <v>65</v>
      </c>
      <c r="F1442">
        <v>155000</v>
      </c>
      <c r="G1442" t="s">
        <v>83</v>
      </c>
      <c r="H1442">
        <v>2</v>
      </c>
    </row>
    <row r="1443" spans="1:8" x14ac:dyDescent="0.3">
      <c r="A1443" t="s">
        <v>192</v>
      </c>
      <c r="B1443">
        <v>2016</v>
      </c>
      <c r="C1443" t="s">
        <v>271</v>
      </c>
      <c r="D1443" t="s">
        <v>299</v>
      </c>
      <c r="E1443" t="s">
        <v>65</v>
      </c>
      <c r="F1443">
        <v>4850</v>
      </c>
      <c r="G1443" t="s">
        <v>66</v>
      </c>
      <c r="H1443">
        <v>1</v>
      </c>
    </row>
    <row r="1444" spans="1:8" x14ac:dyDescent="0.3">
      <c r="A1444" t="s">
        <v>100</v>
      </c>
      <c r="B1444">
        <v>2015</v>
      </c>
      <c r="C1444" t="s">
        <v>271</v>
      </c>
      <c r="D1444" t="s">
        <v>299</v>
      </c>
      <c r="E1444" t="s">
        <v>65</v>
      </c>
      <c r="F1444">
        <v>6750</v>
      </c>
      <c r="G1444" t="s">
        <v>66</v>
      </c>
      <c r="H1444">
        <v>3</v>
      </c>
    </row>
    <row r="1445" spans="1:8" x14ac:dyDescent="0.3">
      <c r="A1445" t="s">
        <v>100</v>
      </c>
      <c r="B1445">
        <v>2016</v>
      </c>
      <c r="C1445" t="s">
        <v>271</v>
      </c>
      <c r="D1445" t="s">
        <v>299</v>
      </c>
      <c r="E1445" t="s">
        <v>65</v>
      </c>
      <c r="F1445">
        <v>6750</v>
      </c>
      <c r="G1445" t="s">
        <v>66</v>
      </c>
      <c r="H1445">
        <v>2</v>
      </c>
    </row>
    <row r="1446" spans="1:8" x14ac:dyDescent="0.3">
      <c r="A1446" t="s">
        <v>101</v>
      </c>
      <c r="B1446">
        <v>2015</v>
      </c>
      <c r="C1446" t="s">
        <v>271</v>
      </c>
      <c r="D1446" t="s">
        <v>299</v>
      </c>
      <c r="E1446" t="s">
        <v>65</v>
      </c>
      <c r="F1446">
        <v>7450</v>
      </c>
      <c r="G1446" t="s">
        <v>66</v>
      </c>
      <c r="H1446">
        <v>1</v>
      </c>
    </row>
    <row r="1447" spans="1:8" x14ac:dyDescent="0.3">
      <c r="A1447" t="s">
        <v>195</v>
      </c>
      <c r="B1447">
        <v>2017</v>
      </c>
      <c r="C1447" t="s">
        <v>271</v>
      </c>
      <c r="D1447" t="s">
        <v>299</v>
      </c>
      <c r="E1447" t="s">
        <v>65</v>
      </c>
      <c r="F1447">
        <v>13227</v>
      </c>
      <c r="G1447" t="s">
        <v>66</v>
      </c>
      <c r="H1447">
        <v>1</v>
      </c>
    </row>
    <row r="1448" spans="1:8" x14ac:dyDescent="0.3">
      <c r="A1448" t="s">
        <v>196</v>
      </c>
      <c r="B1448">
        <v>2017</v>
      </c>
      <c r="C1448" t="s">
        <v>271</v>
      </c>
      <c r="D1448" t="s">
        <v>299</v>
      </c>
      <c r="E1448" t="s">
        <v>65</v>
      </c>
      <c r="F1448">
        <v>7716</v>
      </c>
      <c r="G1448" t="s">
        <v>66</v>
      </c>
      <c r="H1448">
        <v>1</v>
      </c>
    </row>
    <row r="1449" spans="1:8" x14ac:dyDescent="0.3">
      <c r="A1449" t="s">
        <v>103</v>
      </c>
      <c r="B1449">
        <v>2014</v>
      </c>
      <c r="C1449" t="s">
        <v>271</v>
      </c>
      <c r="D1449" t="s">
        <v>299</v>
      </c>
      <c r="E1449" t="s">
        <v>65</v>
      </c>
      <c r="F1449">
        <v>10700</v>
      </c>
      <c r="G1449" t="s">
        <v>66</v>
      </c>
      <c r="H1449">
        <v>2</v>
      </c>
    </row>
    <row r="1450" spans="1:8" x14ac:dyDescent="0.3">
      <c r="A1450" t="s">
        <v>104</v>
      </c>
      <c r="B1450">
        <v>2017</v>
      </c>
      <c r="C1450" t="s">
        <v>271</v>
      </c>
      <c r="D1450" t="s">
        <v>299</v>
      </c>
      <c r="E1450" t="s">
        <v>65</v>
      </c>
      <c r="F1450">
        <v>14800</v>
      </c>
      <c r="G1450" t="s">
        <v>66</v>
      </c>
      <c r="H1450">
        <v>6</v>
      </c>
    </row>
    <row r="1451" spans="1:8" x14ac:dyDescent="0.3">
      <c r="A1451" t="s">
        <v>105</v>
      </c>
      <c r="B1451">
        <v>2015</v>
      </c>
      <c r="C1451" t="s">
        <v>271</v>
      </c>
      <c r="D1451" t="s">
        <v>299</v>
      </c>
      <c r="E1451" t="s">
        <v>65</v>
      </c>
      <c r="F1451">
        <v>16300</v>
      </c>
      <c r="G1451" t="s">
        <v>66</v>
      </c>
      <c r="H1451">
        <v>5</v>
      </c>
    </row>
    <row r="1452" spans="1:8" x14ac:dyDescent="0.3">
      <c r="A1452" t="s">
        <v>105</v>
      </c>
      <c r="B1452">
        <v>2016</v>
      </c>
      <c r="C1452" t="s">
        <v>271</v>
      </c>
      <c r="D1452" t="s">
        <v>299</v>
      </c>
      <c r="E1452" t="s">
        <v>65</v>
      </c>
      <c r="F1452">
        <v>16300</v>
      </c>
      <c r="G1452" t="s">
        <v>66</v>
      </c>
      <c r="H1452">
        <v>1</v>
      </c>
    </row>
    <row r="1453" spans="1:8" x14ac:dyDescent="0.3">
      <c r="A1453" t="s">
        <v>106</v>
      </c>
      <c r="B1453">
        <v>2015</v>
      </c>
      <c r="C1453" t="s">
        <v>271</v>
      </c>
      <c r="D1453" t="s">
        <v>299</v>
      </c>
      <c r="E1453" t="s">
        <v>65</v>
      </c>
      <c r="F1453">
        <v>15000</v>
      </c>
      <c r="G1453" t="s">
        <v>66</v>
      </c>
      <c r="H1453">
        <v>1</v>
      </c>
    </row>
    <row r="1454" spans="1:8" x14ac:dyDescent="0.3">
      <c r="A1454" t="s">
        <v>108</v>
      </c>
      <c r="B1454">
        <v>2017</v>
      </c>
      <c r="C1454" t="s">
        <v>271</v>
      </c>
      <c r="D1454" t="s">
        <v>299</v>
      </c>
      <c r="E1454" t="s">
        <v>65</v>
      </c>
      <c r="F1454">
        <v>37478</v>
      </c>
      <c r="G1454" t="s">
        <v>72</v>
      </c>
      <c r="H1454">
        <v>1</v>
      </c>
    </row>
    <row r="1455" spans="1:8" x14ac:dyDescent="0.3">
      <c r="A1455" t="s">
        <v>203</v>
      </c>
      <c r="B1455">
        <v>2015</v>
      </c>
      <c r="C1455" t="s">
        <v>271</v>
      </c>
      <c r="D1455" t="s">
        <v>299</v>
      </c>
      <c r="E1455" t="s">
        <v>65</v>
      </c>
      <c r="F1455">
        <v>48200</v>
      </c>
      <c r="G1455" t="s">
        <v>72</v>
      </c>
      <c r="H1455">
        <v>1</v>
      </c>
    </row>
    <row r="1456" spans="1:8" x14ac:dyDescent="0.3">
      <c r="A1456" t="s">
        <v>203</v>
      </c>
      <c r="B1456">
        <v>2016</v>
      </c>
      <c r="C1456" t="s">
        <v>271</v>
      </c>
      <c r="D1456" t="s">
        <v>299</v>
      </c>
      <c r="E1456" t="s">
        <v>65</v>
      </c>
      <c r="F1456">
        <v>48200</v>
      </c>
      <c r="G1456" t="s">
        <v>72</v>
      </c>
      <c r="H1456">
        <v>2</v>
      </c>
    </row>
    <row r="1457" spans="1:8" x14ac:dyDescent="0.3">
      <c r="A1457" t="s">
        <v>294</v>
      </c>
      <c r="B1457">
        <v>2015</v>
      </c>
      <c r="C1457" t="s">
        <v>271</v>
      </c>
      <c r="D1457" t="s">
        <v>299</v>
      </c>
      <c r="E1457" t="s">
        <v>65</v>
      </c>
      <c r="F1457">
        <v>57000</v>
      </c>
      <c r="G1457" t="s">
        <v>72</v>
      </c>
      <c r="H1457">
        <v>1</v>
      </c>
    </row>
    <row r="1458" spans="1:8" x14ac:dyDescent="0.3">
      <c r="A1458" t="s">
        <v>294</v>
      </c>
      <c r="B1458">
        <v>2016</v>
      </c>
      <c r="C1458" t="s">
        <v>271</v>
      </c>
      <c r="D1458" t="s">
        <v>299</v>
      </c>
      <c r="E1458" t="s">
        <v>65</v>
      </c>
      <c r="F1458">
        <v>57000</v>
      </c>
      <c r="G1458" t="s">
        <v>72</v>
      </c>
      <c r="H1458">
        <v>4</v>
      </c>
    </row>
    <row r="1459" spans="1:8" x14ac:dyDescent="0.3">
      <c r="A1459" t="s">
        <v>294</v>
      </c>
      <c r="B1459">
        <v>2020</v>
      </c>
      <c r="C1459" t="s">
        <v>271</v>
      </c>
      <c r="D1459" t="s">
        <v>299</v>
      </c>
      <c r="E1459" t="s">
        <v>65</v>
      </c>
      <c r="F1459">
        <v>57000</v>
      </c>
      <c r="G1459" t="s">
        <v>72</v>
      </c>
      <c r="H1459">
        <v>1</v>
      </c>
    </row>
    <row r="1460" spans="1:8" x14ac:dyDescent="0.3">
      <c r="A1460" t="s">
        <v>206</v>
      </c>
      <c r="B1460">
        <v>2015</v>
      </c>
      <c r="C1460" t="s">
        <v>271</v>
      </c>
      <c r="D1460" t="s">
        <v>299</v>
      </c>
      <c r="E1460" t="s">
        <v>65</v>
      </c>
      <c r="F1460">
        <v>30842</v>
      </c>
      <c r="G1460" t="s">
        <v>72</v>
      </c>
      <c r="H1460">
        <v>1</v>
      </c>
    </row>
    <row r="1461" spans="1:8" x14ac:dyDescent="0.3">
      <c r="A1461" t="s">
        <v>112</v>
      </c>
      <c r="B1461">
        <v>2015</v>
      </c>
      <c r="C1461" t="s">
        <v>271</v>
      </c>
      <c r="D1461" t="s">
        <v>299</v>
      </c>
      <c r="E1461" t="s">
        <v>65</v>
      </c>
      <c r="F1461">
        <v>2888</v>
      </c>
      <c r="G1461" t="s">
        <v>66</v>
      </c>
      <c r="H1461">
        <v>1</v>
      </c>
    </row>
    <row r="1462" spans="1:8" x14ac:dyDescent="0.3">
      <c r="A1462" t="s">
        <v>112</v>
      </c>
      <c r="B1462">
        <v>2019</v>
      </c>
      <c r="C1462" t="s">
        <v>271</v>
      </c>
      <c r="D1462" t="s">
        <v>299</v>
      </c>
      <c r="E1462" t="s">
        <v>65</v>
      </c>
      <c r="F1462">
        <v>2888</v>
      </c>
      <c r="G1462" t="s">
        <v>66</v>
      </c>
      <c r="H1462">
        <v>1</v>
      </c>
    </row>
    <row r="1463" spans="1:8" x14ac:dyDescent="0.3">
      <c r="A1463" t="s">
        <v>113</v>
      </c>
      <c r="B1463">
        <v>2016</v>
      </c>
      <c r="C1463" t="s">
        <v>271</v>
      </c>
      <c r="D1463" t="s">
        <v>299</v>
      </c>
      <c r="E1463" t="s">
        <v>65</v>
      </c>
      <c r="F1463">
        <v>4407</v>
      </c>
      <c r="G1463" t="s">
        <v>66</v>
      </c>
      <c r="H1463">
        <v>1</v>
      </c>
    </row>
    <row r="1464" spans="1:8" x14ac:dyDescent="0.3">
      <c r="A1464" t="s">
        <v>207</v>
      </c>
      <c r="B1464">
        <v>2015</v>
      </c>
      <c r="C1464" t="s">
        <v>271</v>
      </c>
      <c r="D1464" t="s">
        <v>299</v>
      </c>
      <c r="E1464" t="s">
        <v>65</v>
      </c>
      <c r="F1464">
        <v>430000</v>
      </c>
      <c r="G1464" t="s">
        <v>83</v>
      </c>
      <c r="H1464">
        <v>1</v>
      </c>
    </row>
    <row r="1465" spans="1:8" x14ac:dyDescent="0.3">
      <c r="A1465" t="s">
        <v>114</v>
      </c>
      <c r="B1465">
        <v>2016</v>
      </c>
      <c r="C1465" t="s">
        <v>271</v>
      </c>
      <c r="D1465" t="s">
        <v>299</v>
      </c>
      <c r="E1465" t="s">
        <v>65</v>
      </c>
      <c r="F1465">
        <v>12500</v>
      </c>
      <c r="G1465" t="s">
        <v>66</v>
      </c>
      <c r="H1465">
        <v>1</v>
      </c>
    </row>
    <row r="1466" spans="1:8" x14ac:dyDescent="0.3">
      <c r="A1466" t="s">
        <v>212</v>
      </c>
      <c r="B1466">
        <v>2017</v>
      </c>
      <c r="C1466" t="s">
        <v>271</v>
      </c>
      <c r="D1466" t="s">
        <v>299</v>
      </c>
      <c r="E1466" t="s">
        <v>65</v>
      </c>
      <c r="F1466">
        <v>25353</v>
      </c>
      <c r="G1466" t="s">
        <v>72</v>
      </c>
      <c r="H1466">
        <v>2</v>
      </c>
    </row>
    <row r="1467" spans="1:8" x14ac:dyDescent="0.3">
      <c r="A1467" t="s">
        <v>214</v>
      </c>
      <c r="B1467">
        <v>2017</v>
      </c>
      <c r="C1467" t="s">
        <v>271</v>
      </c>
      <c r="D1467" t="s">
        <v>299</v>
      </c>
      <c r="E1467" t="s">
        <v>65</v>
      </c>
      <c r="F1467">
        <v>53131</v>
      </c>
      <c r="G1467" t="s">
        <v>72</v>
      </c>
      <c r="H1467">
        <v>1</v>
      </c>
    </row>
    <row r="1468" spans="1:8" x14ac:dyDescent="0.3">
      <c r="A1468" t="s">
        <v>296</v>
      </c>
      <c r="B1468">
        <v>2017</v>
      </c>
      <c r="C1468" t="s">
        <v>271</v>
      </c>
      <c r="D1468" t="s">
        <v>299</v>
      </c>
      <c r="E1468" t="s">
        <v>65</v>
      </c>
      <c r="F1468">
        <v>68000</v>
      </c>
      <c r="G1468" t="s">
        <v>66</v>
      </c>
      <c r="H1468">
        <v>1</v>
      </c>
    </row>
    <row r="1469" spans="1:8" x14ac:dyDescent="0.3">
      <c r="A1469" t="s">
        <v>222</v>
      </c>
      <c r="B1469">
        <v>2014</v>
      </c>
      <c r="C1469" t="s">
        <v>271</v>
      </c>
      <c r="D1469" t="s">
        <v>299</v>
      </c>
      <c r="E1469" t="s">
        <v>65</v>
      </c>
      <c r="F1469">
        <v>51900</v>
      </c>
      <c r="G1469" t="s">
        <v>66</v>
      </c>
      <c r="H1469">
        <v>1</v>
      </c>
    </row>
    <row r="1470" spans="1:8" x14ac:dyDescent="0.3">
      <c r="A1470" t="s">
        <v>222</v>
      </c>
      <c r="B1470">
        <v>2015</v>
      </c>
      <c r="C1470" t="s">
        <v>271</v>
      </c>
      <c r="D1470" t="s">
        <v>299</v>
      </c>
      <c r="E1470" t="s">
        <v>65</v>
      </c>
      <c r="F1470">
        <v>51900</v>
      </c>
      <c r="G1470" t="s">
        <v>66</v>
      </c>
      <c r="H1470">
        <v>3</v>
      </c>
    </row>
    <row r="1471" spans="1:8" x14ac:dyDescent="0.3">
      <c r="A1471" t="s">
        <v>222</v>
      </c>
      <c r="B1471">
        <v>2016</v>
      </c>
      <c r="C1471" t="s">
        <v>271</v>
      </c>
      <c r="D1471" t="s">
        <v>299</v>
      </c>
      <c r="E1471" t="s">
        <v>65</v>
      </c>
      <c r="F1471">
        <v>51900</v>
      </c>
      <c r="G1471" t="s">
        <v>66</v>
      </c>
      <c r="H1471">
        <v>2</v>
      </c>
    </row>
    <row r="1472" spans="1:8" x14ac:dyDescent="0.3">
      <c r="A1472" t="s">
        <v>222</v>
      </c>
      <c r="B1472">
        <v>2019</v>
      </c>
      <c r="C1472" t="s">
        <v>271</v>
      </c>
      <c r="D1472" t="s">
        <v>299</v>
      </c>
      <c r="E1472" t="s">
        <v>65</v>
      </c>
      <c r="F1472">
        <v>51900</v>
      </c>
      <c r="G1472" t="s">
        <v>66</v>
      </c>
      <c r="H1472">
        <v>1</v>
      </c>
    </row>
    <row r="1473" spans="1:8" x14ac:dyDescent="0.3">
      <c r="A1473" t="s">
        <v>223</v>
      </c>
      <c r="B1473">
        <v>2016</v>
      </c>
      <c r="C1473" t="s">
        <v>271</v>
      </c>
      <c r="D1473" t="s">
        <v>299</v>
      </c>
      <c r="E1473" t="s">
        <v>65</v>
      </c>
      <c r="F1473">
        <v>55997</v>
      </c>
      <c r="G1473" t="s">
        <v>66</v>
      </c>
      <c r="H1473">
        <v>5</v>
      </c>
    </row>
    <row r="1474" spans="1:8" x14ac:dyDescent="0.3">
      <c r="A1474" t="s">
        <v>223</v>
      </c>
      <c r="B1474">
        <v>2017</v>
      </c>
      <c r="C1474" t="s">
        <v>271</v>
      </c>
      <c r="D1474" t="s">
        <v>299</v>
      </c>
      <c r="E1474" t="s">
        <v>65</v>
      </c>
      <c r="F1474">
        <v>55997</v>
      </c>
      <c r="G1474" t="s">
        <v>66</v>
      </c>
      <c r="H1474">
        <v>12</v>
      </c>
    </row>
    <row r="1475" spans="1:8" x14ac:dyDescent="0.3">
      <c r="A1475" t="s">
        <v>223</v>
      </c>
      <c r="B1475">
        <v>2019</v>
      </c>
      <c r="C1475" t="s">
        <v>271</v>
      </c>
      <c r="D1475" t="s">
        <v>299</v>
      </c>
      <c r="E1475" t="s">
        <v>65</v>
      </c>
      <c r="F1475">
        <v>55997</v>
      </c>
      <c r="G1475" t="s">
        <v>66</v>
      </c>
      <c r="H1475">
        <v>1</v>
      </c>
    </row>
    <row r="1476" spans="1:8" x14ac:dyDescent="0.3">
      <c r="A1476" t="s">
        <v>223</v>
      </c>
      <c r="B1476">
        <v>2020</v>
      </c>
      <c r="C1476" t="s">
        <v>271</v>
      </c>
      <c r="D1476" t="s">
        <v>299</v>
      </c>
      <c r="E1476" t="s">
        <v>65</v>
      </c>
      <c r="F1476">
        <v>55997</v>
      </c>
      <c r="G1476" t="s">
        <v>66</v>
      </c>
      <c r="H1476">
        <v>6</v>
      </c>
    </row>
    <row r="1477" spans="1:8" x14ac:dyDescent="0.3">
      <c r="A1477" t="s">
        <v>223</v>
      </c>
      <c r="B1477">
        <v>2021</v>
      </c>
      <c r="C1477" t="s">
        <v>271</v>
      </c>
      <c r="D1477" t="s">
        <v>299</v>
      </c>
      <c r="E1477" t="s">
        <v>65</v>
      </c>
      <c r="F1477">
        <v>55997</v>
      </c>
      <c r="G1477" t="s">
        <v>66</v>
      </c>
      <c r="H1477">
        <v>2</v>
      </c>
    </row>
    <row r="1478" spans="1:8" x14ac:dyDescent="0.3">
      <c r="A1478" t="s">
        <v>228</v>
      </c>
      <c r="B1478">
        <v>2021</v>
      </c>
      <c r="C1478" t="s">
        <v>271</v>
      </c>
      <c r="D1478" t="s">
        <v>299</v>
      </c>
      <c r="E1478" t="s">
        <v>65</v>
      </c>
      <c r="F1478">
        <v>26100</v>
      </c>
      <c r="G1478" t="s">
        <v>72</v>
      </c>
      <c r="H1478">
        <v>1</v>
      </c>
    </row>
    <row r="1479" spans="1:8" x14ac:dyDescent="0.3">
      <c r="A1479" t="s">
        <v>232</v>
      </c>
      <c r="B1479">
        <v>2014</v>
      </c>
      <c r="C1479" t="s">
        <v>271</v>
      </c>
      <c r="D1479" t="s">
        <v>299</v>
      </c>
      <c r="E1479" t="s">
        <v>65</v>
      </c>
      <c r="F1479">
        <v>73200</v>
      </c>
      <c r="G1479" t="s">
        <v>72</v>
      </c>
      <c r="H1479">
        <v>1</v>
      </c>
    </row>
    <row r="1480" spans="1:8" x14ac:dyDescent="0.3">
      <c r="A1480" t="s">
        <v>238</v>
      </c>
      <c r="B1480">
        <v>2015</v>
      </c>
      <c r="C1480" t="s">
        <v>271</v>
      </c>
      <c r="D1480" t="s">
        <v>299</v>
      </c>
      <c r="E1480" t="s">
        <v>65</v>
      </c>
      <c r="F1480">
        <v>322500</v>
      </c>
      <c r="G1480" t="s">
        <v>83</v>
      </c>
      <c r="H1480">
        <v>1</v>
      </c>
    </row>
    <row r="1481" spans="1:8" x14ac:dyDescent="0.3">
      <c r="A1481" t="s">
        <v>238</v>
      </c>
      <c r="B1481">
        <v>2016</v>
      </c>
      <c r="C1481" t="s">
        <v>271</v>
      </c>
      <c r="D1481" t="s">
        <v>299</v>
      </c>
      <c r="E1481" t="s">
        <v>65</v>
      </c>
      <c r="F1481">
        <v>322500</v>
      </c>
      <c r="G1481" t="s">
        <v>83</v>
      </c>
      <c r="H1481">
        <v>1</v>
      </c>
    </row>
    <row r="1482" spans="1:8" x14ac:dyDescent="0.3">
      <c r="A1482" t="s">
        <v>240</v>
      </c>
      <c r="B1482">
        <v>2018</v>
      </c>
      <c r="C1482" t="s">
        <v>271</v>
      </c>
      <c r="D1482" t="s">
        <v>299</v>
      </c>
      <c r="E1482" t="s">
        <v>65</v>
      </c>
      <c r="F1482">
        <v>1425</v>
      </c>
      <c r="G1482" t="s">
        <v>66</v>
      </c>
      <c r="H1482">
        <v>1</v>
      </c>
    </row>
    <row r="1483" spans="1:8" x14ac:dyDescent="0.3">
      <c r="A1483" t="s">
        <v>241</v>
      </c>
      <c r="B1483">
        <v>2017</v>
      </c>
      <c r="C1483" t="s">
        <v>271</v>
      </c>
      <c r="D1483" t="s">
        <v>299</v>
      </c>
      <c r="E1483" t="s">
        <v>65</v>
      </c>
      <c r="F1483">
        <v>17698</v>
      </c>
      <c r="G1483" t="s">
        <v>72</v>
      </c>
      <c r="H1483">
        <v>1</v>
      </c>
    </row>
    <row r="1484" spans="1:8" x14ac:dyDescent="0.3">
      <c r="A1484" t="s">
        <v>242</v>
      </c>
      <c r="B1484">
        <v>2015</v>
      </c>
      <c r="C1484" t="s">
        <v>271</v>
      </c>
      <c r="D1484" t="s">
        <v>299</v>
      </c>
      <c r="E1484" t="s">
        <v>65</v>
      </c>
      <c r="F1484">
        <v>18000</v>
      </c>
      <c r="G1484" t="s">
        <v>72</v>
      </c>
      <c r="H1484">
        <v>1</v>
      </c>
    </row>
    <row r="1485" spans="1:8" x14ac:dyDescent="0.3">
      <c r="A1485" t="s">
        <v>121</v>
      </c>
      <c r="B1485">
        <v>2015</v>
      </c>
      <c r="C1485" t="s">
        <v>271</v>
      </c>
      <c r="D1485" t="s">
        <v>299</v>
      </c>
      <c r="E1485" t="s">
        <v>65</v>
      </c>
      <c r="F1485">
        <v>21500</v>
      </c>
      <c r="G1485" t="s">
        <v>72</v>
      </c>
      <c r="H1485">
        <v>1</v>
      </c>
    </row>
    <row r="1486" spans="1:8" x14ac:dyDescent="0.3">
      <c r="A1486" t="s">
        <v>121</v>
      </c>
      <c r="B1486">
        <v>2016</v>
      </c>
      <c r="C1486" t="s">
        <v>271</v>
      </c>
      <c r="D1486" t="s">
        <v>299</v>
      </c>
      <c r="E1486" t="s">
        <v>65</v>
      </c>
      <c r="F1486">
        <v>21500</v>
      </c>
      <c r="G1486" t="s">
        <v>72</v>
      </c>
      <c r="H1486">
        <v>1</v>
      </c>
    </row>
    <row r="1487" spans="1:8" x14ac:dyDescent="0.3">
      <c r="A1487" t="s">
        <v>121</v>
      </c>
      <c r="B1487">
        <v>2017</v>
      </c>
      <c r="C1487" t="s">
        <v>271</v>
      </c>
      <c r="D1487" t="s">
        <v>299</v>
      </c>
      <c r="E1487" t="s">
        <v>65</v>
      </c>
      <c r="F1487">
        <v>21500</v>
      </c>
      <c r="G1487" t="s">
        <v>72</v>
      </c>
      <c r="H1487">
        <v>2</v>
      </c>
    </row>
    <row r="1488" spans="1:8" x14ac:dyDescent="0.3">
      <c r="A1488" t="s">
        <v>243</v>
      </c>
      <c r="B1488">
        <v>2017</v>
      </c>
      <c r="C1488" t="s">
        <v>271</v>
      </c>
      <c r="D1488" t="s">
        <v>299</v>
      </c>
      <c r="E1488" t="s">
        <v>65</v>
      </c>
      <c r="F1488">
        <v>23500</v>
      </c>
      <c r="G1488" t="s">
        <v>72</v>
      </c>
      <c r="H1488">
        <v>1</v>
      </c>
    </row>
    <row r="1489" spans="1:8" x14ac:dyDescent="0.3">
      <c r="A1489" t="s">
        <v>122</v>
      </c>
      <c r="B1489">
        <v>2019</v>
      </c>
      <c r="C1489" t="s">
        <v>271</v>
      </c>
      <c r="D1489" t="s">
        <v>299</v>
      </c>
      <c r="E1489" t="s">
        <v>65</v>
      </c>
      <c r="F1489">
        <v>3086</v>
      </c>
      <c r="G1489" t="s">
        <v>66</v>
      </c>
      <c r="H1489">
        <v>1</v>
      </c>
    </row>
    <row r="1490" spans="1:8" x14ac:dyDescent="0.3">
      <c r="A1490" t="s">
        <v>122</v>
      </c>
      <c r="B1490">
        <v>2020</v>
      </c>
      <c r="C1490" t="s">
        <v>271</v>
      </c>
      <c r="D1490" t="s">
        <v>299</v>
      </c>
      <c r="E1490" t="s">
        <v>65</v>
      </c>
      <c r="F1490">
        <v>3086</v>
      </c>
      <c r="G1490" t="s">
        <v>66</v>
      </c>
      <c r="H1490">
        <v>2</v>
      </c>
    </row>
    <row r="1491" spans="1:8" x14ac:dyDescent="0.3">
      <c r="A1491" t="s">
        <v>123</v>
      </c>
      <c r="B1491">
        <v>2014</v>
      </c>
      <c r="C1491" t="s">
        <v>271</v>
      </c>
      <c r="D1491" t="s">
        <v>299</v>
      </c>
      <c r="E1491" t="s">
        <v>65</v>
      </c>
      <c r="F1491">
        <v>2579</v>
      </c>
      <c r="G1491" t="s">
        <v>66</v>
      </c>
      <c r="H1491">
        <v>1</v>
      </c>
    </row>
    <row r="1492" spans="1:8" x14ac:dyDescent="0.3">
      <c r="A1492" t="s">
        <v>123</v>
      </c>
      <c r="B1492">
        <v>2016</v>
      </c>
      <c r="C1492" t="s">
        <v>271</v>
      </c>
      <c r="D1492" t="s">
        <v>299</v>
      </c>
      <c r="E1492" t="s">
        <v>65</v>
      </c>
      <c r="F1492">
        <v>2579</v>
      </c>
      <c r="G1492" t="s">
        <v>66</v>
      </c>
      <c r="H1492">
        <v>1</v>
      </c>
    </row>
    <row r="1493" spans="1:8" x14ac:dyDescent="0.3">
      <c r="A1493" t="s">
        <v>123</v>
      </c>
      <c r="B1493">
        <v>2018</v>
      </c>
      <c r="C1493" t="s">
        <v>271</v>
      </c>
      <c r="D1493" t="s">
        <v>299</v>
      </c>
      <c r="E1493" t="s">
        <v>65</v>
      </c>
      <c r="F1493">
        <v>2579</v>
      </c>
      <c r="G1493" t="s">
        <v>66</v>
      </c>
      <c r="H1493">
        <v>4</v>
      </c>
    </row>
    <row r="1494" spans="1:8" x14ac:dyDescent="0.3">
      <c r="A1494" t="s">
        <v>123</v>
      </c>
      <c r="B1494">
        <v>2019</v>
      </c>
      <c r="C1494" t="s">
        <v>271</v>
      </c>
      <c r="D1494" t="s">
        <v>299</v>
      </c>
      <c r="E1494" t="s">
        <v>65</v>
      </c>
      <c r="F1494">
        <v>2579</v>
      </c>
      <c r="G1494" t="s">
        <v>66</v>
      </c>
      <c r="H1494">
        <v>3</v>
      </c>
    </row>
    <row r="1495" spans="1:8" x14ac:dyDescent="0.3">
      <c r="A1495" t="s">
        <v>123</v>
      </c>
      <c r="B1495">
        <v>2020</v>
      </c>
      <c r="C1495" t="s">
        <v>271</v>
      </c>
      <c r="D1495" t="s">
        <v>299</v>
      </c>
      <c r="E1495" t="s">
        <v>65</v>
      </c>
      <c r="F1495">
        <v>2579</v>
      </c>
      <c r="G1495" t="s">
        <v>66</v>
      </c>
      <c r="H1495">
        <v>1</v>
      </c>
    </row>
    <row r="1496" spans="1:8" x14ac:dyDescent="0.3">
      <c r="A1496" t="s">
        <v>123</v>
      </c>
      <c r="B1496">
        <v>2021</v>
      </c>
      <c r="C1496" t="s">
        <v>271</v>
      </c>
      <c r="D1496" t="s">
        <v>299</v>
      </c>
      <c r="E1496" t="s">
        <v>65</v>
      </c>
      <c r="F1496">
        <v>2579</v>
      </c>
      <c r="G1496" t="s">
        <v>66</v>
      </c>
      <c r="H1496">
        <v>1</v>
      </c>
    </row>
    <row r="1497" spans="1:8" x14ac:dyDescent="0.3">
      <c r="A1497" t="s">
        <v>124</v>
      </c>
      <c r="B1497">
        <v>2015</v>
      </c>
      <c r="C1497" t="s">
        <v>271</v>
      </c>
      <c r="D1497" t="s">
        <v>299</v>
      </c>
      <c r="E1497" t="s">
        <v>65</v>
      </c>
      <c r="F1497">
        <v>12500</v>
      </c>
      <c r="G1497" t="s">
        <v>66</v>
      </c>
      <c r="H1497">
        <v>1</v>
      </c>
    </row>
    <row r="1498" spans="1:8" x14ac:dyDescent="0.3">
      <c r="A1498" t="s">
        <v>248</v>
      </c>
      <c r="B1498">
        <v>2015</v>
      </c>
      <c r="C1498" t="s">
        <v>271</v>
      </c>
      <c r="D1498" t="s">
        <v>299</v>
      </c>
      <c r="E1498" t="s">
        <v>65</v>
      </c>
      <c r="F1498">
        <v>11799</v>
      </c>
      <c r="G1498" t="s">
        <v>66</v>
      </c>
      <c r="H1498">
        <v>3</v>
      </c>
    </row>
    <row r="1499" spans="1:8" x14ac:dyDescent="0.3">
      <c r="A1499" t="s">
        <v>248</v>
      </c>
      <c r="B1499">
        <v>2016</v>
      </c>
      <c r="C1499" t="s">
        <v>271</v>
      </c>
      <c r="D1499" t="s">
        <v>299</v>
      </c>
      <c r="E1499" t="s">
        <v>65</v>
      </c>
      <c r="F1499">
        <v>11799</v>
      </c>
      <c r="G1499" t="s">
        <v>66</v>
      </c>
      <c r="H1499">
        <v>1</v>
      </c>
    </row>
    <row r="1500" spans="1:8" x14ac:dyDescent="0.3">
      <c r="A1500" t="s">
        <v>248</v>
      </c>
      <c r="B1500">
        <v>2017</v>
      </c>
      <c r="C1500" t="s">
        <v>271</v>
      </c>
      <c r="D1500" t="s">
        <v>299</v>
      </c>
      <c r="E1500" t="s">
        <v>65</v>
      </c>
      <c r="F1500">
        <v>11799</v>
      </c>
      <c r="G1500" t="s">
        <v>66</v>
      </c>
      <c r="H1500">
        <v>1</v>
      </c>
    </row>
    <row r="1501" spans="1:8" x14ac:dyDescent="0.3">
      <c r="A1501" t="s">
        <v>297</v>
      </c>
      <c r="B1501">
        <v>2017</v>
      </c>
      <c r="C1501" t="s">
        <v>271</v>
      </c>
      <c r="D1501" t="s">
        <v>299</v>
      </c>
      <c r="E1501" t="s">
        <v>65</v>
      </c>
      <c r="F1501">
        <v>85980</v>
      </c>
      <c r="G1501" t="s">
        <v>72</v>
      </c>
      <c r="H1501">
        <v>1</v>
      </c>
    </row>
    <row r="1502" spans="1:8" x14ac:dyDescent="0.3">
      <c r="A1502" t="s">
        <v>297</v>
      </c>
      <c r="B1502">
        <v>2018</v>
      </c>
      <c r="C1502" t="s">
        <v>271</v>
      </c>
      <c r="D1502" t="s">
        <v>299</v>
      </c>
      <c r="E1502" t="s">
        <v>65</v>
      </c>
      <c r="F1502">
        <v>85980</v>
      </c>
      <c r="G1502" t="s">
        <v>72</v>
      </c>
      <c r="H1502">
        <v>8</v>
      </c>
    </row>
    <row r="1503" spans="1:8" x14ac:dyDescent="0.3">
      <c r="A1503" t="s">
        <v>297</v>
      </c>
      <c r="B1503">
        <v>2019</v>
      </c>
      <c r="C1503" t="s">
        <v>271</v>
      </c>
      <c r="D1503" t="s">
        <v>299</v>
      </c>
      <c r="E1503" t="s">
        <v>65</v>
      </c>
      <c r="F1503">
        <v>85980</v>
      </c>
      <c r="G1503" t="s">
        <v>72</v>
      </c>
      <c r="H1503">
        <v>7</v>
      </c>
    </row>
    <row r="1504" spans="1:8" x14ac:dyDescent="0.3">
      <c r="A1504" t="s">
        <v>126</v>
      </c>
      <c r="B1504">
        <v>2014</v>
      </c>
      <c r="C1504" t="s">
        <v>271</v>
      </c>
      <c r="D1504" t="s">
        <v>299</v>
      </c>
      <c r="E1504" t="s">
        <v>65</v>
      </c>
      <c r="F1504">
        <v>2548</v>
      </c>
      <c r="G1504" t="s">
        <v>66</v>
      </c>
      <c r="H1504">
        <v>14</v>
      </c>
    </row>
    <row r="1505" spans="1:8" x14ac:dyDescent="0.3">
      <c r="A1505" t="s">
        <v>126</v>
      </c>
      <c r="B1505">
        <v>2015</v>
      </c>
      <c r="C1505" t="s">
        <v>271</v>
      </c>
      <c r="D1505" t="s">
        <v>299</v>
      </c>
      <c r="E1505" t="s">
        <v>65</v>
      </c>
      <c r="F1505">
        <v>2548</v>
      </c>
      <c r="G1505" t="s">
        <v>66</v>
      </c>
      <c r="H1505">
        <v>30</v>
      </c>
    </row>
    <row r="1506" spans="1:8" x14ac:dyDescent="0.3">
      <c r="A1506" t="s">
        <v>126</v>
      </c>
      <c r="B1506">
        <v>2016</v>
      </c>
      <c r="C1506" t="s">
        <v>271</v>
      </c>
      <c r="D1506" t="s">
        <v>299</v>
      </c>
      <c r="E1506" t="s">
        <v>65</v>
      </c>
      <c r="F1506">
        <v>2548</v>
      </c>
      <c r="G1506" t="s">
        <v>66</v>
      </c>
      <c r="H1506">
        <v>24</v>
      </c>
    </row>
    <row r="1507" spans="1:8" x14ac:dyDescent="0.3">
      <c r="A1507" t="s">
        <v>126</v>
      </c>
      <c r="B1507">
        <v>2017</v>
      </c>
      <c r="C1507" t="s">
        <v>271</v>
      </c>
      <c r="D1507" t="s">
        <v>299</v>
      </c>
      <c r="E1507" t="s">
        <v>65</v>
      </c>
      <c r="F1507">
        <v>2548</v>
      </c>
      <c r="G1507" t="s">
        <v>66</v>
      </c>
      <c r="H1507">
        <v>19</v>
      </c>
    </row>
    <row r="1508" spans="1:8" x14ac:dyDescent="0.3">
      <c r="A1508" t="s">
        <v>126</v>
      </c>
      <c r="B1508">
        <v>2018</v>
      </c>
      <c r="C1508" t="s">
        <v>271</v>
      </c>
      <c r="D1508" t="s">
        <v>299</v>
      </c>
      <c r="E1508" t="s">
        <v>65</v>
      </c>
      <c r="F1508">
        <v>2548</v>
      </c>
      <c r="G1508" t="s">
        <v>66</v>
      </c>
      <c r="H1508">
        <v>89</v>
      </c>
    </row>
    <row r="1509" spans="1:8" x14ac:dyDescent="0.3">
      <c r="A1509" t="s">
        <v>126</v>
      </c>
      <c r="B1509">
        <v>2019</v>
      </c>
      <c r="C1509" t="s">
        <v>271</v>
      </c>
      <c r="D1509" t="s">
        <v>299</v>
      </c>
      <c r="E1509" t="s">
        <v>65</v>
      </c>
      <c r="F1509">
        <v>2548</v>
      </c>
      <c r="G1509" t="s">
        <v>66</v>
      </c>
      <c r="H1509">
        <v>111</v>
      </c>
    </row>
    <row r="1510" spans="1:8" x14ac:dyDescent="0.3">
      <c r="A1510" t="s">
        <v>126</v>
      </c>
      <c r="B1510">
        <v>2020</v>
      </c>
      <c r="C1510" t="s">
        <v>271</v>
      </c>
      <c r="D1510" t="s">
        <v>299</v>
      </c>
      <c r="E1510" t="s">
        <v>65</v>
      </c>
      <c r="F1510">
        <v>2548</v>
      </c>
      <c r="G1510" t="s">
        <v>66</v>
      </c>
      <c r="H1510">
        <v>71</v>
      </c>
    </row>
    <row r="1511" spans="1:8" x14ac:dyDescent="0.3">
      <c r="A1511" t="s">
        <v>126</v>
      </c>
      <c r="B1511">
        <v>2021</v>
      </c>
      <c r="C1511" t="s">
        <v>271</v>
      </c>
      <c r="D1511" t="s">
        <v>299</v>
      </c>
      <c r="E1511" t="s">
        <v>65</v>
      </c>
      <c r="F1511">
        <v>2548</v>
      </c>
      <c r="G1511" t="s">
        <v>66</v>
      </c>
      <c r="H1511">
        <v>110</v>
      </c>
    </row>
    <row r="1512" spans="1:8" x14ac:dyDescent="0.3">
      <c r="A1512" t="s">
        <v>128</v>
      </c>
      <c r="B1512">
        <v>2014</v>
      </c>
      <c r="C1512" t="s">
        <v>271</v>
      </c>
      <c r="D1512" t="s">
        <v>299</v>
      </c>
      <c r="E1512" t="s">
        <v>65</v>
      </c>
      <c r="F1512">
        <v>2866</v>
      </c>
      <c r="G1512" t="s">
        <v>66</v>
      </c>
      <c r="H1512">
        <v>1</v>
      </c>
    </row>
    <row r="1513" spans="1:8" x14ac:dyDescent="0.3">
      <c r="A1513" t="s">
        <v>128</v>
      </c>
      <c r="B1513">
        <v>2015</v>
      </c>
      <c r="C1513" t="s">
        <v>271</v>
      </c>
      <c r="D1513" t="s">
        <v>299</v>
      </c>
      <c r="E1513" t="s">
        <v>65</v>
      </c>
      <c r="F1513">
        <v>2866</v>
      </c>
      <c r="G1513" t="s">
        <v>66</v>
      </c>
      <c r="H1513">
        <v>1</v>
      </c>
    </row>
    <row r="1514" spans="1:8" x14ac:dyDescent="0.3">
      <c r="A1514" t="s">
        <v>128</v>
      </c>
      <c r="B1514">
        <v>2016</v>
      </c>
      <c r="C1514" t="s">
        <v>271</v>
      </c>
      <c r="D1514" t="s">
        <v>299</v>
      </c>
      <c r="E1514" t="s">
        <v>65</v>
      </c>
      <c r="F1514">
        <v>2866</v>
      </c>
      <c r="G1514" t="s">
        <v>66</v>
      </c>
      <c r="H1514">
        <v>2</v>
      </c>
    </row>
    <row r="1515" spans="1:8" x14ac:dyDescent="0.3">
      <c r="A1515" t="s">
        <v>128</v>
      </c>
      <c r="B1515">
        <v>2017</v>
      </c>
      <c r="C1515" t="s">
        <v>271</v>
      </c>
      <c r="D1515" t="s">
        <v>299</v>
      </c>
      <c r="E1515" t="s">
        <v>65</v>
      </c>
      <c r="F1515">
        <v>2866</v>
      </c>
      <c r="G1515" t="s">
        <v>66</v>
      </c>
      <c r="H1515">
        <v>2</v>
      </c>
    </row>
    <row r="1516" spans="1:8" x14ac:dyDescent="0.3">
      <c r="A1516" t="s">
        <v>128</v>
      </c>
      <c r="B1516">
        <v>2018</v>
      </c>
      <c r="C1516" t="s">
        <v>271</v>
      </c>
      <c r="D1516" t="s">
        <v>299</v>
      </c>
      <c r="E1516" t="s">
        <v>65</v>
      </c>
      <c r="F1516">
        <v>2866</v>
      </c>
      <c r="G1516" t="s">
        <v>66</v>
      </c>
      <c r="H1516">
        <v>5</v>
      </c>
    </row>
    <row r="1517" spans="1:8" x14ac:dyDescent="0.3">
      <c r="A1517" t="s">
        <v>128</v>
      </c>
      <c r="B1517">
        <v>2019</v>
      </c>
      <c r="C1517" t="s">
        <v>271</v>
      </c>
      <c r="D1517" t="s">
        <v>299</v>
      </c>
      <c r="E1517" t="s">
        <v>65</v>
      </c>
      <c r="F1517">
        <v>2866</v>
      </c>
      <c r="G1517" t="s">
        <v>66</v>
      </c>
      <c r="H1517">
        <v>1</v>
      </c>
    </row>
    <row r="1518" spans="1:8" x14ac:dyDescent="0.3">
      <c r="A1518" t="s">
        <v>128</v>
      </c>
      <c r="B1518">
        <v>2020</v>
      </c>
      <c r="C1518" t="s">
        <v>271</v>
      </c>
      <c r="D1518" t="s">
        <v>299</v>
      </c>
      <c r="E1518" t="s">
        <v>65</v>
      </c>
      <c r="F1518">
        <v>2866</v>
      </c>
      <c r="G1518" t="s">
        <v>66</v>
      </c>
      <c r="H1518">
        <v>1</v>
      </c>
    </row>
    <row r="1519" spans="1:8" x14ac:dyDescent="0.3">
      <c r="A1519" t="s">
        <v>128</v>
      </c>
      <c r="B1519">
        <v>2021</v>
      </c>
      <c r="C1519" t="s">
        <v>271</v>
      </c>
      <c r="D1519" t="s">
        <v>299</v>
      </c>
      <c r="E1519" t="s">
        <v>65</v>
      </c>
      <c r="F1519">
        <v>2866</v>
      </c>
      <c r="G1519" t="s">
        <v>66</v>
      </c>
      <c r="H1519">
        <v>1</v>
      </c>
    </row>
    <row r="1520" spans="1:8" x14ac:dyDescent="0.3">
      <c r="A1520" t="s">
        <v>250</v>
      </c>
      <c r="B1520">
        <v>2014</v>
      </c>
      <c r="C1520" t="s">
        <v>271</v>
      </c>
      <c r="D1520" t="s">
        <v>299</v>
      </c>
      <c r="E1520" t="s">
        <v>65</v>
      </c>
      <c r="F1520">
        <v>135000</v>
      </c>
      <c r="G1520" t="s">
        <v>72</v>
      </c>
      <c r="H1520">
        <v>18</v>
      </c>
    </row>
    <row r="1521" spans="1:8" x14ac:dyDescent="0.3">
      <c r="A1521" t="s">
        <v>250</v>
      </c>
      <c r="B1521">
        <v>2015</v>
      </c>
      <c r="C1521" t="s">
        <v>271</v>
      </c>
      <c r="D1521" t="s">
        <v>299</v>
      </c>
      <c r="E1521" t="s">
        <v>65</v>
      </c>
      <c r="F1521">
        <v>135000</v>
      </c>
      <c r="G1521" t="s">
        <v>72</v>
      </c>
      <c r="H1521">
        <v>12</v>
      </c>
    </row>
    <row r="1522" spans="1:8" x14ac:dyDescent="0.3">
      <c r="A1522" t="s">
        <v>250</v>
      </c>
      <c r="B1522">
        <v>2016</v>
      </c>
      <c r="C1522" t="s">
        <v>271</v>
      </c>
      <c r="D1522" t="s">
        <v>299</v>
      </c>
      <c r="E1522" t="s">
        <v>65</v>
      </c>
      <c r="F1522">
        <v>135000</v>
      </c>
      <c r="G1522" t="s">
        <v>72</v>
      </c>
      <c r="H1522">
        <v>13</v>
      </c>
    </row>
    <row r="1523" spans="1:8" x14ac:dyDescent="0.3">
      <c r="A1523" t="s">
        <v>250</v>
      </c>
      <c r="B1523">
        <v>2017</v>
      </c>
      <c r="C1523" t="s">
        <v>271</v>
      </c>
      <c r="D1523" t="s">
        <v>299</v>
      </c>
      <c r="E1523" t="s">
        <v>65</v>
      </c>
      <c r="F1523">
        <v>135000</v>
      </c>
      <c r="G1523" t="s">
        <v>72</v>
      </c>
      <c r="H1523">
        <v>9</v>
      </c>
    </row>
    <row r="1524" spans="1:8" x14ac:dyDescent="0.3">
      <c r="A1524" t="s">
        <v>250</v>
      </c>
      <c r="B1524">
        <v>2018</v>
      </c>
      <c r="C1524" t="s">
        <v>271</v>
      </c>
      <c r="D1524" t="s">
        <v>299</v>
      </c>
      <c r="E1524" t="s">
        <v>65</v>
      </c>
      <c r="F1524">
        <v>135000</v>
      </c>
      <c r="G1524" t="s">
        <v>72</v>
      </c>
      <c r="H1524">
        <v>4</v>
      </c>
    </row>
    <row r="1525" spans="1:8" x14ac:dyDescent="0.3">
      <c r="A1525" t="s">
        <v>250</v>
      </c>
      <c r="B1525">
        <v>2019</v>
      </c>
      <c r="C1525" t="s">
        <v>271</v>
      </c>
      <c r="D1525" t="s">
        <v>299</v>
      </c>
      <c r="E1525" t="s">
        <v>65</v>
      </c>
      <c r="F1525">
        <v>135000</v>
      </c>
      <c r="G1525" t="s">
        <v>72</v>
      </c>
      <c r="H1525">
        <v>2</v>
      </c>
    </row>
    <row r="1526" spans="1:8" x14ac:dyDescent="0.3">
      <c r="A1526" t="s">
        <v>250</v>
      </c>
      <c r="B1526">
        <v>2020</v>
      </c>
      <c r="C1526" t="s">
        <v>271</v>
      </c>
      <c r="D1526" t="s">
        <v>299</v>
      </c>
      <c r="E1526" t="s">
        <v>65</v>
      </c>
      <c r="F1526">
        <v>135000</v>
      </c>
      <c r="G1526" t="s">
        <v>72</v>
      </c>
      <c r="H1526">
        <v>1</v>
      </c>
    </row>
    <row r="1527" spans="1:8" x14ac:dyDescent="0.3">
      <c r="A1527" t="s">
        <v>250</v>
      </c>
      <c r="B1527">
        <v>2021</v>
      </c>
      <c r="C1527" t="s">
        <v>271</v>
      </c>
      <c r="D1527" t="s">
        <v>299</v>
      </c>
      <c r="E1527" t="s">
        <v>65</v>
      </c>
      <c r="F1527">
        <v>135000</v>
      </c>
      <c r="G1527" t="s">
        <v>72</v>
      </c>
      <c r="H1527">
        <v>1</v>
      </c>
    </row>
    <row r="1528" spans="1:8" x14ac:dyDescent="0.3">
      <c r="A1528" t="s">
        <v>129</v>
      </c>
      <c r="B1528">
        <v>2016</v>
      </c>
      <c r="C1528" t="s">
        <v>271</v>
      </c>
      <c r="D1528" t="s">
        <v>299</v>
      </c>
      <c r="E1528" t="s">
        <v>65</v>
      </c>
      <c r="F1528">
        <v>3615</v>
      </c>
      <c r="G1528" t="s">
        <v>66</v>
      </c>
      <c r="H1528">
        <v>1</v>
      </c>
    </row>
    <row r="1529" spans="1:8" x14ac:dyDescent="0.3">
      <c r="A1529" t="s">
        <v>129</v>
      </c>
      <c r="B1529">
        <v>2018</v>
      </c>
      <c r="C1529" t="s">
        <v>271</v>
      </c>
      <c r="D1529" t="s">
        <v>299</v>
      </c>
      <c r="E1529" t="s">
        <v>65</v>
      </c>
      <c r="F1529">
        <v>3615</v>
      </c>
      <c r="G1529" t="s">
        <v>66</v>
      </c>
      <c r="H1529">
        <v>1</v>
      </c>
    </row>
    <row r="1530" spans="1:8" x14ac:dyDescent="0.3">
      <c r="A1530" t="s">
        <v>129</v>
      </c>
      <c r="B1530">
        <v>2019</v>
      </c>
      <c r="C1530" t="s">
        <v>271</v>
      </c>
      <c r="D1530" t="s">
        <v>299</v>
      </c>
      <c r="E1530" t="s">
        <v>65</v>
      </c>
      <c r="F1530">
        <v>3615</v>
      </c>
      <c r="G1530" t="s">
        <v>66</v>
      </c>
      <c r="H1530">
        <v>2</v>
      </c>
    </row>
    <row r="1531" spans="1:8" x14ac:dyDescent="0.3">
      <c r="A1531" t="s">
        <v>129</v>
      </c>
      <c r="B1531">
        <v>2020</v>
      </c>
      <c r="C1531" t="s">
        <v>271</v>
      </c>
      <c r="D1531" t="s">
        <v>299</v>
      </c>
      <c r="E1531" t="s">
        <v>65</v>
      </c>
      <c r="F1531">
        <v>3615</v>
      </c>
      <c r="G1531" t="s">
        <v>66</v>
      </c>
      <c r="H1531">
        <v>1</v>
      </c>
    </row>
    <row r="1532" spans="1:8" x14ac:dyDescent="0.3">
      <c r="A1532" t="s">
        <v>132</v>
      </c>
      <c r="B1532">
        <v>2018</v>
      </c>
      <c r="C1532" t="s">
        <v>271</v>
      </c>
      <c r="D1532" t="s">
        <v>299</v>
      </c>
      <c r="E1532" t="s">
        <v>65</v>
      </c>
      <c r="F1532">
        <v>3200</v>
      </c>
      <c r="G1532" t="s">
        <v>66</v>
      </c>
      <c r="H1532">
        <v>2</v>
      </c>
    </row>
    <row r="1533" spans="1:8" x14ac:dyDescent="0.3">
      <c r="A1533" t="s">
        <v>251</v>
      </c>
      <c r="B1533">
        <v>2017</v>
      </c>
      <c r="C1533" t="s">
        <v>271</v>
      </c>
      <c r="D1533" t="s">
        <v>299</v>
      </c>
      <c r="E1533" t="s">
        <v>65</v>
      </c>
      <c r="F1533">
        <v>5200</v>
      </c>
      <c r="G1533" t="s">
        <v>66</v>
      </c>
      <c r="H1533">
        <v>1</v>
      </c>
    </row>
    <row r="1534" spans="1:8" x14ac:dyDescent="0.3">
      <c r="A1534" t="s">
        <v>133</v>
      </c>
      <c r="B1534">
        <v>2014</v>
      </c>
      <c r="C1534" t="s">
        <v>271</v>
      </c>
      <c r="D1534" t="s">
        <v>299</v>
      </c>
      <c r="E1534" t="s">
        <v>65</v>
      </c>
      <c r="F1534">
        <v>2150</v>
      </c>
      <c r="G1534" t="s">
        <v>66</v>
      </c>
      <c r="H1534">
        <v>2</v>
      </c>
    </row>
    <row r="1535" spans="1:8" x14ac:dyDescent="0.3">
      <c r="A1535" t="s">
        <v>133</v>
      </c>
      <c r="B1535">
        <v>2015</v>
      </c>
      <c r="C1535" t="s">
        <v>271</v>
      </c>
      <c r="D1535" t="s">
        <v>299</v>
      </c>
      <c r="E1535" t="s">
        <v>65</v>
      </c>
      <c r="F1535">
        <v>2150</v>
      </c>
      <c r="G1535" t="s">
        <v>66</v>
      </c>
      <c r="H1535">
        <v>9</v>
      </c>
    </row>
    <row r="1536" spans="1:8" x14ac:dyDescent="0.3">
      <c r="A1536" t="s">
        <v>133</v>
      </c>
      <c r="B1536">
        <v>2016</v>
      </c>
      <c r="C1536" t="s">
        <v>271</v>
      </c>
      <c r="D1536" t="s">
        <v>299</v>
      </c>
      <c r="E1536" t="s">
        <v>65</v>
      </c>
      <c r="F1536">
        <v>2150</v>
      </c>
      <c r="G1536" t="s">
        <v>66</v>
      </c>
      <c r="H1536">
        <v>5</v>
      </c>
    </row>
    <row r="1537" spans="1:8" x14ac:dyDescent="0.3">
      <c r="A1537" t="s">
        <v>133</v>
      </c>
      <c r="B1537">
        <v>2019</v>
      </c>
      <c r="C1537" t="s">
        <v>271</v>
      </c>
      <c r="D1537" t="s">
        <v>299</v>
      </c>
      <c r="E1537" t="s">
        <v>65</v>
      </c>
      <c r="F1537">
        <v>2150</v>
      </c>
      <c r="G1537" t="s">
        <v>66</v>
      </c>
      <c r="H1537">
        <v>3</v>
      </c>
    </row>
    <row r="1538" spans="1:8" x14ac:dyDescent="0.3">
      <c r="A1538" t="s">
        <v>133</v>
      </c>
      <c r="B1538">
        <v>2020</v>
      </c>
      <c r="C1538" t="s">
        <v>271</v>
      </c>
      <c r="D1538" t="s">
        <v>299</v>
      </c>
      <c r="E1538" t="s">
        <v>65</v>
      </c>
      <c r="F1538">
        <v>2150</v>
      </c>
      <c r="G1538" t="s">
        <v>66</v>
      </c>
      <c r="H1538">
        <v>1</v>
      </c>
    </row>
    <row r="1539" spans="1:8" x14ac:dyDescent="0.3">
      <c r="A1539" t="s">
        <v>133</v>
      </c>
      <c r="B1539">
        <v>2021</v>
      </c>
      <c r="C1539" t="s">
        <v>271</v>
      </c>
      <c r="D1539" t="s">
        <v>299</v>
      </c>
      <c r="E1539" t="s">
        <v>65</v>
      </c>
      <c r="F1539">
        <v>2150</v>
      </c>
      <c r="G1539" t="s">
        <v>66</v>
      </c>
      <c r="H1539">
        <v>3</v>
      </c>
    </row>
    <row r="1540" spans="1:8" x14ac:dyDescent="0.3">
      <c r="A1540" t="s">
        <v>134</v>
      </c>
      <c r="B1540">
        <v>2017</v>
      </c>
      <c r="C1540" t="s">
        <v>271</v>
      </c>
      <c r="D1540" t="s">
        <v>299</v>
      </c>
      <c r="E1540" t="s">
        <v>65</v>
      </c>
      <c r="F1540">
        <v>3725</v>
      </c>
      <c r="G1540" t="s">
        <v>66</v>
      </c>
      <c r="H1540">
        <v>2</v>
      </c>
    </row>
    <row r="1541" spans="1:8" x14ac:dyDescent="0.3">
      <c r="A1541" t="s">
        <v>134</v>
      </c>
      <c r="B1541">
        <v>2019</v>
      </c>
      <c r="C1541" t="s">
        <v>271</v>
      </c>
      <c r="D1541" t="s">
        <v>299</v>
      </c>
      <c r="E1541" t="s">
        <v>65</v>
      </c>
      <c r="F1541">
        <v>3725</v>
      </c>
      <c r="G1541" t="s">
        <v>66</v>
      </c>
      <c r="H1541">
        <v>2</v>
      </c>
    </row>
    <row r="1542" spans="1:8" x14ac:dyDescent="0.3">
      <c r="A1542" t="s">
        <v>252</v>
      </c>
      <c r="B1542">
        <v>2014</v>
      </c>
      <c r="C1542" t="s">
        <v>271</v>
      </c>
      <c r="D1542" t="s">
        <v>299</v>
      </c>
      <c r="E1542" t="s">
        <v>65</v>
      </c>
      <c r="F1542">
        <v>6500</v>
      </c>
      <c r="G1542" t="s">
        <v>66</v>
      </c>
      <c r="H1542">
        <v>2</v>
      </c>
    </row>
    <row r="1543" spans="1:8" x14ac:dyDescent="0.3">
      <c r="A1543" t="s">
        <v>252</v>
      </c>
      <c r="B1543">
        <v>2016</v>
      </c>
      <c r="C1543" t="s">
        <v>271</v>
      </c>
      <c r="D1543" t="s">
        <v>299</v>
      </c>
      <c r="E1543" t="s">
        <v>65</v>
      </c>
      <c r="F1543">
        <v>6500</v>
      </c>
      <c r="G1543" t="s">
        <v>66</v>
      </c>
      <c r="H1543">
        <v>2</v>
      </c>
    </row>
    <row r="1544" spans="1:8" x14ac:dyDescent="0.3">
      <c r="A1544" t="s">
        <v>252</v>
      </c>
      <c r="B1544">
        <v>2017</v>
      </c>
      <c r="C1544" t="s">
        <v>271</v>
      </c>
      <c r="D1544" t="s">
        <v>299</v>
      </c>
      <c r="E1544" t="s">
        <v>65</v>
      </c>
      <c r="F1544">
        <v>6500</v>
      </c>
      <c r="G1544" t="s">
        <v>66</v>
      </c>
      <c r="H1544">
        <v>1</v>
      </c>
    </row>
    <row r="1545" spans="1:8" x14ac:dyDescent="0.3">
      <c r="A1545" t="s">
        <v>135</v>
      </c>
      <c r="B1545">
        <v>2014</v>
      </c>
      <c r="C1545" t="s">
        <v>271</v>
      </c>
      <c r="D1545" t="s">
        <v>299</v>
      </c>
      <c r="E1545" t="s">
        <v>65</v>
      </c>
      <c r="F1545">
        <v>3400</v>
      </c>
      <c r="G1545" t="s">
        <v>66</v>
      </c>
      <c r="H1545">
        <v>1</v>
      </c>
    </row>
    <row r="1546" spans="1:8" x14ac:dyDescent="0.3">
      <c r="A1546" t="s">
        <v>135</v>
      </c>
      <c r="B1546">
        <v>2016</v>
      </c>
      <c r="C1546" t="s">
        <v>271</v>
      </c>
      <c r="D1546" t="s">
        <v>299</v>
      </c>
      <c r="E1546" t="s">
        <v>65</v>
      </c>
      <c r="F1546">
        <v>3400</v>
      </c>
      <c r="G1546" t="s">
        <v>66</v>
      </c>
      <c r="H1546">
        <v>1</v>
      </c>
    </row>
    <row r="1547" spans="1:8" x14ac:dyDescent="0.3">
      <c r="A1547" t="s">
        <v>135</v>
      </c>
      <c r="B1547">
        <v>2017</v>
      </c>
      <c r="C1547" t="s">
        <v>271</v>
      </c>
      <c r="D1547" t="s">
        <v>299</v>
      </c>
      <c r="E1547" t="s">
        <v>65</v>
      </c>
      <c r="F1547">
        <v>3400</v>
      </c>
      <c r="G1547" t="s">
        <v>66</v>
      </c>
      <c r="H1547">
        <v>2</v>
      </c>
    </row>
    <row r="1548" spans="1:8" x14ac:dyDescent="0.3">
      <c r="A1548" t="s">
        <v>135</v>
      </c>
      <c r="B1548">
        <v>2019</v>
      </c>
      <c r="C1548" t="s">
        <v>271</v>
      </c>
      <c r="D1548" t="s">
        <v>299</v>
      </c>
      <c r="E1548" t="s">
        <v>65</v>
      </c>
      <c r="F1548">
        <v>3400</v>
      </c>
      <c r="G1548" t="s">
        <v>66</v>
      </c>
      <c r="H1548">
        <v>1</v>
      </c>
    </row>
    <row r="1549" spans="1:8" x14ac:dyDescent="0.3">
      <c r="A1549" t="s">
        <v>135</v>
      </c>
      <c r="B1549">
        <v>2020</v>
      </c>
      <c r="C1549" t="s">
        <v>271</v>
      </c>
      <c r="D1549" t="s">
        <v>299</v>
      </c>
      <c r="E1549" t="s">
        <v>65</v>
      </c>
      <c r="F1549">
        <v>3400</v>
      </c>
      <c r="G1549" t="s">
        <v>66</v>
      </c>
      <c r="H1549">
        <v>1</v>
      </c>
    </row>
    <row r="1550" spans="1:8" x14ac:dyDescent="0.3">
      <c r="A1550" t="s">
        <v>135</v>
      </c>
      <c r="B1550">
        <v>2021</v>
      </c>
      <c r="C1550" t="s">
        <v>271</v>
      </c>
      <c r="D1550" t="s">
        <v>299</v>
      </c>
      <c r="E1550" t="s">
        <v>65</v>
      </c>
      <c r="F1550">
        <v>3400</v>
      </c>
      <c r="G1550" t="s">
        <v>66</v>
      </c>
      <c r="H1550">
        <v>2</v>
      </c>
    </row>
    <row r="1551" spans="1:8" x14ac:dyDescent="0.3">
      <c r="A1551" t="s">
        <v>136</v>
      </c>
      <c r="B1551">
        <v>2015</v>
      </c>
      <c r="C1551" t="s">
        <v>271</v>
      </c>
      <c r="D1551" t="s">
        <v>299</v>
      </c>
      <c r="E1551" t="s">
        <v>65</v>
      </c>
      <c r="F1551">
        <v>4629</v>
      </c>
      <c r="G1551" t="s">
        <v>66</v>
      </c>
      <c r="H1551">
        <v>3</v>
      </c>
    </row>
    <row r="1552" spans="1:8" x14ac:dyDescent="0.3">
      <c r="A1552" t="s">
        <v>136</v>
      </c>
      <c r="B1552">
        <v>2016</v>
      </c>
      <c r="C1552" t="s">
        <v>271</v>
      </c>
      <c r="D1552" t="s">
        <v>299</v>
      </c>
      <c r="E1552" t="s">
        <v>65</v>
      </c>
      <c r="F1552">
        <v>4629</v>
      </c>
      <c r="G1552" t="s">
        <v>66</v>
      </c>
      <c r="H1552">
        <v>6</v>
      </c>
    </row>
    <row r="1553" spans="1:8" x14ac:dyDescent="0.3">
      <c r="A1553" t="s">
        <v>136</v>
      </c>
      <c r="B1553">
        <v>2017</v>
      </c>
      <c r="C1553" t="s">
        <v>271</v>
      </c>
      <c r="D1553" t="s">
        <v>299</v>
      </c>
      <c r="E1553" t="s">
        <v>65</v>
      </c>
      <c r="F1553">
        <v>4629</v>
      </c>
      <c r="G1553" t="s">
        <v>66</v>
      </c>
      <c r="H1553">
        <v>1</v>
      </c>
    </row>
    <row r="1554" spans="1:8" x14ac:dyDescent="0.3">
      <c r="A1554" t="s">
        <v>136</v>
      </c>
      <c r="B1554">
        <v>2018</v>
      </c>
      <c r="C1554" t="s">
        <v>271</v>
      </c>
      <c r="D1554" t="s">
        <v>299</v>
      </c>
      <c r="E1554" t="s">
        <v>65</v>
      </c>
      <c r="F1554">
        <v>4629</v>
      </c>
      <c r="G1554" t="s">
        <v>66</v>
      </c>
      <c r="H1554">
        <v>1</v>
      </c>
    </row>
    <row r="1555" spans="1:8" x14ac:dyDescent="0.3">
      <c r="A1555" t="s">
        <v>136</v>
      </c>
      <c r="B1555">
        <v>2020</v>
      </c>
      <c r="C1555" t="s">
        <v>271</v>
      </c>
      <c r="D1555" t="s">
        <v>299</v>
      </c>
      <c r="E1555" t="s">
        <v>65</v>
      </c>
      <c r="F1555">
        <v>4629</v>
      </c>
      <c r="G1555" t="s">
        <v>66</v>
      </c>
      <c r="H1555">
        <v>3</v>
      </c>
    </row>
    <row r="1556" spans="1:8" x14ac:dyDescent="0.3">
      <c r="A1556" t="s">
        <v>253</v>
      </c>
      <c r="B1556">
        <v>2014</v>
      </c>
      <c r="C1556" t="s">
        <v>271</v>
      </c>
      <c r="D1556" t="s">
        <v>299</v>
      </c>
      <c r="E1556" t="s">
        <v>65</v>
      </c>
      <c r="F1556">
        <v>3798</v>
      </c>
      <c r="G1556" t="s">
        <v>66</v>
      </c>
      <c r="H1556">
        <v>5</v>
      </c>
    </row>
    <row r="1557" spans="1:8" x14ac:dyDescent="0.3">
      <c r="A1557" t="s">
        <v>253</v>
      </c>
      <c r="B1557">
        <v>2015</v>
      </c>
      <c r="C1557" t="s">
        <v>271</v>
      </c>
      <c r="D1557" t="s">
        <v>299</v>
      </c>
      <c r="E1557" t="s">
        <v>65</v>
      </c>
      <c r="F1557">
        <v>3798</v>
      </c>
      <c r="G1557" t="s">
        <v>66</v>
      </c>
      <c r="H1557">
        <v>23</v>
      </c>
    </row>
    <row r="1558" spans="1:8" x14ac:dyDescent="0.3">
      <c r="A1558" t="s">
        <v>253</v>
      </c>
      <c r="B1558">
        <v>2016</v>
      </c>
      <c r="C1558" t="s">
        <v>271</v>
      </c>
      <c r="D1558" t="s">
        <v>299</v>
      </c>
      <c r="E1558" t="s">
        <v>65</v>
      </c>
      <c r="F1558">
        <v>3798</v>
      </c>
      <c r="G1558" t="s">
        <v>66</v>
      </c>
      <c r="H1558">
        <v>12</v>
      </c>
    </row>
    <row r="1559" spans="1:8" x14ac:dyDescent="0.3">
      <c r="A1559" t="s">
        <v>253</v>
      </c>
      <c r="B1559">
        <v>2017</v>
      </c>
      <c r="C1559" t="s">
        <v>271</v>
      </c>
      <c r="D1559" t="s">
        <v>299</v>
      </c>
      <c r="E1559" t="s">
        <v>65</v>
      </c>
      <c r="F1559">
        <v>3798</v>
      </c>
      <c r="G1559" t="s">
        <v>66</v>
      </c>
      <c r="H1559">
        <v>4</v>
      </c>
    </row>
    <row r="1560" spans="1:8" x14ac:dyDescent="0.3">
      <c r="A1560" t="s">
        <v>253</v>
      </c>
      <c r="B1560">
        <v>2019</v>
      </c>
      <c r="C1560" t="s">
        <v>271</v>
      </c>
      <c r="D1560" t="s">
        <v>299</v>
      </c>
      <c r="E1560" t="s">
        <v>65</v>
      </c>
      <c r="F1560">
        <v>3798</v>
      </c>
      <c r="G1560" t="s">
        <v>66</v>
      </c>
      <c r="H1560">
        <v>3</v>
      </c>
    </row>
    <row r="1561" spans="1:8" x14ac:dyDescent="0.3">
      <c r="A1561" t="s">
        <v>253</v>
      </c>
      <c r="B1561">
        <v>2021</v>
      </c>
      <c r="C1561" t="s">
        <v>271</v>
      </c>
      <c r="D1561" t="s">
        <v>299</v>
      </c>
      <c r="E1561" t="s">
        <v>65</v>
      </c>
      <c r="F1561">
        <v>3798</v>
      </c>
      <c r="G1561" t="s">
        <v>66</v>
      </c>
      <c r="H1561">
        <v>3</v>
      </c>
    </row>
    <row r="1562" spans="1:8" x14ac:dyDescent="0.3">
      <c r="A1562" t="s">
        <v>137</v>
      </c>
      <c r="B1562">
        <v>2020</v>
      </c>
      <c r="C1562" t="s">
        <v>271</v>
      </c>
      <c r="D1562" t="s">
        <v>299</v>
      </c>
      <c r="E1562" t="s">
        <v>65</v>
      </c>
      <c r="F1562">
        <v>4299</v>
      </c>
      <c r="G1562" t="s">
        <v>66</v>
      </c>
      <c r="H1562">
        <v>1</v>
      </c>
    </row>
    <row r="1563" spans="1:8" x14ac:dyDescent="0.3">
      <c r="A1563" t="s">
        <v>139</v>
      </c>
      <c r="B1563">
        <v>2014</v>
      </c>
      <c r="C1563" t="s">
        <v>271</v>
      </c>
      <c r="D1563" t="s">
        <v>299</v>
      </c>
      <c r="E1563" t="s">
        <v>65</v>
      </c>
      <c r="F1563">
        <v>9039</v>
      </c>
      <c r="G1563" t="s">
        <v>66</v>
      </c>
      <c r="H1563">
        <v>4</v>
      </c>
    </row>
    <row r="1564" spans="1:8" x14ac:dyDescent="0.3">
      <c r="A1564" t="s">
        <v>139</v>
      </c>
      <c r="B1564">
        <v>2015</v>
      </c>
      <c r="C1564" t="s">
        <v>271</v>
      </c>
      <c r="D1564" t="s">
        <v>299</v>
      </c>
      <c r="E1564" t="s">
        <v>65</v>
      </c>
      <c r="F1564">
        <v>9039</v>
      </c>
      <c r="G1564" t="s">
        <v>66</v>
      </c>
      <c r="H1564">
        <v>10</v>
      </c>
    </row>
    <row r="1565" spans="1:8" x14ac:dyDescent="0.3">
      <c r="A1565" t="s">
        <v>139</v>
      </c>
      <c r="B1565">
        <v>2016</v>
      </c>
      <c r="C1565" t="s">
        <v>271</v>
      </c>
      <c r="D1565" t="s">
        <v>299</v>
      </c>
      <c r="E1565" t="s">
        <v>65</v>
      </c>
      <c r="F1565">
        <v>9039</v>
      </c>
      <c r="G1565" t="s">
        <v>66</v>
      </c>
      <c r="H1565">
        <v>10</v>
      </c>
    </row>
    <row r="1566" spans="1:8" x14ac:dyDescent="0.3">
      <c r="A1566" t="s">
        <v>139</v>
      </c>
      <c r="B1566">
        <v>2017</v>
      </c>
      <c r="C1566" t="s">
        <v>271</v>
      </c>
      <c r="D1566" t="s">
        <v>299</v>
      </c>
      <c r="E1566" t="s">
        <v>65</v>
      </c>
      <c r="F1566">
        <v>9039</v>
      </c>
      <c r="G1566" t="s">
        <v>66</v>
      </c>
      <c r="H1566">
        <v>11</v>
      </c>
    </row>
    <row r="1567" spans="1:8" x14ac:dyDescent="0.3">
      <c r="A1567" t="s">
        <v>139</v>
      </c>
      <c r="B1567">
        <v>2018</v>
      </c>
      <c r="C1567" t="s">
        <v>271</v>
      </c>
      <c r="D1567" t="s">
        <v>299</v>
      </c>
      <c r="E1567" t="s">
        <v>65</v>
      </c>
      <c r="F1567">
        <v>9039</v>
      </c>
      <c r="G1567" t="s">
        <v>66</v>
      </c>
      <c r="H1567">
        <v>2</v>
      </c>
    </row>
    <row r="1568" spans="1:8" x14ac:dyDescent="0.3">
      <c r="A1568" t="s">
        <v>139</v>
      </c>
      <c r="B1568">
        <v>2019</v>
      </c>
      <c r="C1568" t="s">
        <v>271</v>
      </c>
      <c r="D1568" t="s">
        <v>299</v>
      </c>
      <c r="E1568" t="s">
        <v>65</v>
      </c>
      <c r="F1568">
        <v>9039</v>
      </c>
      <c r="G1568" t="s">
        <v>66</v>
      </c>
      <c r="H1568">
        <v>3</v>
      </c>
    </row>
    <row r="1569" spans="1:8" x14ac:dyDescent="0.3">
      <c r="A1569" t="s">
        <v>139</v>
      </c>
      <c r="B1569">
        <v>2020</v>
      </c>
      <c r="C1569" t="s">
        <v>271</v>
      </c>
      <c r="D1569" t="s">
        <v>299</v>
      </c>
      <c r="E1569" t="s">
        <v>65</v>
      </c>
      <c r="F1569">
        <v>9039</v>
      </c>
      <c r="G1569" t="s">
        <v>66</v>
      </c>
      <c r="H1569">
        <v>2</v>
      </c>
    </row>
    <row r="1570" spans="1:8" x14ac:dyDescent="0.3">
      <c r="A1570" t="s">
        <v>139</v>
      </c>
      <c r="B1570">
        <v>2021</v>
      </c>
      <c r="C1570" t="s">
        <v>271</v>
      </c>
      <c r="D1570" t="s">
        <v>299</v>
      </c>
      <c r="E1570" t="s">
        <v>65</v>
      </c>
      <c r="F1570">
        <v>9039</v>
      </c>
      <c r="G1570" t="s">
        <v>66</v>
      </c>
      <c r="H1570">
        <v>1</v>
      </c>
    </row>
    <row r="1571" spans="1:8" x14ac:dyDescent="0.3">
      <c r="A1571" t="s">
        <v>256</v>
      </c>
      <c r="B1571">
        <v>2015</v>
      </c>
      <c r="C1571" t="s">
        <v>271</v>
      </c>
      <c r="D1571" t="s">
        <v>299</v>
      </c>
      <c r="E1571" t="s">
        <v>65</v>
      </c>
      <c r="F1571">
        <v>8800</v>
      </c>
      <c r="G1571" t="s">
        <v>66</v>
      </c>
      <c r="H1571">
        <v>1</v>
      </c>
    </row>
    <row r="1572" spans="1:8" x14ac:dyDescent="0.3">
      <c r="A1572" t="s">
        <v>256</v>
      </c>
      <c r="B1572">
        <v>2017</v>
      </c>
      <c r="C1572" t="s">
        <v>271</v>
      </c>
      <c r="D1572" t="s">
        <v>299</v>
      </c>
      <c r="E1572" t="s">
        <v>65</v>
      </c>
      <c r="F1572">
        <v>8800</v>
      </c>
      <c r="G1572" t="s">
        <v>66</v>
      </c>
      <c r="H1572">
        <v>1</v>
      </c>
    </row>
    <row r="1573" spans="1:8" x14ac:dyDescent="0.3">
      <c r="A1573" t="s">
        <v>256</v>
      </c>
      <c r="B1573">
        <v>2018</v>
      </c>
      <c r="C1573" t="s">
        <v>271</v>
      </c>
      <c r="D1573" t="s">
        <v>299</v>
      </c>
      <c r="E1573" t="s">
        <v>65</v>
      </c>
      <c r="F1573">
        <v>8800</v>
      </c>
      <c r="G1573" t="s">
        <v>66</v>
      </c>
      <c r="H1573">
        <v>2</v>
      </c>
    </row>
    <row r="1574" spans="1:8" x14ac:dyDescent="0.3">
      <c r="A1574" t="s">
        <v>258</v>
      </c>
      <c r="B1574">
        <v>2016</v>
      </c>
      <c r="C1574" t="s">
        <v>271</v>
      </c>
      <c r="D1574" t="s">
        <v>299</v>
      </c>
      <c r="E1574" t="s">
        <v>65</v>
      </c>
      <c r="F1574">
        <v>97000</v>
      </c>
      <c r="G1574" t="s">
        <v>72</v>
      </c>
      <c r="H1574">
        <v>1</v>
      </c>
    </row>
    <row r="1575" spans="1:8" x14ac:dyDescent="0.3">
      <c r="A1575" t="s">
        <v>258</v>
      </c>
      <c r="B1575">
        <v>2017</v>
      </c>
      <c r="C1575" t="s">
        <v>271</v>
      </c>
      <c r="D1575" t="s">
        <v>299</v>
      </c>
      <c r="E1575" t="s">
        <v>65</v>
      </c>
      <c r="F1575">
        <v>97000</v>
      </c>
      <c r="G1575" t="s">
        <v>72</v>
      </c>
      <c r="H1575">
        <v>2</v>
      </c>
    </row>
    <row r="1576" spans="1:8" x14ac:dyDescent="0.3">
      <c r="A1576" t="s">
        <v>140</v>
      </c>
      <c r="B1576">
        <v>2017</v>
      </c>
      <c r="C1576" t="s">
        <v>271</v>
      </c>
      <c r="D1576" t="s">
        <v>299</v>
      </c>
      <c r="E1576" t="s">
        <v>65</v>
      </c>
      <c r="F1576">
        <v>1650</v>
      </c>
      <c r="G1576" t="s">
        <v>66</v>
      </c>
      <c r="H1576">
        <v>1</v>
      </c>
    </row>
    <row r="1577" spans="1:8" x14ac:dyDescent="0.3">
      <c r="A1577" t="s">
        <v>141</v>
      </c>
      <c r="B1577">
        <v>2018</v>
      </c>
      <c r="C1577" t="s">
        <v>271</v>
      </c>
      <c r="D1577" t="s">
        <v>299</v>
      </c>
      <c r="E1577" t="s">
        <v>65</v>
      </c>
      <c r="F1577">
        <v>1600</v>
      </c>
      <c r="G1577" t="s">
        <v>66</v>
      </c>
      <c r="H1577">
        <v>5</v>
      </c>
    </row>
    <row r="1578" spans="1:8" x14ac:dyDescent="0.3">
      <c r="A1578" t="s">
        <v>141</v>
      </c>
      <c r="B1578">
        <v>2019</v>
      </c>
      <c r="C1578" t="s">
        <v>271</v>
      </c>
      <c r="D1578" t="s">
        <v>299</v>
      </c>
      <c r="E1578" t="s">
        <v>65</v>
      </c>
      <c r="F1578">
        <v>1600</v>
      </c>
      <c r="G1578" t="s">
        <v>66</v>
      </c>
      <c r="H1578">
        <v>9</v>
      </c>
    </row>
    <row r="1579" spans="1:8" x14ac:dyDescent="0.3">
      <c r="A1579" t="s">
        <v>141</v>
      </c>
      <c r="B1579">
        <v>2020</v>
      </c>
      <c r="C1579" t="s">
        <v>271</v>
      </c>
      <c r="D1579" t="s">
        <v>299</v>
      </c>
      <c r="E1579" t="s">
        <v>65</v>
      </c>
      <c r="F1579">
        <v>1600</v>
      </c>
      <c r="G1579" t="s">
        <v>66</v>
      </c>
      <c r="H1579">
        <v>4</v>
      </c>
    </row>
    <row r="1580" spans="1:8" x14ac:dyDescent="0.3">
      <c r="A1580" t="s">
        <v>141</v>
      </c>
      <c r="B1580">
        <v>2021</v>
      </c>
      <c r="C1580" t="s">
        <v>271</v>
      </c>
      <c r="D1580" t="s">
        <v>299</v>
      </c>
      <c r="E1580" t="s">
        <v>65</v>
      </c>
      <c r="F1580">
        <v>1600</v>
      </c>
      <c r="G1580" t="s">
        <v>66</v>
      </c>
      <c r="H1580">
        <v>1</v>
      </c>
    </row>
    <row r="1581" spans="1:8" x14ac:dyDescent="0.3">
      <c r="A1581" t="s">
        <v>261</v>
      </c>
      <c r="B1581">
        <v>2020</v>
      </c>
      <c r="C1581" t="s">
        <v>271</v>
      </c>
      <c r="D1581" t="s">
        <v>299</v>
      </c>
      <c r="E1581" t="s">
        <v>65</v>
      </c>
      <c r="F1581">
        <v>15100</v>
      </c>
      <c r="G1581" t="s">
        <v>66</v>
      </c>
      <c r="H1581">
        <v>1</v>
      </c>
    </row>
    <row r="1582" spans="1:8" x14ac:dyDescent="0.3">
      <c r="A1582" t="s">
        <v>261</v>
      </c>
      <c r="B1582">
        <v>2021</v>
      </c>
      <c r="C1582" t="s">
        <v>271</v>
      </c>
      <c r="D1582" t="s">
        <v>299</v>
      </c>
      <c r="E1582" t="s">
        <v>65</v>
      </c>
      <c r="F1582">
        <v>15100</v>
      </c>
      <c r="G1582" t="s">
        <v>66</v>
      </c>
      <c r="H1582">
        <v>1</v>
      </c>
    </row>
    <row r="1583" spans="1:8" x14ac:dyDescent="0.3">
      <c r="A1583" t="s">
        <v>142</v>
      </c>
      <c r="B1583">
        <v>2015</v>
      </c>
      <c r="C1583" t="s">
        <v>271</v>
      </c>
      <c r="D1583" t="s">
        <v>299</v>
      </c>
      <c r="E1583" t="s">
        <v>65</v>
      </c>
      <c r="F1583">
        <v>3000</v>
      </c>
      <c r="G1583" t="s">
        <v>66</v>
      </c>
      <c r="H1583">
        <v>1</v>
      </c>
    </row>
    <row r="1584" spans="1:8" x14ac:dyDescent="0.3">
      <c r="A1584" t="s">
        <v>142</v>
      </c>
      <c r="B1584">
        <v>2017</v>
      </c>
      <c r="C1584" t="s">
        <v>271</v>
      </c>
      <c r="D1584" t="s">
        <v>299</v>
      </c>
      <c r="E1584" t="s">
        <v>65</v>
      </c>
      <c r="F1584">
        <v>3000</v>
      </c>
      <c r="G1584" t="s">
        <v>66</v>
      </c>
      <c r="H1584">
        <v>1</v>
      </c>
    </row>
    <row r="1585" spans="1:8" x14ac:dyDescent="0.3">
      <c r="A1585" t="s">
        <v>265</v>
      </c>
      <c r="B1585">
        <v>2015</v>
      </c>
      <c r="C1585" t="s">
        <v>271</v>
      </c>
      <c r="D1585" t="s">
        <v>299</v>
      </c>
      <c r="E1585" t="s">
        <v>65</v>
      </c>
      <c r="F1585">
        <v>3368</v>
      </c>
      <c r="G1585" t="s">
        <v>66</v>
      </c>
      <c r="H1585">
        <v>2</v>
      </c>
    </row>
    <row r="1586" spans="1:8" x14ac:dyDescent="0.3">
      <c r="A1586" t="s">
        <v>265</v>
      </c>
      <c r="B1586">
        <v>2017</v>
      </c>
      <c r="C1586" t="s">
        <v>271</v>
      </c>
      <c r="D1586" t="s">
        <v>299</v>
      </c>
      <c r="E1586" t="s">
        <v>65</v>
      </c>
      <c r="F1586">
        <v>3368</v>
      </c>
      <c r="G1586" t="s">
        <v>66</v>
      </c>
      <c r="H1586">
        <v>1</v>
      </c>
    </row>
    <row r="1587" spans="1:8" x14ac:dyDescent="0.3">
      <c r="A1587" t="s">
        <v>143</v>
      </c>
      <c r="B1587">
        <v>2015</v>
      </c>
      <c r="C1587" t="s">
        <v>271</v>
      </c>
      <c r="D1587" t="s">
        <v>299</v>
      </c>
      <c r="E1587" t="s">
        <v>65</v>
      </c>
      <c r="F1587">
        <v>14500</v>
      </c>
      <c r="G1587" t="s">
        <v>72</v>
      </c>
      <c r="H1587">
        <v>1</v>
      </c>
    </row>
    <row r="1588" spans="1:8" x14ac:dyDescent="0.3">
      <c r="A1588" t="s">
        <v>143</v>
      </c>
      <c r="B1588">
        <v>2017</v>
      </c>
      <c r="C1588" t="s">
        <v>271</v>
      </c>
      <c r="D1588" t="s">
        <v>299</v>
      </c>
      <c r="E1588" t="s">
        <v>65</v>
      </c>
      <c r="F1588">
        <v>14500</v>
      </c>
      <c r="G1588" t="s">
        <v>72</v>
      </c>
      <c r="H1588">
        <v>5</v>
      </c>
    </row>
    <row r="1589" spans="1:8" x14ac:dyDescent="0.3">
      <c r="A1589" t="s">
        <v>143</v>
      </c>
      <c r="B1589">
        <v>2018</v>
      </c>
      <c r="C1589" t="s">
        <v>271</v>
      </c>
      <c r="D1589" t="s">
        <v>299</v>
      </c>
      <c r="E1589" t="s">
        <v>65</v>
      </c>
      <c r="F1589">
        <v>14500</v>
      </c>
      <c r="G1589" t="s">
        <v>72</v>
      </c>
      <c r="H1589">
        <v>2</v>
      </c>
    </row>
    <row r="1590" spans="1:8" x14ac:dyDescent="0.3">
      <c r="A1590" t="s">
        <v>143</v>
      </c>
      <c r="B1590">
        <v>2021</v>
      </c>
      <c r="C1590" t="s">
        <v>271</v>
      </c>
      <c r="D1590" t="s">
        <v>299</v>
      </c>
      <c r="E1590" t="s">
        <v>65</v>
      </c>
      <c r="F1590">
        <v>14500</v>
      </c>
      <c r="G1590" t="s">
        <v>72</v>
      </c>
      <c r="H1590">
        <v>1</v>
      </c>
    </row>
    <row r="1591" spans="1:8" x14ac:dyDescent="0.3">
      <c r="A1591" t="s">
        <v>267</v>
      </c>
      <c r="B1591">
        <v>2014</v>
      </c>
      <c r="C1591" t="s">
        <v>271</v>
      </c>
      <c r="D1591" t="s">
        <v>299</v>
      </c>
      <c r="E1591" t="s">
        <v>65</v>
      </c>
      <c r="F1591">
        <v>12093</v>
      </c>
      <c r="G1591" t="s">
        <v>66</v>
      </c>
      <c r="H1591">
        <v>4</v>
      </c>
    </row>
    <row r="1592" spans="1:8" x14ac:dyDescent="0.3">
      <c r="A1592" t="s">
        <v>267</v>
      </c>
      <c r="B1592">
        <v>2015</v>
      </c>
      <c r="C1592" t="s">
        <v>271</v>
      </c>
      <c r="D1592" t="s">
        <v>299</v>
      </c>
      <c r="E1592" t="s">
        <v>65</v>
      </c>
      <c r="F1592">
        <v>12093</v>
      </c>
      <c r="G1592" t="s">
        <v>66</v>
      </c>
      <c r="H1592">
        <v>4</v>
      </c>
    </row>
    <row r="1593" spans="1:8" x14ac:dyDescent="0.3">
      <c r="A1593" t="s">
        <v>267</v>
      </c>
      <c r="B1593">
        <v>2017</v>
      </c>
      <c r="C1593" t="s">
        <v>271</v>
      </c>
      <c r="D1593" t="s">
        <v>299</v>
      </c>
      <c r="E1593" t="s">
        <v>65</v>
      </c>
      <c r="F1593">
        <v>12093</v>
      </c>
      <c r="G1593" t="s">
        <v>66</v>
      </c>
      <c r="H1593">
        <v>1</v>
      </c>
    </row>
    <row r="1594" spans="1:8" x14ac:dyDescent="0.3">
      <c r="A1594" t="s">
        <v>267</v>
      </c>
      <c r="B1594">
        <v>2019</v>
      </c>
      <c r="C1594" t="s">
        <v>271</v>
      </c>
      <c r="D1594" t="s">
        <v>299</v>
      </c>
      <c r="E1594" t="s">
        <v>65</v>
      </c>
      <c r="F1594">
        <v>12093</v>
      </c>
      <c r="G1594" t="s">
        <v>66</v>
      </c>
      <c r="H1594">
        <v>1</v>
      </c>
    </row>
    <row r="1595" spans="1:8" x14ac:dyDescent="0.3">
      <c r="A1595" t="s">
        <v>267</v>
      </c>
      <c r="B1595">
        <v>2020</v>
      </c>
      <c r="C1595" t="s">
        <v>271</v>
      </c>
      <c r="D1595" t="s">
        <v>299</v>
      </c>
      <c r="E1595" t="s">
        <v>65</v>
      </c>
      <c r="F1595">
        <v>12093</v>
      </c>
      <c r="G1595" t="s">
        <v>66</v>
      </c>
      <c r="H1595">
        <v>1</v>
      </c>
    </row>
    <row r="1596" spans="1:8" x14ac:dyDescent="0.3">
      <c r="A1596" t="s">
        <v>270</v>
      </c>
      <c r="B1596">
        <v>2014</v>
      </c>
      <c r="C1596" t="s">
        <v>271</v>
      </c>
      <c r="D1596" t="s">
        <v>299</v>
      </c>
      <c r="E1596" t="s">
        <v>65</v>
      </c>
      <c r="F1596">
        <v>-1</v>
      </c>
      <c r="G1596" t="s">
        <v>270</v>
      </c>
      <c r="H1596">
        <v>25</v>
      </c>
    </row>
    <row r="1597" spans="1:8" x14ac:dyDescent="0.3">
      <c r="A1597" t="s">
        <v>270</v>
      </c>
      <c r="B1597">
        <v>2015</v>
      </c>
      <c r="C1597" t="s">
        <v>271</v>
      </c>
      <c r="D1597" t="s">
        <v>299</v>
      </c>
      <c r="E1597" t="s">
        <v>65</v>
      </c>
      <c r="F1597">
        <v>-1</v>
      </c>
      <c r="G1597" t="s">
        <v>270</v>
      </c>
      <c r="H1597">
        <v>35</v>
      </c>
    </row>
    <row r="1598" spans="1:8" x14ac:dyDescent="0.3">
      <c r="A1598" t="s">
        <v>270</v>
      </c>
      <c r="B1598">
        <v>2016</v>
      </c>
      <c r="C1598" t="s">
        <v>271</v>
      </c>
      <c r="D1598" t="s">
        <v>299</v>
      </c>
      <c r="E1598" t="s">
        <v>65</v>
      </c>
      <c r="F1598">
        <v>-1</v>
      </c>
      <c r="G1598" t="s">
        <v>270</v>
      </c>
      <c r="H1598">
        <v>44</v>
      </c>
    </row>
    <row r="1599" spans="1:8" x14ac:dyDescent="0.3">
      <c r="A1599" t="s">
        <v>270</v>
      </c>
      <c r="B1599">
        <v>2017</v>
      </c>
      <c r="C1599" t="s">
        <v>271</v>
      </c>
      <c r="D1599" t="s">
        <v>299</v>
      </c>
      <c r="E1599" t="s">
        <v>65</v>
      </c>
      <c r="F1599">
        <v>-1</v>
      </c>
      <c r="G1599" t="s">
        <v>270</v>
      </c>
      <c r="H1599">
        <v>181</v>
      </c>
    </row>
    <row r="1600" spans="1:8" x14ac:dyDescent="0.3">
      <c r="A1600" t="s">
        <v>270</v>
      </c>
      <c r="B1600">
        <v>2018</v>
      </c>
      <c r="C1600" t="s">
        <v>271</v>
      </c>
      <c r="D1600" t="s">
        <v>299</v>
      </c>
      <c r="E1600" t="s">
        <v>65</v>
      </c>
      <c r="F1600">
        <v>-1</v>
      </c>
      <c r="G1600" t="s">
        <v>270</v>
      </c>
      <c r="H1600">
        <v>372</v>
      </c>
    </row>
    <row r="1601" spans="1:8" x14ac:dyDescent="0.3">
      <c r="A1601" t="s">
        <v>270</v>
      </c>
      <c r="B1601">
        <v>2019</v>
      </c>
      <c r="C1601" t="s">
        <v>271</v>
      </c>
      <c r="D1601" t="s">
        <v>299</v>
      </c>
      <c r="E1601" t="s">
        <v>65</v>
      </c>
      <c r="F1601">
        <v>-1</v>
      </c>
      <c r="G1601" t="s">
        <v>270</v>
      </c>
      <c r="H1601">
        <v>621</v>
      </c>
    </row>
    <row r="1602" spans="1:8" x14ac:dyDescent="0.3">
      <c r="A1602" t="s">
        <v>270</v>
      </c>
      <c r="B1602">
        <v>2020</v>
      </c>
      <c r="C1602" t="s">
        <v>271</v>
      </c>
      <c r="D1602" t="s">
        <v>299</v>
      </c>
      <c r="E1602" t="s">
        <v>65</v>
      </c>
      <c r="F1602">
        <v>-1</v>
      </c>
      <c r="G1602" t="s">
        <v>270</v>
      </c>
      <c r="H1602">
        <v>534</v>
      </c>
    </row>
    <row r="1603" spans="1:8" x14ac:dyDescent="0.3">
      <c r="A1603" t="s">
        <v>270</v>
      </c>
      <c r="B1603">
        <v>2021</v>
      </c>
      <c r="C1603" t="s">
        <v>271</v>
      </c>
      <c r="D1603" t="s">
        <v>299</v>
      </c>
      <c r="E1603" t="s">
        <v>65</v>
      </c>
      <c r="F1603">
        <v>-1</v>
      </c>
      <c r="G1603" t="s">
        <v>270</v>
      </c>
      <c r="H1603">
        <v>608</v>
      </c>
    </row>
    <row r="1604" spans="1:8" x14ac:dyDescent="0.3">
      <c r="A1604" t="s">
        <v>67</v>
      </c>
      <c r="B1604">
        <v>2016</v>
      </c>
      <c r="C1604" t="s">
        <v>271</v>
      </c>
      <c r="D1604" t="s">
        <v>300</v>
      </c>
      <c r="E1604" t="s">
        <v>65</v>
      </c>
      <c r="F1604">
        <v>2400</v>
      </c>
      <c r="G1604" t="s">
        <v>66</v>
      </c>
      <c r="H1604">
        <v>2</v>
      </c>
    </row>
    <row r="1605" spans="1:8" x14ac:dyDescent="0.3">
      <c r="A1605" t="s">
        <v>67</v>
      </c>
      <c r="B1605">
        <v>2018</v>
      </c>
      <c r="C1605" t="s">
        <v>271</v>
      </c>
      <c r="D1605" t="s">
        <v>300</v>
      </c>
      <c r="E1605" t="s">
        <v>65</v>
      </c>
      <c r="F1605">
        <v>2400</v>
      </c>
      <c r="G1605" t="s">
        <v>66</v>
      </c>
      <c r="H1605">
        <v>6</v>
      </c>
    </row>
    <row r="1606" spans="1:8" x14ac:dyDescent="0.3">
      <c r="A1606" t="s">
        <v>67</v>
      </c>
      <c r="B1606">
        <v>2019</v>
      </c>
      <c r="C1606" t="s">
        <v>271</v>
      </c>
      <c r="D1606" t="s">
        <v>300</v>
      </c>
      <c r="E1606" t="s">
        <v>65</v>
      </c>
      <c r="F1606">
        <v>2400</v>
      </c>
      <c r="G1606" t="s">
        <v>66</v>
      </c>
      <c r="H1606">
        <v>10</v>
      </c>
    </row>
    <row r="1607" spans="1:8" x14ac:dyDescent="0.3">
      <c r="A1607" t="s">
        <v>67</v>
      </c>
      <c r="B1607">
        <v>2020</v>
      </c>
      <c r="C1607" t="s">
        <v>271</v>
      </c>
      <c r="D1607" t="s">
        <v>300</v>
      </c>
      <c r="E1607" t="s">
        <v>65</v>
      </c>
      <c r="F1607">
        <v>2400</v>
      </c>
      <c r="G1607" t="s">
        <v>66</v>
      </c>
      <c r="H1607">
        <v>3</v>
      </c>
    </row>
    <row r="1608" spans="1:8" x14ac:dyDescent="0.3">
      <c r="A1608" t="s">
        <v>152</v>
      </c>
      <c r="B1608">
        <v>2021</v>
      </c>
      <c r="C1608" t="s">
        <v>271</v>
      </c>
      <c r="D1608" t="s">
        <v>300</v>
      </c>
      <c r="E1608" t="s">
        <v>65</v>
      </c>
      <c r="F1608">
        <v>6750</v>
      </c>
      <c r="G1608" t="s">
        <v>66</v>
      </c>
      <c r="H1608">
        <v>1</v>
      </c>
    </row>
    <row r="1609" spans="1:8" x14ac:dyDescent="0.3">
      <c r="A1609" t="s">
        <v>69</v>
      </c>
      <c r="B1609">
        <v>2014</v>
      </c>
      <c r="C1609" t="s">
        <v>271</v>
      </c>
      <c r="D1609" t="s">
        <v>300</v>
      </c>
      <c r="E1609" t="s">
        <v>65</v>
      </c>
      <c r="F1609">
        <v>10700</v>
      </c>
      <c r="G1609" t="s">
        <v>66</v>
      </c>
      <c r="H1609">
        <v>4</v>
      </c>
    </row>
    <row r="1610" spans="1:8" x14ac:dyDescent="0.3">
      <c r="A1610" t="s">
        <v>69</v>
      </c>
      <c r="B1610">
        <v>2015</v>
      </c>
      <c r="C1610" t="s">
        <v>271</v>
      </c>
      <c r="D1610" t="s">
        <v>300</v>
      </c>
      <c r="E1610" t="s">
        <v>65</v>
      </c>
      <c r="F1610">
        <v>10700</v>
      </c>
      <c r="G1610" t="s">
        <v>66</v>
      </c>
      <c r="H1610">
        <v>3</v>
      </c>
    </row>
    <row r="1611" spans="1:8" x14ac:dyDescent="0.3">
      <c r="A1611" t="s">
        <v>69</v>
      </c>
      <c r="B1611">
        <v>2016</v>
      </c>
      <c r="C1611" t="s">
        <v>271</v>
      </c>
      <c r="D1611" t="s">
        <v>300</v>
      </c>
      <c r="E1611" t="s">
        <v>65</v>
      </c>
      <c r="F1611">
        <v>10700</v>
      </c>
      <c r="G1611" t="s">
        <v>66</v>
      </c>
      <c r="H1611">
        <v>1</v>
      </c>
    </row>
    <row r="1612" spans="1:8" x14ac:dyDescent="0.3">
      <c r="A1612" t="s">
        <v>69</v>
      </c>
      <c r="B1612">
        <v>2018</v>
      </c>
      <c r="C1612" t="s">
        <v>271</v>
      </c>
      <c r="D1612" t="s">
        <v>300</v>
      </c>
      <c r="E1612" t="s">
        <v>65</v>
      </c>
      <c r="F1612">
        <v>10700</v>
      </c>
      <c r="G1612" t="s">
        <v>66</v>
      </c>
      <c r="H1612">
        <v>1</v>
      </c>
    </row>
    <row r="1613" spans="1:8" x14ac:dyDescent="0.3">
      <c r="A1613" t="s">
        <v>69</v>
      </c>
      <c r="B1613">
        <v>2019</v>
      </c>
      <c r="C1613" t="s">
        <v>271</v>
      </c>
      <c r="D1613" t="s">
        <v>300</v>
      </c>
      <c r="E1613" t="s">
        <v>65</v>
      </c>
      <c r="F1613">
        <v>10700</v>
      </c>
      <c r="G1613" t="s">
        <v>66</v>
      </c>
      <c r="H1613">
        <v>1</v>
      </c>
    </row>
    <row r="1614" spans="1:8" x14ac:dyDescent="0.3">
      <c r="A1614" t="s">
        <v>69</v>
      </c>
      <c r="B1614">
        <v>2020</v>
      </c>
      <c r="C1614" t="s">
        <v>271</v>
      </c>
      <c r="D1614" t="s">
        <v>300</v>
      </c>
      <c r="E1614" t="s">
        <v>65</v>
      </c>
      <c r="F1614">
        <v>10700</v>
      </c>
      <c r="G1614" t="s">
        <v>66</v>
      </c>
      <c r="H1614">
        <v>2</v>
      </c>
    </row>
    <row r="1615" spans="1:8" x14ac:dyDescent="0.3">
      <c r="A1615" t="s">
        <v>69</v>
      </c>
      <c r="B1615">
        <v>2021</v>
      </c>
      <c r="C1615" t="s">
        <v>271</v>
      </c>
      <c r="D1615" t="s">
        <v>300</v>
      </c>
      <c r="E1615" t="s">
        <v>65</v>
      </c>
      <c r="F1615">
        <v>10700</v>
      </c>
      <c r="G1615" t="s">
        <v>66</v>
      </c>
      <c r="H1615">
        <v>1</v>
      </c>
    </row>
    <row r="1616" spans="1:8" x14ac:dyDescent="0.3">
      <c r="A1616" t="s">
        <v>155</v>
      </c>
      <c r="B1616">
        <v>2015</v>
      </c>
      <c r="C1616" t="s">
        <v>271</v>
      </c>
      <c r="D1616" t="s">
        <v>300</v>
      </c>
      <c r="E1616" t="s">
        <v>65</v>
      </c>
      <c r="F1616">
        <v>11750</v>
      </c>
      <c r="G1616" t="s">
        <v>66</v>
      </c>
      <c r="H1616">
        <v>1</v>
      </c>
    </row>
    <row r="1617" spans="1:8" x14ac:dyDescent="0.3">
      <c r="A1617" t="s">
        <v>70</v>
      </c>
      <c r="B1617">
        <v>2015</v>
      </c>
      <c r="C1617" t="s">
        <v>271</v>
      </c>
      <c r="D1617" t="s">
        <v>300</v>
      </c>
      <c r="E1617" t="s">
        <v>65</v>
      </c>
      <c r="F1617">
        <v>6850</v>
      </c>
      <c r="G1617" t="s">
        <v>66</v>
      </c>
      <c r="H1617">
        <v>1</v>
      </c>
    </row>
    <row r="1618" spans="1:8" x14ac:dyDescent="0.3">
      <c r="A1618" t="s">
        <v>156</v>
      </c>
      <c r="B1618">
        <v>2020</v>
      </c>
      <c r="C1618" t="s">
        <v>271</v>
      </c>
      <c r="D1618" t="s">
        <v>300</v>
      </c>
      <c r="E1618" t="s">
        <v>65</v>
      </c>
      <c r="F1618">
        <v>35650</v>
      </c>
      <c r="G1618" t="s">
        <v>72</v>
      </c>
      <c r="H1618">
        <v>1</v>
      </c>
    </row>
    <row r="1619" spans="1:8" x14ac:dyDescent="0.3">
      <c r="A1619" t="s">
        <v>301</v>
      </c>
      <c r="B1619">
        <v>2017</v>
      </c>
      <c r="C1619" t="s">
        <v>271</v>
      </c>
      <c r="D1619" t="s">
        <v>300</v>
      </c>
      <c r="E1619" t="s">
        <v>65</v>
      </c>
      <c r="F1619">
        <v>5000</v>
      </c>
      <c r="G1619" t="s">
        <v>66</v>
      </c>
      <c r="H1619">
        <v>1</v>
      </c>
    </row>
    <row r="1620" spans="1:8" x14ac:dyDescent="0.3">
      <c r="A1620" t="s">
        <v>302</v>
      </c>
      <c r="B1620">
        <v>2018</v>
      </c>
      <c r="C1620" t="s">
        <v>271</v>
      </c>
      <c r="D1620" t="s">
        <v>300</v>
      </c>
      <c r="E1620" t="s">
        <v>65</v>
      </c>
      <c r="F1620">
        <v>3200</v>
      </c>
      <c r="G1620" t="s">
        <v>66</v>
      </c>
      <c r="H1620">
        <v>1</v>
      </c>
    </row>
    <row r="1621" spans="1:8" x14ac:dyDescent="0.3">
      <c r="A1621" t="s">
        <v>159</v>
      </c>
      <c r="B1621">
        <v>2014</v>
      </c>
      <c r="C1621" t="s">
        <v>271</v>
      </c>
      <c r="D1621" t="s">
        <v>300</v>
      </c>
      <c r="E1621" t="s">
        <v>65</v>
      </c>
      <c r="F1621">
        <v>17120</v>
      </c>
      <c r="G1621" t="s">
        <v>72</v>
      </c>
      <c r="H1621">
        <v>1</v>
      </c>
    </row>
    <row r="1622" spans="1:8" x14ac:dyDescent="0.3">
      <c r="A1622" t="s">
        <v>159</v>
      </c>
      <c r="B1622">
        <v>2015</v>
      </c>
      <c r="C1622" t="s">
        <v>271</v>
      </c>
      <c r="D1622" t="s">
        <v>300</v>
      </c>
      <c r="E1622" t="s">
        <v>65</v>
      </c>
      <c r="F1622">
        <v>17120</v>
      </c>
      <c r="G1622" t="s">
        <v>72</v>
      </c>
      <c r="H1622">
        <v>1</v>
      </c>
    </row>
    <row r="1623" spans="1:8" x14ac:dyDescent="0.3">
      <c r="A1623" t="s">
        <v>159</v>
      </c>
      <c r="B1623">
        <v>2018</v>
      </c>
      <c r="C1623" t="s">
        <v>271</v>
      </c>
      <c r="D1623" t="s">
        <v>300</v>
      </c>
      <c r="E1623" t="s">
        <v>65</v>
      </c>
      <c r="F1623">
        <v>17120</v>
      </c>
      <c r="G1623" t="s">
        <v>72</v>
      </c>
      <c r="H1623">
        <v>1</v>
      </c>
    </row>
    <row r="1624" spans="1:8" x14ac:dyDescent="0.3">
      <c r="A1624" t="s">
        <v>159</v>
      </c>
      <c r="B1624">
        <v>2020</v>
      </c>
      <c r="C1624" t="s">
        <v>271</v>
      </c>
      <c r="D1624" t="s">
        <v>300</v>
      </c>
      <c r="E1624" t="s">
        <v>65</v>
      </c>
      <c r="F1624">
        <v>17120</v>
      </c>
      <c r="G1624" t="s">
        <v>72</v>
      </c>
      <c r="H1624">
        <v>1</v>
      </c>
    </row>
    <row r="1625" spans="1:8" x14ac:dyDescent="0.3">
      <c r="A1625" t="s">
        <v>160</v>
      </c>
      <c r="B1625">
        <v>2014</v>
      </c>
      <c r="C1625" t="s">
        <v>271</v>
      </c>
      <c r="D1625" t="s">
        <v>300</v>
      </c>
      <c r="E1625" t="s">
        <v>65</v>
      </c>
      <c r="F1625">
        <v>16500</v>
      </c>
      <c r="G1625" t="s">
        <v>72</v>
      </c>
      <c r="H1625">
        <v>54</v>
      </c>
    </row>
    <row r="1626" spans="1:8" x14ac:dyDescent="0.3">
      <c r="A1626" t="s">
        <v>160</v>
      </c>
      <c r="B1626">
        <v>2015</v>
      </c>
      <c r="C1626" t="s">
        <v>271</v>
      </c>
      <c r="D1626" t="s">
        <v>300</v>
      </c>
      <c r="E1626" t="s">
        <v>65</v>
      </c>
      <c r="F1626">
        <v>16500</v>
      </c>
      <c r="G1626" t="s">
        <v>72</v>
      </c>
      <c r="H1626">
        <v>98</v>
      </c>
    </row>
    <row r="1627" spans="1:8" x14ac:dyDescent="0.3">
      <c r="A1627" t="s">
        <v>160</v>
      </c>
      <c r="B1627">
        <v>2016</v>
      </c>
      <c r="C1627" t="s">
        <v>271</v>
      </c>
      <c r="D1627" t="s">
        <v>300</v>
      </c>
      <c r="E1627" t="s">
        <v>65</v>
      </c>
      <c r="F1627">
        <v>16500</v>
      </c>
      <c r="G1627" t="s">
        <v>72</v>
      </c>
      <c r="H1627">
        <v>106</v>
      </c>
    </row>
    <row r="1628" spans="1:8" x14ac:dyDescent="0.3">
      <c r="A1628" t="s">
        <v>160</v>
      </c>
      <c r="B1628">
        <v>2017</v>
      </c>
      <c r="C1628" t="s">
        <v>271</v>
      </c>
      <c r="D1628" t="s">
        <v>300</v>
      </c>
      <c r="E1628" t="s">
        <v>65</v>
      </c>
      <c r="F1628">
        <v>16500</v>
      </c>
      <c r="G1628" t="s">
        <v>72</v>
      </c>
      <c r="H1628">
        <v>75</v>
      </c>
    </row>
    <row r="1629" spans="1:8" x14ac:dyDescent="0.3">
      <c r="A1629" t="s">
        <v>160</v>
      </c>
      <c r="B1629">
        <v>2018</v>
      </c>
      <c r="C1629" t="s">
        <v>271</v>
      </c>
      <c r="D1629" t="s">
        <v>300</v>
      </c>
      <c r="E1629" t="s">
        <v>65</v>
      </c>
      <c r="F1629">
        <v>16500</v>
      </c>
      <c r="G1629" t="s">
        <v>72</v>
      </c>
      <c r="H1629">
        <v>94</v>
      </c>
    </row>
    <row r="1630" spans="1:8" x14ac:dyDescent="0.3">
      <c r="A1630" t="s">
        <v>160</v>
      </c>
      <c r="B1630">
        <v>2019</v>
      </c>
      <c r="C1630" t="s">
        <v>271</v>
      </c>
      <c r="D1630" t="s">
        <v>300</v>
      </c>
      <c r="E1630" t="s">
        <v>65</v>
      </c>
      <c r="F1630">
        <v>16500</v>
      </c>
      <c r="G1630" t="s">
        <v>72</v>
      </c>
      <c r="H1630">
        <v>95</v>
      </c>
    </row>
    <row r="1631" spans="1:8" x14ac:dyDescent="0.3">
      <c r="A1631" t="s">
        <v>160</v>
      </c>
      <c r="B1631">
        <v>2020</v>
      </c>
      <c r="C1631" t="s">
        <v>271</v>
      </c>
      <c r="D1631" t="s">
        <v>300</v>
      </c>
      <c r="E1631" t="s">
        <v>65</v>
      </c>
      <c r="F1631">
        <v>16500</v>
      </c>
      <c r="G1631" t="s">
        <v>72</v>
      </c>
      <c r="H1631">
        <v>47</v>
      </c>
    </row>
    <row r="1632" spans="1:8" x14ac:dyDescent="0.3">
      <c r="A1632" t="s">
        <v>160</v>
      </c>
      <c r="B1632">
        <v>2021</v>
      </c>
      <c r="C1632" t="s">
        <v>271</v>
      </c>
      <c r="D1632" t="s">
        <v>300</v>
      </c>
      <c r="E1632" t="s">
        <v>65</v>
      </c>
      <c r="F1632">
        <v>16500</v>
      </c>
      <c r="G1632" t="s">
        <v>72</v>
      </c>
      <c r="H1632">
        <v>27</v>
      </c>
    </row>
    <row r="1633" spans="1:8" x14ac:dyDescent="0.3">
      <c r="A1633" t="s">
        <v>161</v>
      </c>
      <c r="B1633">
        <v>2020</v>
      </c>
      <c r="C1633" t="s">
        <v>271</v>
      </c>
      <c r="D1633" t="s">
        <v>300</v>
      </c>
      <c r="E1633" t="s">
        <v>65</v>
      </c>
      <c r="F1633">
        <v>181200</v>
      </c>
      <c r="G1633" t="s">
        <v>72</v>
      </c>
      <c r="H1633">
        <v>27</v>
      </c>
    </row>
    <row r="1634" spans="1:8" x14ac:dyDescent="0.3">
      <c r="A1634" t="s">
        <v>161</v>
      </c>
      <c r="B1634">
        <v>2021</v>
      </c>
      <c r="C1634" t="s">
        <v>271</v>
      </c>
      <c r="D1634" t="s">
        <v>300</v>
      </c>
      <c r="E1634" t="s">
        <v>65</v>
      </c>
      <c r="F1634">
        <v>181200</v>
      </c>
      <c r="G1634" t="s">
        <v>72</v>
      </c>
      <c r="H1634">
        <v>4</v>
      </c>
    </row>
    <row r="1635" spans="1:8" x14ac:dyDescent="0.3">
      <c r="A1635" t="s">
        <v>278</v>
      </c>
      <c r="B1635">
        <v>2020</v>
      </c>
      <c r="C1635" t="s">
        <v>271</v>
      </c>
      <c r="D1635" t="s">
        <v>300</v>
      </c>
      <c r="E1635" t="s">
        <v>65</v>
      </c>
      <c r="F1635">
        <v>194668</v>
      </c>
      <c r="G1635" t="s">
        <v>72</v>
      </c>
      <c r="H1635">
        <v>6</v>
      </c>
    </row>
    <row r="1636" spans="1:8" x14ac:dyDescent="0.3">
      <c r="A1636" t="s">
        <v>278</v>
      </c>
      <c r="B1636">
        <v>2021</v>
      </c>
      <c r="C1636" t="s">
        <v>271</v>
      </c>
      <c r="D1636" t="s">
        <v>300</v>
      </c>
      <c r="E1636" t="s">
        <v>65</v>
      </c>
      <c r="F1636">
        <v>194668</v>
      </c>
      <c r="G1636" t="s">
        <v>72</v>
      </c>
      <c r="H1636">
        <v>1</v>
      </c>
    </row>
    <row r="1637" spans="1:8" x14ac:dyDescent="0.3">
      <c r="A1637" t="s">
        <v>303</v>
      </c>
      <c r="B1637">
        <v>2020</v>
      </c>
      <c r="C1637" t="s">
        <v>271</v>
      </c>
      <c r="D1637" t="s">
        <v>300</v>
      </c>
      <c r="E1637" t="s">
        <v>65</v>
      </c>
      <c r="F1637">
        <v>84000</v>
      </c>
      <c r="G1637" t="s">
        <v>72</v>
      </c>
      <c r="H1637">
        <v>1</v>
      </c>
    </row>
    <row r="1638" spans="1:8" x14ac:dyDescent="0.3">
      <c r="A1638" t="s">
        <v>162</v>
      </c>
      <c r="B1638">
        <v>2014</v>
      </c>
      <c r="C1638" t="s">
        <v>271</v>
      </c>
      <c r="D1638" t="s">
        <v>300</v>
      </c>
      <c r="E1638" t="s">
        <v>65</v>
      </c>
      <c r="F1638">
        <v>93000</v>
      </c>
      <c r="G1638" t="s">
        <v>72</v>
      </c>
      <c r="H1638">
        <v>3</v>
      </c>
    </row>
    <row r="1639" spans="1:8" x14ac:dyDescent="0.3">
      <c r="A1639" t="s">
        <v>162</v>
      </c>
      <c r="B1639">
        <v>2015</v>
      </c>
      <c r="C1639" t="s">
        <v>271</v>
      </c>
      <c r="D1639" t="s">
        <v>300</v>
      </c>
      <c r="E1639" t="s">
        <v>65</v>
      </c>
      <c r="F1639">
        <v>93000</v>
      </c>
      <c r="G1639" t="s">
        <v>72</v>
      </c>
      <c r="H1639">
        <v>6</v>
      </c>
    </row>
    <row r="1640" spans="1:8" x14ac:dyDescent="0.3">
      <c r="A1640" t="s">
        <v>162</v>
      </c>
      <c r="B1640">
        <v>2020</v>
      </c>
      <c r="C1640" t="s">
        <v>271</v>
      </c>
      <c r="D1640" t="s">
        <v>300</v>
      </c>
      <c r="E1640" t="s">
        <v>65</v>
      </c>
      <c r="F1640">
        <v>93000</v>
      </c>
      <c r="G1640" t="s">
        <v>72</v>
      </c>
      <c r="H1640">
        <v>1</v>
      </c>
    </row>
    <row r="1641" spans="1:8" x14ac:dyDescent="0.3">
      <c r="A1641" t="s">
        <v>279</v>
      </c>
      <c r="B1641">
        <v>2020</v>
      </c>
      <c r="C1641" t="s">
        <v>271</v>
      </c>
      <c r="D1641" t="s">
        <v>300</v>
      </c>
      <c r="E1641" t="s">
        <v>65</v>
      </c>
      <c r="F1641">
        <v>333600</v>
      </c>
      <c r="G1641" t="s">
        <v>83</v>
      </c>
      <c r="H1641">
        <v>1</v>
      </c>
    </row>
    <row r="1642" spans="1:8" x14ac:dyDescent="0.3">
      <c r="A1642" t="s">
        <v>280</v>
      </c>
      <c r="B1642">
        <v>2014</v>
      </c>
      <c r="C1642" t="s">
        <v>271</v>
      </c>
      <c r="D1642" t="s">
        <v>300</v>
      </c>
      <c r="E1642" t="s">
        <v>65</v>
      </c>
      <c r="F1642">
        <v>128100</v>
      </c>
      <c r="G1642" t="s">
        <v>72</v>
      </c>
      <c r="H1642">
        <v>2</v>
      </c>
    </row>
    <row r="1643" spans="1:8" x14ac:dyDescent="0.3">
      <c r="A1643" t="s">
        <v>280</v>
      </c>
      <c r="B1643">
        <v>2015</v>
      </c>
      <c r="C1643" t="s">
        <v>271</v>
      </c>
      <c r="D1643" t="s">
        <v>300</v>
      </c>
      <c r="E1643" t="s">
        <v>65</v>
      </c>
      <c r="F1643">
        <v>128100</v>
      </c>
      <c r="G1643" t="s">
        <v>72</v>
      </c>
      <c r="H1643">
        <v>2</v>
      </c>
    </row>
    <row r="1644" spans="1:8" x14ac:dyDescent="0.3">
      <c r="A1644" t="s">
        <v>166</v>
      </c>
      <c r="B1644">
        <v>2019</v>
      </c>
      <c r="C1644" t="s">
        <v>271</v>
      </c>
      <c r="D1644" t="s">
        <v>300</v>
      </c>
      <c r="E1644" t="s">
        <v>65</v>
      </c>
      <c r="F1644">
        <v>136000</v>
      </c>
      <c r="G1644" t="s">
        <v>72</v>
      </c>
      <c r="H1644">
        <v>2</v>
      </c>
    </row>
    <row r="1645" spans="1:8" x14ac:dyDescent="0.3">
      <c r="A1645" t="s">
        <v>167</v>
      </c>
      <c r="B1645">
        <v>2014</v>
      </c>
      <c r="C1645" t="s">
        <v>271</v>
      </c>
      <c r="D1645" t="s">
        <v>300</v>
      </c>
      <c r="E1645" t="s">
        <v>65</v>
      </c>
      <c r="F1645">
        <v>154500</v>
      </c>
      <c r="G1645" t="s">
        <v>72</v>
      </c>
      <c r="H1645">
        <v>5</v>
      </c>
    </row>
    <row r="1646" spans="1:8" x14ac:dyDescent="0.3">
      <c r="A1646" t="s">
        <v>167</v>
      </c>
      <c r="B1646">
        <v>2015</v>
      </c>
      <c r="C1646" t="s">
        <v>271</v>
      </c>
      <c r="D1646" t="s">
        <v>300</v>
      </c>
      <c r="E1646" t="s">
        <v>65</v>
      </c>
      <c r="F1646">
        <v>154500</v>
      </c>
      <c r="G1646" t="s">
        <v>72</v>
      </c>
      <c r="H1646">
        <v>6</v>
      </c>
    </row>
    <row r="1647" spans="1:8" x14ac:dyDescent="0.3">
      <c r="A1647" t="s">
        <v>167</v>
      </c>
      <c r="B1647">
        <v>2016</v>
      </c>
      <c r="C1647" t="s">
        <v>271</v>
      </c>
      <c r="D1647" t="s">
        <v>300</v>
      </c>
      <c r="E1647" t="s">
        <v>65</v>
      </c>
      <c r="F1647">
        <v>154500</v>
      </c>
      <c r="G1647" t="s">
        <v>72</v>
      </c>
      <c r="H1647">
        <v>16</v>
      </c>
    </row>
    <row r="1648" spans="1:8" x14ac:dyDescent="0.3">
      <c r="A1648" t="s">
        <v>167</v>
      </c>
      <c r="B1648">
        <v>2017</v>
      </c>
      <c r="C1648" t="s">
        <v>271</v>
      </c>
      <c r="D1648" t="s">
        <v>300</v>
      </c>
      <c r="E1648" t="s">
        <v>65</v>
      </c>
      <c r="F1648">
        <v>154500</v>
      </c>
      <c r="G1648" t="s">
        <v>72</v>
      </c>
      <c r="H1648">
        <v>2</v>
      </c>
    </row>
    <row r="1649" spans="1:8" x14ac:dyDescent="0.3">
      <c r="A1649" t="s">
        <v>167</v>
      </c>
      <c r="B1649">
        <v>2018</v>
      </c>
      <c r="C1649" t="s">
        <v>271</v>
      </c>
      <c r="D1649" t="s">
        <v>300</v>
      </c>
      <c r="E1649" t="s">
        <v>65</v>
      </c>
      <c r="F1649">
        <v>154500</v>
      </c>
      <c r="G1649" t="s">
        <v>72</v>
      </c>
      <c r="H1649">
        <v>1</v>
      </c>
    </row>
    <row r="1650" spans="1:8" x14ac:dyDescent="0.3">
      <c r="A1650" t="s">
        <v>167</v>
      </c>
      <c r="B1650">
        <v>2019</v>
      </c>
      <c r="C1650" t="s">
        <v>271</v>
      </c>
      <c r="D1650" t="s">
        <v>300</v>
      </c>
      <c r="E1650" t="s">
        <v>65</v>
      </c>
      <c r="F1650">
        <v>154500</v>
      </c>
      <c r="G1650" t="s">
        <v>72</v>
      </c>
      <c r="H1650">
        <v>3</v>
      </c>
    </row>
    <row r="1651" spans="1:8" x14ac:dyDescent="0.3">
      <c r="A1651" t="s">
        <v>167</v>
      </c>
      <c r="B1651">
        <v>2020</v>
      </c>
      <c r="C1651" t="s">
        <v>271</v>
      </c>
      <c r="D1651" t="s">
        <v>300</v>
      </c>
      <c r="E1651" t="s">
        <v>65</v>
      </c>
      <c r="F1651">
        <v>154500</v>
      </c>
      <c r="G1651" t="s">
        <v>72</v>
      </c>
      <c r="H1651">
        <v>5</v>
      </c>
    </row>
    <row r="1652" spans="1:8" x14ac:dyDescent="0.3">
      <c r="A1652" t="s">
        <v>167</v>
      </c>
      <c r="B1652">
        <v>2021</v>
      </c>
      <c r="C1652" t="s">
        <v>271</v>
      </c>
      <c r="D1652" t="s">
        <v>300</v>
      </c>
      <c r="E1652" t="s">
        <v>65</v>
      </c>
      <c r="F1652">
        <v>154500</v>
      </c>
      <c r="G1652" t="s">
        <v>72</v>
      </c>
      <c r="H1652">
        <v>1</v>
      </c>
    </row>
    <row r="1653" spans="1:8" x14ac:dyDescent="0.3">
      <c r="A1653" t="s">
        <v>168</v>
      </c>
      <c r="B1653">
        <v>2014</v>
      </c>
      <c r="C1653" t="s">
        <v>271</v>
      </c>
      <c r="D1653" t="s">
        <v>300</v>
      </c>
      <c r="E1653" t="s">
        <v>65</v>
      </c>
      <c r="F1653">
        <v>174200</v>
      </c>
      <c r="G1653" t="s">
        <v>72</v>
      </c>
      <c r="H1653">
        <v>11</v>
      </c>
    </row>
    <row r="1654" spans="1:8" x14ac:dyDescent="0.3">
      <c r="A1654" t="s">
        <v>168</v>
      </c>
      <c r="B1654">
        <v>2015</v>
      </c>
      <c r="C1654" t="s">
        <v>271</v>
      </c>
      <c r="D1654" t="s">
        <v>300</v>
      </c>
      <c r="E1654" t="s">
        <v>65</v>
      </c>
      <c r="F1654">
        <v>174200</v>
      </c>
      <c r="G1654" t="s">
        <v>72</v>
      </c>
      <c r="H1654">
        <v>15</v>
      </c>
    </row>
    <row r="1655" spans="1:8" x14ac:dyDescent="0.3">
      <c r="A1655" t="s">
        <v>168</v>
      </c>
      <c r="B1655">
        <v>2016</v>
      </c>
      <c r="C1655" t="s">
        <v>271</v>
      </c>
      <c r="D1655" t="s">
        <v>300</v>
      </c>
      <c r="E1655" t="s">
        <v>65</v>
      </c>
      <c r="F1655">
        <v>174200</v>
      </c>
      <c r="G1655" t="s">
        <v>72</v>
      </c>
      <c r="H1655">
        <v>38</v>
      </c>
    </row>
    <row r="1656" spans="1:8" x14ac:dyDescent="0.3">
      <c r="A1656" t="s">
        <v>168</v>
      </c>
      <c r="B1656">
        <v>2017</v>
      </c>
      <c r="C1656" t="s">
        <v>271</v>
      </c>
      <c r="D1656" t="s">
        <v>300</v>
      </c>
      <c r="E1656" t="s">
        <v>65</v>
      </c>
      <c r="F1656">
        <v>174200</v>
      </c>
      <c r="G1656" t="s">
        <v>72</v>
      </c>
      <c r="H1656">
        <v>17</v>
      </c>
    </row>
    <row r="1657" spans="1:8" x14ac:dyDescent="0.3">
      <c r="A1657" t="s">
        <v>168</v>
      </c>
      <c r="B1657">
        <v>2018</v>
      </c>
      <c r="C1657" t="s">
        <v>271</v>
      </c>
      <c r="D1657" t="s">
        <v>300</v>
      </c>
      <c r="E1657" t="s">
        <v>65</v>
      </c>
      <c r="F1657">
        <v>174200</v>
      </c>
      <c r="G1657" t="s">
        <v>72</v>
      </c>
      <c r="H1657">
        <v>2</v>
      </c>
    </row>
    <row r="1658" spans="1:8" x14ac:dyDescent="0.3">
      <c r="A1658" t="s">
        <v>168</v>
      </c>
      <c r="B1658">
        <v>2019</v>
      </c>
      <c r="C1658" t="s">
        <v>271</v>
      </c>
      <c r="D1658" t="s">
        <v>300</v>
      </c>
      <c r="E1658" t="s">
        <v>65</v>
      </c>
      <c r="F1658">
        <v>174200</v>
      </c>
      <c r="G1658" t="s">
        <v>72</v>
      </c>
      <c r="H1658">
        <v>1</v>
      </c>
    </row>
    <row r="1659" spans="1:8" x14ac:dyDescent="0.3">
      <c r="A1659" t="s">
        <v>168</v>
      </c>
      <c r="B1659">
        <v>2020</v>
      </c>
      <c r="C1659" t="s">
        <v>271</v>
      </c>
      <c r="D1659" t="s">
        <v>300</v>
      </c>
      <c r="E1659" t="s">
        <v>65</v>
      </c>
      <c r="F1659">
        <v>174200</v>
      </c>
      <c r="G1659" t="s">
        <v>72</v>
      </c>
      <c r="H1659">
        <v>3</v>
      </c>
    </row>
    <row r="1660" spans="1:8" x14ac:dyDescent="0.3">
      <c r="A1660" t="s">
        <v>169</v>
      </c>
      <c r="B1660">
        <v>2014</v>
      </c>
      <c r="C1660" t="s">
        <v>271</v>
      </c>
      <c r="D1660" t="s">
        <v>300</v>
      </c>
      <c r="E1660" t="s">
        <v>65</v>
      </c>
      <c r="F1660">
        <v>187700</v>
      </c>
      <c r="G1660" t="s">
        <v>72</v>
      </c>
      <c r="H1660">
        <v>3</v>
      </c>
    </row>
    <row r="1661" spans="1:8" x14ac:dyDescent="0.3">
      <c r="A1661" t="s">
        <v>169</v>
      </c>
      <c r="B1661">
        <v>2015</v>
      </c>
      <c r="C1661" t="s">
        <v>271</v>
      </c>
      <c r="D1661" t="s">
        <v>300</v>
      </c>
      <c r="E1661" t="s">
        <v>65</v>
      </c>
      <c r="F1661">
        <v>187700</v>
      </c>
      <c r="G1661" t="s">
        <v>72</v>
      </c>
      <c r="H1661">
        <v>7</v>
      </c>
    </row>
    <row r="1662" spans="1:8" x14ac:dyDescent="0.3">
      <c r="A1662" t="s">
        <v>169</v>
      </c>
      <c r="B1662">
        <v>2016</v>
      </c>
      <c r="C1662" t="s">
        <v>271</v>
      </c>
      <c r="D1662" t="s">
        <v>300</v>
      </c>
      <c r="E1662" t="s">
        <v>65</v>
      </c>
      <c r="F1662">
        <v>187700</v>
      </c>
      <c r="G1662" t="s">
        <v>72</v>
      </c>
      <c r="H1662">
        <v>5</v>
      </c>
    </row>
    <row r="1663" spans="1:8" x14ac:dyDescent="0.3">
      <c r="A1663" t="s">
        <v>169</v>
      </c>
      <c r="B1663">
        <v>2017</v>
      </c>
      <c r="C1663" t="s">
        <v>271</v>
      </c>
      <c r="D1663" t="s">
        <v>300</v>
      </c>
      <c r="E1663" t="s">
        <v>65</v>
      </c>
      <c r="F1663">
        <v>187700</v>
      </c>
      <c r="G1663" t="s">
        <v>72</v>
      </c>
      <c r="H1663">
        <v>1</v>
      </c>
    </row>
    <row r="1664" spans="1:8" x14ac:dyDescent="0.3">
      <c r="A1664" t="s">
        <v>169</v>
      </c>
      <c r="B1664">
        <v>2018</v>
      </c>
      <c r="C1664" t="s">
        <v>271</v>
      </c>
      <c r="D1664" t="s">
        <v>300</v>
      </c>
      <c r="E1664" t="s">
        <v>65</v>
      </c>
      <c r="F1664">
        <v>187700</v>
      </c>
      <c r="G1664" t="s">
        <v>72</v>
      </c>
      <c r="H1664">
        <v>2</v>
      </c>
    </row>
    <row r="1665" spans="1:8" x14ac:dyDescent="0.3">
      <c r="A1665" t="s">
        <v>169</v>
      </c>
      <c r="B1665">
        <v>2020</v>
      </c>
      <c r="C1665" t="s">
        <v>271</v>
      </c>
      <c r="D1665" t="s">
        <v>300</v>
      </c>
      <c r="E1665" t="s">
        <v>65</v>
      </c>
      <c r="F1665">
        <v>187700</v>
      </c>
      <c r="G1665" t="s">
        <v>72</v>
      </c>
      <c r="H1665">
        <v>6</v>
      </c>
    </row>
    <row r="1666" spans="1:8" x14ac:dyDescent="0.3">
      <c r="A1666" t="s">
        <v>282</v>
      </c>
      <c r="B1666">
        <v>2020</v>
      </c>
      <c r="C1666" t="s">
        <v>271</v>
      </c>
      <c r="D1666" t="s">
        <v>300</v>
      </c>
      <c r="E1666" t="s">
        <v>65</v>
      </c>
      <c r="F1666">
        <v>910000</v>
      </c>
      <c r="G1666" t="s">
        <v>283</v>
      </c>
      <c r="H1666">
        <v>5</v>
      </c>
    </row>
    <row r="1667" spans="1:8" x14ac:dyDescent="0.3">
      <c r="A1667" t="s">
        <v>284</v>
      </c>
      <c r="B1667">
        <v>2014</v>
      </c>
      <c r="C1667" t="s">
        <v>271</v>
      </c>
      <c r="D1667" t="s">
        <v>300</v>
      </c>
      <c r="E1667" t="s">
        <v>65</v>
      </c>
      <c r="F1667">
        <v>987000</v>
      </c>
      <c r="G1667" t="s">
        <v>283</v>
      </c>
      <c r="H1667">
        <v>3</v>
      </c>
    </row>
    <row r="1668" spans="1:8" x14ac:dyDescent="0.3">
      <c r="A1668" t="s">
        <v>284</v>
      </c>
      <c r="B1668">
        <v>2015</v>
      </c>
      <c r="C1668" t="s">
        <v>271</v>
      </c>
      <c r="D1668" t="s">
        <v>300</v>
      </c>
      <c r="E1668" t="s">
        <v>65</v>
      </c>
      <c r="F1668">
        <v>987000</v>
      </c>
      <c r="G1668" t="s">
        <v>283</v>
      </c>
      <c r="H1668">
        <v>2</v>
      </c>
    </row>
    <row r="1669" spans="1:8" x14ac:dyDescent="0.3">
      <c r="A1669" t="s">
        <v>170</v>
      </c>
      <c r="B1669">
        <v>2016</v>
      </c>
      <c r="C1669" t="s">
        <v>271</v>
      </c>
      <c r="D1669" t="s">
        <v>300</v>
      </c>
      <c r="E1669" t="s">
        <v>65</v>
      </c>
      <c r="F1669">
        <v>255500</v>
      </c>
      <c r="G1669" t="s">
        <v>83</v>
      </c>
      <c r="H1669">
        <v>2</v>
      </c>
    </row>
    <row r="1670" spans="1:8" x14ac:dyDescent="0.3">
      <c r="A1670" t="s">
        <v>170</v>
      </c>
      <c r="B1670">
        <v>2018</v>
      </c>
      <c r="C1670" t="s">
        <v>271</v>
      </c>
      <c r="D1670" t="s">
        <v>300</v>
      </c>
      <c r="E1670" t="s">
        <v>65</v>
      </c>
      <c r="F1670">
        <v>255500</v>
      </c>
      <c r="G1670" t="s">
        <v>83</v>
      </c>
      <c r="H1670">
        <v>1</v>
      </c>
    </row>
    <row r="1671" spans="1:8" x14ac:dyDescent="0.3">
      <c r="A1671" t="s">
        <v>171</v>
      </c>
      <c r="B1671">
        <v>2016</v>
      </c>
      <c r="C1671" t="s">
        <v>271</v>
      </c>
      <c r="D1671" t="s">
        <v>300</v>
      </c>
      <c r="E1671" t="s">
        <v>65</v>
      </c>
      <c r="F1671">
        <v>395000</v>
      </c>
      <c r="G1671" t="s">
        <v>83</v>
      </c>
      <c r="H1671">
        <v>4</v>
      </c>
    </row>
    <row r="1672" spans="1:8" x14ac:dyDescent="0.3">
      <c r="A1672" t="s">
        <v>285</v>
      </c>
      <c r="B1672">
        <v>2016</v>
      </c>
      <c r="C1672" t="s">
        <v>271</v>
      </c>
      <c r="D1672" t="s">
        <v>300</v>
      </c>
      <c r="E1672" t="s">
        <v>65</v>
      </c>
      <c r="F1672">
        <v>412000</v>
      </c>
      <c r="G1672" t="s">
        <v>83</v>
      </c>
      <c r="H1672">
        <v>1</v>
      </c>
    </row>
    <row r="1673" spans="1:8" x14ac:dyDescent="0.3">
      <c r="A1673" t="s">
        <v>285</v>
      </c>
      <c r="B1673">
        <v>2019</v>
      </c>
      <c r="C1673" t="s">
        <v>271</v>
      </c>
      <c r="D1673" t="s">
        <v>300</v>
      </c>
      <c r="E1673" t="s">
        <v>65</v>
      </c>
      <c r="F1673">
        <v>412000</v>
      </c>
      <c r="G1673" t="s">
        <v>83</v>
      </c>
      <c r="H1673">
        <v>1</v>
      </c>
    </row>
    <row r="1674" spans="1:8" x14ac:dyDescent="0.3">
      <c r="A1674" t="s">
        <v>285</v>
      </c>
      <c r="B1674">
        <v>2020</v>
      </c>
      <c r="C1674" t="s">
        <v>271</v>
      </c>
      <c r="D1674" t="s">
        <v>300</v>
      </c>
      <c r="E1674" t="s">
        <v>65</v>
      </c>
      <c r="F1674">
        <v>412000</v>
      </c>
      <c r="G1674" t="s">
        <v>83</v>
      </c>
      <c r="H1674">
        <v>1</v>
      </c>
    </row>
    <row r="1675" spans="1:8" x14ac:dyDescent="0.3">
      <c r="A1675" t="s">
        <v>287</v>
      </c>
      <c r="B1675">
        <v>2014</v>
      </c>
      <c r="C1675" t="s">
        <v>271</v>
      </c>
      <c r="D1675" t="s">
        <v>300</v>
      </c>
      <c r="E1675" t="s">
        <v>65</v>
      </c>
      <c r="F1675">
        <v>766800</v>
      </c>
      <c r="G1675" t="s">
        <v>276</v>
      </c>
      <c r="H1675">
        <v>1</v>
      </c>
    </row>
    <row r="1676" spans="1:8" x14ac:dyDescent="0.3">
      <c r="A1676" t="s">
        <v>287</v>
      </c>
      <c r="B1676">
        <v>2015</v>
      </c>
      <c r="C1676" t="s">
        <v>271</v>
      </c>
      <c r="D1676" t="s">
        <v>300</v>
      </c>
      <c r="E1676" t="s">
        <v>65</v>
      </c>
      <c r="F1676">
        <v>766800</v>
      </c>
      <c r="G1676" t="s">
        <v>276</v>
      </c>
      <c r="H1676">
        <v>2</v>
      </c>
    </row>
    <row r="1677" spans="1:8" x14ac:dyDescent="0.3">
      <c r="A1677" t="s">
        <v>289</v>
      </c>
      <c r="B1677">
        <v>2016</v>
      </c>
      <c r="C1677" t="s">
        <v>271</v>
      </c>
      <c r="D1677" t="s">
        <v>300</v>
      </c>
      <c r="E1677" t="s">
        <v>65</v>
      </c>
      <c r="F1677">
        <v>775000</v>
      </c>
      <c r="G1677" t="s">
        <v>276</v>
      </c>
      <c r="H1677">
        <v>1</v>
      </c>
    </row>
    <row r="1678" spans="1:8" x14ac:dyDescent="0.3">
      <c r="A1678" t="s">
        <v>290</v>
      </c>
      <c r="B1678">
        <v>2015</v>
      </c>
      <c r="C1678" t="s">
        <v>271</v>
      </c>
      <c r="D1678" t="s">
        <v>300</v>
      </c>
      <c r="E1678" t="s">
        <v>65</v>
      </c>
      <c r="F1678">
        <v>775000</v>
      </c>
      <c r="G1678" t="s">
        <v>276</v>
      </c>
      <c r="H1678">
        <v>6</v>
      </c>
    </row>
    <row r="1679" spans="1:8" x14ac:dyDescent="0.3">
      <c r="A1679" t="s">
        <v>290</v>
      </c>
      <c r="B1679">
        <v>2016</v>
      </c>
      <c r="C1679" t="s">
        <v>271</v>
      </c>
      <c r="D1679" t="s">
        <v>300</v>
      </c>
      <c r="E1679" t="s">
        <v>65</v>
      </c>
      <c r="F1679">
        <v>775000</v>
      </c>
      <c r="G1679" t="s">
        <v>276</v>
      </c>
      <c r="H1679">
        <v>2</v>
      </c>
    </row>
    <row r="1680" spans="1:8" x14ac:dyDescent="0.3">
      <c r="A1680" t="s">
        <v>291</v>
      </c>
      <c r="B1680">
        <v>2014</v>
      </c>
      <c r="C1680" t="s">
        <v>271</v>
      </c>
      <c r="D1680" t="s">
        <v>300</v>
      </c>
      <c r="E1680" t="s">
        <v>65</v>
      </c>
      <c r="F1680">
        <v>502500</v>
      </c>
      <c r="G1680" t="s">
        <v>83</v>
      </c>
      <c r="H1680">
        <v>5</v>
      </c>
    </row>
    <row r="1681" spans="1:8" x14ac:dyDescent="0.3">
      <c r="A1681" t="s">
        <v>291</v>
      </c>
      <c r="B1681">
        <v>2015</v>
      </c>
      <c r="C1681" t="s">
        <v>271</v>
      </c>
      <c r="D1681" t="s">
        <v>300</v>
      </c>
      <c r="E1681" t="s">
        <v>65</v>
      </c>
      <c r="F1681">
        <v>502500</v>
      </c>
      <c r="G1681" t="s">
        <v>83</v>
      </c>
      <c r="H1681">
        <v>9</v>
      </c>
    </row>
    <row r="1682" spans="1:8" x14ac:dyDescent="0.3">
      <c r="A1682" t="s">
        <v>291</v>
      </c>
      <c r="B1682">
        <v>2016</v>
      </c>
      <c r="C1682" t="s">
        <v>271</v>
      </c>
      <c r="D1682" t="s">
        <v>300</v>
      </c>
      <c r="E1682" t="s">
        <v>65</v>
      </c>
      <c r="F1682">
        <v>502500</v>
      </c>
      <c r="G1682" t="s">
        <v>83</v>
      </c>
      <c r="H1682">
        <v>2</v>
      </c>
    </row>
    <row r="1683" spans="1:8" x14ac:dyDescent="0.3">
      <c r="A1683" t="s">
        <v>291</v>
      </c>
      <c r="B1683">
        <v>2020</v>
      </c>
      <c r="C1683" t="s">
        <v>271</v>
      </c>
      <c r="D1683" t="s">
        <v>300</v>
      </c>
      <c r="E1683" t="s">
        <v>65</v>
      </c>
      <c r="F1683">
        <v>502500</v>
      </c>
      <c r="G1683" t="s">
        <v>83</v>
      </c>
      <c r="H1683">
        <v>2</v>
      </c>
    </row>
    <row r="1684" spans="1:8" x14ac:dyDescent="0.3">
      <c r="A1684" t="s">
        <v>292</v>
      </c>
      <c r="B1684">
        <v>2014</v>
      </c>
      <c r="C1684" t="s">
        <v>271</v>
      </c>
      <c r="D1684" t="s">
        <v>300</v>
      </c>
      <c r="E1684" t="s">
        <v>65</v>
      </c>
      <c r="F1684">
        <v>560000</v>
      </c>
      <c r="G1684" t="s">
        <v>83</v>
      </c>
      <c r="H1684">
        <v>2</v>
      </c>
    </row>
    <row r="1685" spans="1:8" x14ac:dyDescent="0.3">
      <c r="A1685" t="s">
        <v>292</v>
      </c>
      <c r="B1685">
        <v>2015</v>
      </c>
      <c r="C1685" t="s">
        <v>271</v>
      </c>
      <c r="D1685" t="s">
        <v>300</v>
      </c>
      <c r="E1685" t="s">
        <v>65</v>
      </c>
      <c r="F1685">
        <v>560000</v>
      </c>
      <c r="G1685" t="s">
        <v>83</v>
      </c>
      <c r="H1685">
        <v>7</v>
      </c>
    </row>
    <row r="1686" spans="1:8" x14ac:dyDescent="0.3">
      <c r="A1686" t="s">
        <v>292</v>
      </c>
      <c r="B1686">
        <v>2016</v>
      </c>
      <c r="C1686" t="s">
        <v>271</v>
      </c>
      <c r="D1686" t="s">
        <v>300</v>
      </c>
      <c r="E1686" t="s">
        <v>65</v>
      </c>
      <c r="F1686">
        <v>560000</v>
      </c>
      <c r="G1686" t="s">
        <v>83</v>
      </c>
      <c r="H1686">
        <v>4</v>
      </c>
    </row>
    <row r="1687" spans="1:8" x14ac:dyDescent="0.3">
      <c r="A1687" t="s">
        <v>292</v>
      </c>
      <c r="B1687">
        <v>2019</v>
      </c>
      <c r="C1687" t="s">
        <v>271</v>
      </c>
      <c r="D1687" t="s">
        <v>300</v>
      </c>
      <c r="E1687" t="s">
        <v>65</v>
      </c>
      <c r="F1687">
        <v>560000</v>
      </c>
      <c r="G1687" t="s">
        <v>83</v>
      </c>
      <c r="H1687">
        <v>2</v>
      </c>
    </row>
    <row r="1688" spans="1:8" x14ac:dyDescent="0.3">
      <c r="A1688" t="s">
        <v>174</v>
      </c>
      <c r="B1688">
        <v>2014</v>
      </c>
      <c r="C1688" t="s">
        <v>271</v>
      </c>
      <c r="D1688" t="s">
        <v>300</v>
      </c>
      <c r="E1688" t="s">
        <v>65</v>
      </c>
      <c r="F1688">
        <v>11800</v>
      </c>
      <c r="G1688" t="s">
        <v>72</v>
      </c>
      <c r="H1688">
        <v>6</v>
      </c>
    </row>
    <row r="1689" spans="1:8" x14ac:dyDescent="0.3">
      <c r="A1689" t="s">
        <v>174</v>
      </c>
      <c r="B1689">
        <v>2015</v>
      </c>
      <c r="C1689" t="s">
        <v>271</v>
      </c>
      <c r="D1689" t="s">
        <v>300</v>
      </c>
      <c r="E1689" t="s">
        <v>65</v>
      </c>
      <c r="F1689">
        <v>11800</v>
      </c>
      <c r="G1689" t="s">
        <v>72</v>
      </c>
      <c r="H1689">
        <v>15</v>
      </c>
    </row>
    <row r="1690" spans="1:8" x14ac:dyDescent="0.3">
      <c r="A1690" t="s">
        <v>174</v>
      </c>
      <c r="B1690">
        <v>2016</v>
      </c>
      <c r="C1690" t="s">
        <v>271</v>
      </c>
      <c r="D1690" t="s">
        <v>300</v>
      </c>
      <c r="E1690" t="s">
        <v>65</v>
      </c>
      <c r="F1690">
        <v>11800</v>
      </c>
      <c r="G1690" t="s">
        <v>72</v>
      </c>
      <c r="H1690">
        <v>13</v>
      </c>
    </row>
    <row r="1691" spans="1:8" x14ac:dyDescent="0.3">
      <c r="A1691" t="s">
        <v>174</v>
      </c>
      <c r="B1691">
        <v>2017</v>
      </c>
      <c r="C1691" t="s">
        <v>271</v>
      </c>
      <c r="D1691" t="s">
        <v>300</v>
      </c>
      <c r="E1691" t="s">
        <v>65</v>
      </c>
      <c r="F1691">
        <v>11800</v>
      </c>
      <c r="G1691" t="s">
        <v>72</v>
      </c>
      <c r="H1691">
        <v>8</v>
      </c>
    </row>
    <row r="1692" spans="1:8" x14ac:dyDescent="0.3">
      <c r="A1692" t="s">
        <v>174</v>
      </c>
      <c r="B1692">
        <v>2018</v>
      </c>
      <c r="C1692" t="s">
        <v>271</v>
      </c>
      <c r="D1692" t="s">
        <v>300</v>
      </c>
      <c r="E1692" t="s">
        <v>65</v>
      </c>
      <c r="F1692">
        <v>11800</v>
      </c>
      <c r="G1692" t="s">
        <v>72</v>
      </c>
      <c r="H1692">
        <v>14</v>
      </c>
    </row>
    <row r="1693" spans="1:8" x14ac:dyDescent="0.3">
      <c r="A1693" t="s">
        <v>174</v>
      </c>
      <c r="B1693">
        <v>2019</v>
      </c>
      <c r="C1693" t="s">
        <v>271</v>
      </c>
      <c r="D1693" t="s">
        <v>300</v>
      </c>
      <c r="E1693" t="s">
        <v>65</v>
      </c>
      <c r="F1693">
        <v>11800</v>
      </c>
      <c r="G1693" t="s">
        <v>72</v>
      </c>
      <c r="H1693">
        <v>1</v>
      </c>
    </row>
    <row r="1694" spans="1:8" x14ac:dyDescent="0.3">
      <c r="A1694" t="s">
        <v>174</v>
      </c>
      <c r="B1694">
        <v>2020</v>
      </c>
      <c r="C1694" t="s">
        <v>271</v>
      </c>
      <c r="D1694" t="s">
        <v>300</v>
      </c>
      <c r="E1694" t="s">
        <v>65</v>
      </c>
      <c r="F1694">
        <v>11800</v>
      </c>
      <c r="G1694" t="s">
        <v>72</v>
      </c>
      <c r="H1694">
        <v>7</v>
      </c>
    </row>
    <row r="1695" spans="1:8" x14ac:dyDescent="0.3">
      <c r="A1695" t="s">
        <v>175</v>
      </c>
      <c r="B1695">
        <v>2014</v>
      </c>
      <c r="C1695" t="s">
        <v>271</v>
      </c>
      <c r="D1695" t="s">
        <v>300</v>
      </c>
      <c r="E1695" t="s">
        <v>65</v>
      </c>
      <c r="F1695">
        <v>17120</v>
      </c>
      <c r="G1695" t="s">
        <v>72</v>
      </c>
      <c r="H1695">
        <v>125</v>
      </c>
    </row>
    <row r="1696" spans="1:8" x14ac:dyDescent="0.3">
      <c r="A1696" t="s">
        <v>175</v>
      </c>
      <c r="B1696">
        <v>2015</v>
      </c>
      <c r="C1696" t="s">
        <v>271</v>
      </c>
      <c r="D1696" t="s">
        <v>300</v>
      </c>
      <c r="E1696" t="s">
        <v>65</v>
      </c>
      <c r="F1696">
        <v>17120</v>
      </c>
      <c r="G1696" t="s">
        <v>72</v>
      </c>
      <c r="H1696">
        <v>318</v>
      </c>
    </row>
    <row r="1697" spans="1:8" x14ac:dyDescent="0.3">
      <c r="A1697" t="s">
        <v>175</v>
      </c>
      <c r="B1697">
        <v>2016</v>
      </c>
      <c r="C1697" t="s">
        <v>271</v>
      </c>
      <c r="D1697" t="s">
        <v>300</v>
      </c>
      <c r="E1697" t="s">
        <v>65</v>
      </c>
      <c r="F1697">
        <v>17120</v>
      </c>
      <c r="G1697" t="s">
        <v>72</v>
      </c>
      <c r="H1697">
        <v>257</v>
      </c>
    </row>
    <row r="1698" spans="1:8" x14ac:dyDescent="0.3">
      <c r="A1698" t="s">
        <v>175</v>
      </c>
      <c r="B1698">
        <v>2017</v>
      </c>
      <c r="C1698" t="s">
        <v>271</v>
      </c>
      <c r="D1698" t="s">
        <v>300</v>
      </c>
      <c r="E1698" t="s">
        <v>65</v>
      </c>
      <c r="F1698">
        <v>17120</v>
      </c>
      <c r="G1698" t="s">
        <v>72</v>
      </c>
      <c r="H1698">
        <v>195</v>
      </c>
    </row>
    <row r="1699" spans="1:8" x14ac:dyDescent="0.3">
      <c r="A1699" t="s">
        <v>175</v>
      </c>
      <c r="B1699">
        <v>2018</v>
      </c>
      <c r="C1699" t="s">
        <v>271</v>
      </c>
      <c r="D1699" t="s">
        <v>300</v>
      </c>
      <c r="E1699" t="s">
        <v>65</v>
      </c>
      <c r="F1699">
        <v>17120</v>
      </c>
      <c r="G1699" t="s">
        <v>72</v>
      </c>
      <c r="H1699">
        <v>401</v>
      </c>
    </row>
    <row r="1700" spans="1:8" x14ac:dyDescent="0.3">
      <c r="A1700" t="s">
        <v>175</v>
      </c>
      <c r="B1700">
        <v>2019</v>
      </c>
      <c r="C1700" t="s">
        <v>271</v>
      </c>
      <c r="D1700" t="s">
        <v>300</v>
      </c>
      <c r="E1700" t="s">
        <v>65</v>
      </c>
      <c r="F1700">
        <v>17120</v>
      </c>
      <c r="G1700" t="s">
        <v>72</v>
      </c>
      <c r="H1700">
        <v>370</v>
      </c>
    </row>
    <row r="1701" spans="1:8" x14ac:dyDescent="0.3">
      <c r="A1701" t="s">
        <v>175</v>
      </c>
      <c r="B1701">
        <v>2020</v>
      </c>
      <c r="C1701" t="s">
        <v>271</v>
      </c>
      <c r="D1701" t="s">
        <v>300</v>
      </c>
      <c r="E1701" t="s">
        <v>65</v>
      </c>
      <c r="F1701">
        <v>17120</v>
      </c>
      <c r="G1701" t="s">
        <v>72</v>
      </c>
      <c r="H1701">
        <v>382</v>
      </c>
    </row>
    <row r="1702" spans="1:8" x14ac:dyDescent="0.3">
      <c r="A1702" t="s">
        <v>175</v>
      </c>
      <c r="B1702">
        <v>2021</v>
      </c>
      <c r="C1702" t="s">
        <v>271</v>
      </c>
      <c r="D1702" t="s">
        <v>300</v>
      </c>
      <c r="E1702" t="s">
        <v>65</v>
      </c>
      <c r="F1702">
        <v>17120</v>
      </c>
      <c r="G1702" t="s">
        <v>72</v>
      </c>
      <c r="H1702">
        <v>358</v>
      </c>
    </row>
    <row r="1703" spans="1:8" x14ac:dyDescent="0.3">
      <c r="A1703" t="s">
        <v>71</v>
      </c>
      <c r="B1703">
        <v>2014</v>
      </c>
      <c r="C1703" t="s">
        <v>271</v>
      </c>
      <c r="D1703" t="s">
        <v>300</v>
      </c>
      <c r="E1703" t="s">
        <v>65</v>
      </c>
      <c r="F1703">
        <v>12500</v>
      </c>
      <c r="G1703" t="s">
        <v>72</v>
      </c>
      <c r="H1703">
        <v>8</v>
      </c>
    </row>
    <row r="1704" spans="1:8" x14ac:dyDescent="0.3">
      <c r="A1704" t="s">
        <v>71</v>
      </c>
      <c r="B1704">
        <v>2015</v>
      </c>
      <c r="C1704" t="s">
        <v>271</v>
      </c>
      <c r="D1704" t="s">
        <v>300</v>
      </c>
      <c r="E1704" t="s">
        <v>65</v>
      </c>
      <c r="F1704">
        <v>12500</v>
      </c>
      <c r="G1704" t="s">
        <v>72</v>
      </c>
      <c r="H1704">
        <v>7</v>
      </c>
    </row>
    <row r="1705" spans="1:8" x14ac:dyDescent="0.3">
      <c r="A1705" t="s">
        <v>71</v>
      </c>
      <c r="B1705">
        <v>2016</v>
      </c>
      <c r="C1705" t="s">
        <v>271</v>
      </c>
      <c r="D1705" t="s">
        <v>300</v>
      </c>
      <c r="E1705" t="s">
        <v>65</v>
      </c>
      <c r="F1705">
        <v>12500</v>
      </c>
      <c r="G1705" t="s">
        <v>72</v>
      </c>
      <c r="H1705">
        <v>10</v>
      </c>
    </row>
    <row r="1706" spans="1:8" x14ac:dyDescent="0.3">
      <c r="A1706" t="s">
        <v>71</v>
      </c>
      <c r="B1706">
        <v>2017</v>
      </c>
      <c r="C1706" t="s">
        <v>271</v>
      </c>
      <c r="D1706" t="s">
        <v>300</v>
      </c>
      <c r="E1706" t="s">
        <v>65</v>
      </c>
      <c r="F1706">
        <v>12500</v>
      </c>
      <c r="G1706" t="s">
        <v>72</v>
      </c>
      <c r="H1706">
        <v>9</v>
      </c>
    </row>
    <row r="1707" spans="1:8" x14ac:dyDescent="0.3">
      <c r="A1707" t="s">
        <v>71</v>
      </c>
      <c r="B1707">
        <v>2018</v>
      </c>
      <c r="C1707" t="s">
        <v>271</v>
      </c>
      <c r="D1707" t="s">
        <v>300</v>
      </c>
      <c r="E1707" t="s">
        <v>65</v>
      </c>
      <c r="F1707">
        <v>12500</v>
      </c>
      <c r="G1707" t="s">
        <v>72</v>
      </c>
      <c r="H1707">
        <v>16</v>
      </c>
    </row>
    <row r="1708" spans="1:8" x14ac:dyDescent="0.3">
      <c r="A1708" t="s">
        <v>71</v>
      </c>
      <c r="B1708">
        <v>2019</v>
      </c>
      <c r="C1708" t="s">
        <v>271</v>
      </c>
      <c r="D1708" t="s">
        <v>300</v>
      </c>
      <c r="E1708" t="s">
        <v>65</v>
      </c>
      <c r="F1708">
        <v>12500</v>
      </c>
      <c r="G1708" t="s">
        <v>72</v>
      </c>
      <c r="H1708">
        <v>37</v>
      </c>
    </row>
    <row r="1709" spans="1:8" x14ac:dyDescent="0.3">
      <c r="A1709" t="s">
        <v>71</v>
      </c>
      <c r="B1709">
        <v>2020</v>
      </c>
      <c r="C1709" t="s">
        <v>271</v>
      </c>
      <c r="D1709" t="s">
        <v>300</v>
      </c>
      <c r="E1709" t="s">
        <v>65</v>
      </c>
      <c r="F1709">
        <v>12500</v>
      </c>
      <c r="G1709" t="s">
        <v>72</v>
      </c>
      <c r="H1709">
        <v>25</v>
      </c>
    </row>
    <row r="1710" spans="1:8" x14ac:dyDescent="0.3">
      <c r="A1710" t="s">
        <v>71</v>
      </c>
      <c r="B1710">
        <v>2021</v>
      </c>
      <c r="C1710" t="s">
        <v>271</v>
      </c>
      <c r="D1710" t="s">
        <v>300</v>
      </c>
      <c r="E1710" t="s">
        <v>65</v>
      </c>
      <c r="F1710">
        <v>12500</v>
      </c>
      <c r="G1710" t="s">
        <v>72</v>
      </c>
      <c r="H1710">
        <v>24</v>
      </c>
    </row>
    <row r="1711" spans="1:8" x14ac:dyDescent="0.3">
      <c r="A1711" t="s">
        <v>176</v>
      </c>
      <c r="B1711">
        <v>2014</v>
      </c>
      <c r="C1711" t="s">
        <v>271</v>
      </c>
      <c r="D1711" t="s">
        <v>300</v>
      </c>
      <c r="E1711" t="s">
        <v>65</v>
      </c>
      <c r="F1711">
        <v>2250</v>
      </c>
      <c r="G1711" t="s">
        <v>66</v>
      </c>
      <c r="H1711">
        <v>263</v>
      </c>
    </row>
    <row r="1712" spans="1:8" x14ac:dyDescent="0.3">
      <c r="A1712" t="s">
        <v>176</v>
      </c>
      <c r="B1712">
        <v>2015</v>
      </c>
      <c r="C1712" t="s">
        <v>271</v>
      </c>
      <c r="D1712" t="s">
        <v>300</v>
      </c>
      <c r="E1712" t="s">
        <v>65</v>
      </c>
      <c r="F1712">
        <v>2250</v>
      </c>
      <c r="G1712" t="s">
        <v>66</v>
      </c>
      <c r="H1712">
        <v>388</v>
      </c>
    </row>
    <row r="1713" spans="1:8" x14ac:dyDescent="0.3">
      <c r="A1713" t="s">
        <v>176</v>
      </c>
      <c r="B1713">
        <v>2016</v>
      </c>
      <c r="C1713" t="s">
        <v>271</v>
      </c>
      <c r="D1713" t="s">
        <v>300</v>
      </c>
      <c r="E1713" t="s">
        <v>65</v>
      </c>
      <c r="F1713">
        <v>2250</v>
      </c>
      <c r="G1713" t="s">
        <v>66</v>
      </c>
      <c r="H1713">
        <v>287</v>
      </c>
    </row>
    <row r="1714" spans="1:8" x14ac:dyDescent="0.3">
      <c r="A1714" t="s">
        <v>176</v>
      </c>
      <c r="B1714">
        <v>2017</v>
      </c>
      <c r="C1714" t="s">
        <v>271</v>
      </c>
      <c r="D1714" t="s">
        <v>300</v>
      </c>
      <c r="E1714" t="s">
        <v>65</v>
      </c>
      <c r="F1714">
        <v>2250</v>
      </c>
      <c r="G1714" t="s">
        <v>66</v>
      </c>
      <c r="H1714">
        <v>226</v>
      </c>
    </row>
    <row r="1715" spans="1:8" x14ac:dyDescent="0.3">
      <c r="A1715" t="s">
        <v>176</v>
      </c>
      <c r="B1715">
        <v>2018</v>
      </c>
      <c r="C1715" t="s">
        <v>271</v>
      </c>
      <c r="D1715" t="s">
        <v>300</v>
      </c>
      <c r="E1715" t="s">
        <v>65</v>
      </c>
      <c r="F1715">
        <v>2250</v>
      </c>
      <c r="G1715" t="s">
        <v>66</v>
      </c>
      <c r="H1715">
        <v>327</v>
      </c>
    </row>
    <row r="1716" spans="1:8" x14ac:dyDescent="0.3">
      <c r="A1716" t="s">
        <v>176</v>
      </c>
      <c r="B1716">
        <v>2019</v>
      </c>
      <c r="C1716" t="s">
        <v>271</v>
      </c>
      <c r="D1716" t="s">
        <v>300</v>
      </c>
      <c r="E1716" t="s">
        <v>65</v>
      </c>
      <c r="F1716">
        <v>2250</v>
      </c>
      <c r="G1716" t="s">
        <v>66</v>
      </c>
      <c r="H1716">
        <v>423</v>
      </c>
    </row>
    <row r="1717" spans="1:8" x14ac:dyDescent="0.3">
      <c r="A1717" t="s">
        <v>176</v>
      </c>
      <c r="B1717">
        <v>2020</v>
      </c>
      <c r="C1717" t="s">
        <v>271</v>
      </c>
      <c r="D1717" t="s">
        <v>300</v>
      </c>
      <c r="E1717" t="s">
        <v>65</v>
      </c>
      <c r="F1717">
        <v>2250</v>
      </c>
      <c r="G1717" t="s">
        <v>66</v>
      </c>
      <c r="H1717">
        <v>362</v>
      </c>
    </row>
    <row r="1718" spans="1:8" x14ac:dyDescent="0.3">
      <c r="A1718" t="s">
        <v>176</v>
      </c>
      <c r="B1718">
        <v>2021</v>
      </c>
      <c r="C1718" t="s">
        <v>271</v>
      </c>
      <c r="D1718" t="s">
        <v>300</v>
      </c>
      <c r="E1718" t="s">
        <v>65</v>
      </c>
      <c r="F1718">
        <v>2250</v>
      </c>
      <c r="G1718" t="s">
        <v>66</v>
      </c>
      <c r="H1718">
        <v>368</v>
      </c>
    </row>
    <row r="1719" spans="1:8" x14ac:dyDescent="0.3">
      <c r="A1719" t="s">
        <v>178</v>
      </c>
      <c r="B1719">
        <v>2015</v>
      </c>
      <c r="C1719" t="s">
        <v>271</v>
      </c>
      <c r="D1719" t="s">
        <v>300</v>
      </c>
      <c r="E1719" t="s">
        <v>65</v>
      </c>
      <c r="F1719">
        <v>14000</v>
      </c>
      <c r="G1719" t="s">
        <v>72</v>
      </c>
      <c r="H1719">
        <v>2</v>
      </c>
    </row>
    <row r="1720" spans="1:8" x14ac:dyDescent="0.3">
      <c r="A1720" t="s">
        <v>178</v>
      </c>
      <c r="B1720">
        <v>2016</v>
      </c>
      <c r="C1720" t="s">
        <v>271</v>
      </c>
      <c r="D1720" t="s">
        <v>300</v>
      </c>
      <c r="E1720" t="s">
        <v>65</v>
      </c>
      <c r="F1720">
        <v>14000</v>
      </c>
      <c r="G1720" t="s">
        <v>72</v>
      </c>
      <c r="H1720">
        <v>11</v>
      </c>
    </row>
    <row r="1721" spans="1:8" x14ac:dyDescent="0.3">
      <c r="A1721" t="s">
        <v>178</v>
      </c>
      <c r="B1721">
        <v>2017</v>
      </c>
      <c r="C1721" t="s">
        <v>271</v>
      </c>
      <c r="D1721" t="s">
        <v>300</v>
      </c>
      <c r="E1721" t="s">
        <v>65</v>
      </c>
      <c r="F1721">
        <v>14000</v>
      </c>
      <c r="G1721" t="s">
        <v>72</v>
      </c>
      <c r="H1721">
        <v>4</v>
      </c>
    </row>
    <row r="1722" spans="1:8" x14ac:dyDescent="0.3">
      <c r="A1722" t="s">
        <v>178</v>
      </c>
      <c r="B1722">
        <v>2018</v>
      </c>
      <c r="C1722" t="s">
        <v>271</v>
      </c>
      <c r="D1722" t="s">
        <v>300</v>
      </c>
      <c r="E1722" t="s">
        <v>65</v>
      </c>
      <c r="F1722">
        <v>14000</v>
      </c>
      <c r="G1722" t="s">
        <v>72</v>
      </c>
      <c r="H1722">
        <v>17</v>
      </c>
    </row>
    <row r="1723" spans="1:8" x14ac:dyDescent="0.3">
      <c r="A1723" t="s">
        <v>178</v>
      </c>
      <c r="B1723">
        <v>2019</v>
      </c>
      <c r="C1723" t="s">
        <v>271</v>
      </c>
      <c r="D1723" t="s">
        <v>300</v>
      </c>
      <c r="E1723" t="s">
        <v>65</v>
      </c>
      <c r="F1723">
        <v>14000</v>
      </c>
      <c r="G1723" t="s">
        <v>72</v>
      </c>
      <c r="H1723">
        <v>21</v>
      </c>
    </row>
    <row r="1724" spans="1:8" x14ac:dyDescent="0.3">
      <c r="A1724" t="s">
        <v>178</v>
      </c>
      <c r="B1724">
        <v>2020</v>
      </c>
      <c r="C1724" t="s">
        <v>271</v>
      </c>
      <c r="D1724" t="s">
        <v>300</v>
      </c>
      <c r="E1724" t="s">
        <v>65</v>
      </c>
      <c r="F1724">
        <v>14000</v>
      </c>
      <c r="G1724" t="s">
        <v>72</v>
      </c>
      <c r="H1724">
        <v>10</v>
      </c>
    </row>
    <row r="1725" spans="1:8" x14ac:dyDescent="0.3">
      <c r="A1725" t="s">
        <v>178</v>
      </c>
      <c r="B1725">
        <v>2021</v>
      </c>
      <c r="C1725" t="s">
        <v>271</v>
      </c>
      <c r="D1725" t="s">
        <v>300</v>
      </c>
      <c r="E1725" t="s">
        <v>65</v>
      </c>
      <c r="F1725">
        <v>14000</v>
      </c>
      <c r="G1725" t="s">
        <v>72</v>
      </c>
      <c r="H1725">
        <v>2</v>
      </c>
    </row>
    <row r="1726" spans="1:8" x14ac:dyDescent="0.3">
      <c r="A1726" t="s">
        <v>73</v>
      </c>
      <c r="B1726">
        <v>2014</v>
      </c>
      <c r="C1726" t="s">
        <v>271</v>
      </c>
      <c r="D1726" t="s">
        <v>300</v>
      </c>
      <c r="E1726" t="s">
        <v>65</v>
      </c>
      <c r="F1726">
        <v>3500</v>
      </c>
      <c r="G1726" t="s">
        <v>66</v>
      </c>
      <c r="H1726">
        <v>17</v>
      </c>
    </row>
    <row r="1727" spans="1:8" x14ac:dyDescent="0.3">
      <c r="A1727" t="s">
        <v>73</v>
      </c>
      <c r="B1727">
        <v>2015</v>
      </c>
      <c r="C1727" t="s">
        <v>271</v>
      </c>
      <c r="D1727" t="s">
        <v>300</v>
      </c>
      <c r="E1727" t="s">
        <v>65</v>
      </c>
      <c r="F1727">
        <v>3500</v>
      </c>
      <c r="G1727" t="s">
        <v>66</v>
      </c>
      <c r="H1727">
        <v>51</v>
      </c>
    </row>
    <row r="1728" spans="1:8" x14ac:dyDescent="0.3">
      <c r="A1728" t="s">
        <v>73</v>
      </c>
      <c r="B1728">
        <v>2016</v>
      </c>
      <c r="C1728" t="s">
        <v>271</v>
      </c>
      <c r="D1728" t="s">
        <v>300</v>
      </c>
      <c r="E1728" t="s">
        <v>65</v>
      </c>
      <c r="F1728">
        <v>3500</v>
      </c>
      <c r="G1728" t="s">
        <v>66</v>
      </c>
      <c r="H1728">
        <v>30</v>
      </c>
    </row>
    <row r="1729" spans="1:8" x14ac:dyDescent="0.3">
      <c r="A1729" t="s">
        <v>73</v>
      </c>
      <c r="B1729">
        <v>2017</v>
      </c>
      <c r="C1729" t="s">
        <v>271</v>
      </c>
      <c r="D1729" t="s">
        <v>300</v>
      </c>
      <c r="E1729" t="s">
        <v>65</v>
      </c>
      <c r="F1729">
        <v>3500</v>
      </c>
      <c r="G1729" t="s">
        <v>66</v>
      </c>
      <c r="H1729">
        <v>33</v>
      </c>
    </row>
    <row r="1730" spans="1:8" x14ac:dyDescent="0.3">
      <c r="A1730" t="s">
        <v>73</v>
      </c>
      <c r="B1730">
        <v>2018</v>
      </c>
      <c r="C1730" t="s">
        <v>271</v>
      </c>
      <c r="D1730" t="s">
        <v>300</v>
      </c>
      <c r="E1730" t="s">
        <v>65</v>
      </c>
      <c r="F1730">
        <v>3500</v>
      </c>
      <c r="G1730" t="s">
        <v>66</v>
      </c>
      <c r="H1730">
        <v>37</v>
      </c>
    </row>
    <row r="1731" spans="1:8" x14ac:dyDescent="0.3">
      <c r="A1731" t="s">
        <v>73</v>
      </c>
      <c r="B1731">
        <v>2019</v>
      </c>
      <c r="C1731" t="s">
        <v>271</v>
      </c>
      <c r="D1731" t="s">
        <v>300</v>
      </c>
      <c r="E1731" t="s">
        <v>65</v>
      </c>
      <c r="F1731">
        <v>3500</v>
      </c>
      <c r="G1731" t="s">
        <v>66</v>
      </c>
      <c r="H1731">
        <v>22</v>
      </c>
    </row>
    <row r="1732" spans="1:8" x14ac:dyDescent="0.3">
      <c r="A1732" t="s">
        <v>73</v>
      </c>
      <c r="B1732">
        <v>2020</v>
      </c>
      <c r="C1732" t="s">
        <v>271</v>
      </c>
      <c r="D1732" t="s">
        <v>300</v>
      </c>
      <c r="E1732" t="s">
        <v>65</v>
      </c>
      <c r="F1732">
        <v>3500</v>
      </c>
      <c r="G1732" t="s">
        <v>66</v>
      </c>
      <c r="H1732">
        <v>15</v>
      </c>
    </row>
    <row r="1733" spans="1:8" x14ac:dyDescent="0.3">
      <c r="A1733" t="s">
        <v>73</v>
      </c>
      <c r="B1733">
        <v>2021</v>
      </c>
      <c r="C1733" t="s">
        <v>271</v>
      </c>
      <c r="D1733" t="s">
        <v>300</v>
      </c>
      <c r="E1733" t="s">
        <v>65</v>
      </c>
      <c r="F1733">
        <v>3500</v>
      </c>
      <c r="G1733" t="s">
        <v>66</v>
      </c>
      <c r="H1733">
        <v>15</v>
      </c>
    </row>
    <row r="1734" spans="1:8" x14ac:dyDescent="0.3">
      <c r="A1734" t="s">
        <v>74</v>
      </c>
      <c r="B1734">
        <v>2014</v>
      </c>
      <c r="C1734" t="s">
        <v>271</v>
      </c>
      <c r="D1734" t="s">
        <v>300</v>
      </c>
      <c r="E1734" t="s">
        <v>65</v>
      </c>
      <c r="F1734">
        <v>3400</v>
      </c>
      <c r="G1734" t="s">
        <v>66</v>
      </c>
      <c r="H1734">
        <v>1</v>
      </c>
    </row>
    <row r="1735" spans="1:8" x14ac:dyDescent="0.3">
      <c r="A1735" t="s">
        <v>74</v>
      </c>
      <c r="B1735">
        <v>2015</v>
      </c>
      <c r="C1735" t="s">
        <v>271</v>
      </c>
      <c r="D1735" t="s">
        <v>300</v>
      </c>
      <c r="E1735" t="s">
        <v>65</v>
      </c>
      <c r="F1735">
        <v>3400</v>
      </c>
      <c r="G1735" t="s">
        <v>66</v>
      </c>
      <c r="H1735">
        <v>10</v>
      </c>
    </row>
    <row r="1736" spans="1:8" x14ac:dyDescent="0.3">
      <c r="A1736" t="s">
        <v>74</v>
      </c>
      <c r="B1736">
        <v>2016</v>
      </c>
      <c r="C1736" t="s">
        <v>271</v>
      </c>
      <c r="D1736" t="s">
        <v>300</v>
      </c>
      <c r="E1736" t="s">
        <v>65</v>
      </c>
      <c r="F1736">
        <v>3400</v>
      </c>
      <c r="G1736" t="s">
        <v>66</v>
      </c>
      <c r="H1736">
        <v>18</v>
      </c>
    </row>
    <row r="1737" spans="1:8" x14ac:dyDescent="0.3">
      <c r="A1737" t="s">
        <v>74</v>
      </c>
      <c r="B1737">
        <v>2017</v>
      </c>
      <c r="C1737" t="s">
        <v>271</v>
      </c>
      <c r="D1737" t="s">
        <v>300</v>
      </c>
      <c r="E1737" t="s">
        <v>65</v>
      </c>
      <c r="F1737">
        <v>3400</v>
      </c>
      <c r="G1737" t="s">
        <v>66</v>
      </c>
      <c r="H1737">
        <v>9</v>
      </c>
    </row>
    <row r="1738" spans="1:8" x14ac:dyDescent="0.3">
      <c r="A1738" t="s">
        <v>74</v>
      </c>
      <c r="B1738">
        <v>2018</v>
      </c>
      <c r="C1738" t="s">
        <v>271</v>
      </c>
      <c r="D1738" t="s">
        <v>300</v>
      </c>
      <c r="E1738" t="s">
        <v>65</v>
      </c>
      <c r="F1738">
        <v>3400</v>
      </c>
      <c r="G1738" t="s">
        <v>66</v>
      </c>
      <c r="H1738">
        <v>12</v>
      </c>
    </row>
    <row r="1739" spans="1:8" x14ac:dyDescent="0.3">
      <c r="A1739" t="s">
        <v>74</v>
      </c>
      <c r="B1739">
        <v>2019</v>
      </c>
      <c r="C1739" t="s">
        <v>271</v>
      </c>
      <c r="D1739" t="s">
        <v>300</v>
      </c>
      <c r="E1739" t="s">
        <v>65</v>
      </c>
      <c r="F1739">
        <v>3400</v>
      </c>
      <c r="G1739" t="s">
        <v>66</v>
      </c>
      <c r="H1739">
        <v>13</v>
      </c>
    </row>
    <row r="1740" spans="1:8" x14ac:dyDescent="0.3">
      <c r="A1740" t="s">
        <v>74</v>
      </c>
      <c r="B1740">
        <v>2020</v>
      </c>
      <c r="C1740" t="s">
        <v>271</v>
      </c>
      <c r="D1740" t="s">
        <v>300</v>
      </c>
      <c r="E1740" t="s">
        <v>65</v>
      </c>
      <c r="F1740">
        <v>3400</v>
      </c>
      <c r="G1740" t="s">
        <v>66</v>
      </c>
      <c r="H1740">
        <v>17</v>
      </c>
    </row>
    <row r="1741" spans="1:8" x14ac:dyDescent="0.3">
      <c r="A1741" t="s">
        <v>74</v>
      </c>
      <c r="B1741">
        <v>2021</v>
      </c>
      <c r="C1741" t="s">
        <v>271</v>
      </c>
      <c r="D1741" t="s">
        <v>300</v>
      </c>
      <c r="E1741" t="s">
        <v>65</v>
      </c>
      <c r="F1741">
        <v>3400</v>
      </c>
      <c r="G1741" t="s">
        <v>66</v>
      </c>
      <c r="H1741">
        <v>26</v>
      </c>
    </row>
    <row r="1742" spans="1:8" x14ac:dyDescent="0.3">
      <c r="A1742" t="s">
        <v>75</v>
      </c>
      <c r="B1742">
        <v>2014</v>
      </c>
      <c r="C1742" t="s">
        <v>271</v>
      </c>
      <c r="D1742" t="s">
        <v>300</v>
      </c>
      <c r="E1742" t="s">
        <v>65</v>
      </c>
      <c r="F1742">
        <v>3650</v>
      </c>
      <c r="G1742" t="s">
        <v>66</v>
      </c>
      <c r="H1742">
        <v>1</v>
      </c>
    </row>
    <row r="1743" spans="1:8" x14ac:dyDescent="0.3">
      <c r="A1743" t="s">
        <v>75</v>
      </c>
      <c r="B1743">
        <v>2015</v>
      </c>
      <c r="C1743" t="s">
        <v>271</v>
      </c>
      <c r="D1743" t="s">
        <v>300</v>
      </c>
      <c r="E1743" t="s">
        <v>65</v>
      </c>
      <c r="F1743">
        <v>3650</v>
      </c>
      <c r="G1743" t="s">
        <v>66</v>
      </c>
      <c r="H1743">
        <v>4</v>
      </c>
    </row>
    <row r="1744" spans="1:8" x14ac:dyDescent="0.3">
      <c r="A1744" t="s">
        <v>75</v>
      </c>
      <c r="B1744">
        <v>2016</v>
      </c>
      <c r="C1744" t="s">
        <v>271</v>
      </c>
      <c r="D1744" t="s">
        <v>300</v>
      </c>
      <c r="E1744" t="s">
        <v>65</v>
      </c>
      <c r="F1744">
        <v>3650</v>
      </c>
      <c r="G1744" t="s">
        <v>66</v>
      </c>
      <c r="H1744">
        <v>3</v>
      </c>
    </row>
    <row r="1745" spans="1:8" x14ac:dyDescent="0.3">
      <c r="A1745" t="s">
        <v>75</v>
      </c>
      <c r="B1745">
        <v>2017</v>
      </c>
      <c r="C1745" t="s">
        <v>271</v>
      </c>
      <c r="D1745" t="s">
        <v>300</v>
      </c>
      <c r="E1745" t="s">
        <v>65</v>
      </c>
      <c r="F1745">
        <v>3650</v>
      </c>
      <c r="G1745" t="s">
        <v>66</v>
      </c>
      <c r="H1745">
        <v>3</v>
      </c>
    </row>
    <row r="1746" spans="1:8" x14ac:dyDescent="0.3">
      <c r="A1746" t="s">
        <v>75</v>
      </c>
      <c r="B1746">
        <v>2018</v>
      </c>
      <c r="C1746" t="s">
        <v>271</v>
      </c>
      <c r="D1746" t="s">
        <v>300</v>
      </c>
      <c r="E1746" t="s">
        <v>65</v>
      </c>
      <c r="F1746">
        <v>3650</v>
      </c>
      <c r="G1746" t="s">
        <v>66</v>
      </c>
      <c r="H1746">
        <v>5</v>
      </c>
    </row>
    <row r="1747" spans="1:8" x14ac:dyDescent="0.3">
      <c r="A1747" t="s">
        <v>75</v>
      </c>
      <c r="B1747">
        <v>2019</v>
      </c>
      <c r="C1747" t="s">
        <v>271</v>
      </c>
      <c r="D1747" t="s">
        <v>300</v>
      </c>
      <c r="E1747" t="s">
        <v>65</v>
      </c>
      <c r="F1747">
        <v>3650</v>
      </c>
      <c r="G1747" t="s">
        <v>66</v>
      </c>
      <c r="H1747">
        <v>6</v>
      </c>
    </row>
    <row r="1748" spans="1:8" x14ac:dyDescent="0.3">
      <c r="A1748" t="s">
        <v>75</v>
      </c>
      <c r="B1748">
        <v>2020</v>
      </c>
      <c r="C1748" t="s">
        <v>271</v>
      </c>
      <c r="D1748" t="s">
        <v>300</v>
      </c>
      <c r="E1748" t="s">
        <v>65</v>
      </c>
      <c r="F1748">
        <v>3650</v>
      </c>
      <c r="G1748" t="s">
        <v>66</v>
      </c>
      <c r="H1748">
        <v>2</v>
      </c>
    </row>
    <row r="1749" spans="1:8" x14ac:dyDescent="0.3">
      <c r="A1749" t="s">
        <v>75</v>
      </c>
      <c r="B1749">
        <v>2021</v>
      </c>
      <c r="C1749" t="s">
        <v>271</v>
      </c>
      <c r="D1749" t="s">
        <v>300</v>
      </c>
      <c r="E1749" t="s">
        <v>65</v>
      </c>
      <c r="F1749">
        <v>3650</v>
      </c>
      <c r="G1749" t="s">
        <v>66</v>
      </c>
      <c r="H1749">
        <v>1</v>
      </c>
    </row>
    <row r="1750" spans="1:8" x14ac:dyDescent="0.3">
      <c r="A1750" t="s">
        <v>179</v>
      </c>
      <c r="B1750">
        <v>2014</v>
      </c>
      <c r="C1750" t="s">
        <v>271</v>
      </c>
      <c r="D1750" t="s">
        <v>300</v>
      </c>
      <c r="E1750" t="s">
        <v>65</v>
      </c>
      <c r="F1750">
        <v>16100</v>
      </c>
      <c r="G1750" t="s">
        <v>66</v>
      </c>
      <c r="H1750">
        <v>1</v>
      </c>
    </row>
    <row r="1751" spans="1:8" x14ac:dyDescent="0.3">
      <c r="A1751" t="s">
        <v>76</v>
      </c>
      <c r="B1751">
        <v>2014</v>
      </c>
      <c r="C1751" t="s">
        <v>271</v>
      </c>
      <c r="D1751" t="s">
        <v>300</v>
      </c>
      <c r="E1751" t="s">
        <v>65</v>
      </c>
      <c r="F1751">
        <v>5300</v>
      </c>
      <c r="G1751" t="s">
        <v>66</v>
      </c>
      <c r="H1751">
        <v>1</v>
      </c>
    </row>
    <row r="1752" spans="1:8" x14ac:dyDescent="0.3">
      <c r="A1752" t="s">
        <v>76</v>
      </c>
      <c r="B1752">
        <v>2015</v>
      </c>
      <c r="C1752" t="s">
        <v>271</v>
      </c>
      <c r="D1752" t="s">
        <v>300</v>
      </c>
      <c r="E1752" t="s">
        <v>65</v>
      </c>
      <c r="F1752">
        <v>5300</v>
      </c>
      <c r="G1752" t="s">
        <v>66</v>
      </c>
      <c r="H1752">
        <v>2</v>
      </c>
    </row>
    <row r="1753" spans="1:8" x14ac:dyDescent="0.3">
      <c r="A1753" t="s">
        <v>76</v>
      </c>
      <c r="B1753">
        <v>2016</v>
      </c>
      <c r="C1753" t="s">
        <v>271</v>
      </c>
      <c r="D1753" t="s">
        <v>300</v>
      </c>
      <c r="E1753" t="s">
        <v>65</v>
      </c>
      <c r="F1753">
        <v>5300</v>
      </c>
      <c r="G1753" t="s">
        <v>66</v>
      </c>
      <c r="H1753">
        <v>1</v>
      </c>
    </row>
    <row r="1754" spans="1:8" x14ac:dyDescent="0.3">
      <c r="A1754" t="s">
        <v>77</v>
      </c>
      <c r="B1754">
        <v>2014</v>
      </c>
      <c r="C1754" t="s">
        <v>271</v>
      </c>
      <c r="D1754" t="s">
        <v>300</v>
      </c>
      <c r="E1754" t="s">
        <v>65</v>
      </c>
      <c r="F1754">
        <v>5500</v>
      </c>
      <c r="G1754" t="s">
        <v>66</v>
      </c>
      <c r="H1754">
        <v>1</v>
      </c>
    </row>
    <row r="1755" spans="1:8" x14ac:dyDescent="0.3">
      <c r="A1755" t="s">
        <v>77</v>
      </c>
      <c r="B1755">
        <v>2015</v>
      </c>
      <c r="C1755" t="s">
        <v>271</v>
      </c>
      <c r="D1755" t="s">
        <v>300</v>
      </c>
      <c r="E1755" t="s">
        <v>65</v>
      </c>
      <c r="F1755">
        <v>5500</v>
      </c>
      <c r="G1755" t="s">
        <v>66</v>
      </c>
      <c r="H1755">
        <v>4</v>
      </c>
    </row>
    <row r="1756" spans="1:8" x14ac:dyDescent="0.3">
      <c r="A1756" t="s">
        <v>77</v>
      </c>
      <c r="B1756">
        <v>2016</v>
      </c>
      <c r="C1756" t="s">
        <v>271</v>
      </c>
      <c r="D1756" t="s">
        <v>300</v>
      </c>
      <c r="E1756" t="s">
        <v>65</v>
      </c>
      <c r="F1756">
        <v>5500</v>
      </c>
      <c r="G1756" t="s">
        <v>66</v>
      </c>
      <c r="H1756">
        <v>3</v>
      </c>
    </row>
    <row r="1757" spans="1:8" x14ac:dyDescent="0.3">
      <c r="A1757" t="s">
        <v>79</v>
      </c>
      <c r="B1757">
        <v>2016</v>
      </c>
      <c r="C1757" t="s">
        <v>271</v>
      </c>
      <c r="D1757" t="s">
        <v>300</v>
      </c>
      <c r="E1757" t="s">
        <v>65</v>
      </c>
      <c r="F1757">
        <v>10097</v>
      </c>
      <c r="G1757" t="s">
        <v>66</v>
      </c>
      <c r="H1757">
        <v>2</v>
      </c>
    </row>
    <row r="1758" spans="1:8" x14ac:dyDescent="0.3">
      <c r="A1758" t="s">
        <v>182</v>
      </c>
      <c r="B1758">
        <v>2014</v>
      </c>
      <c r="C1758" t="s">
        <v>271</v>
      </c>
      <c r="D1758" t="s">
        <v>300</v>
      </c>
      <c r="E1758" t="s">
        <v>65</v>
      </c>
      <c r="F1758">
        <v>10400</v>
      </c>
      <c r="G1758" t="s">
        <v>72</v>
      </c>
      <c r="H1758">
        <v>23</v>
      </c>
    </row>
    <row r="1759" spans="1:8" x14ac:dyDescent="0.3">
      <c r="A1759" t="s">
        <v>182</v>
      </c>
      <c r="B1759">
        <v>2015</v>
      </c>
      <c r="C1759" t="s">
        <v>271</v>
      </c>
      <c r="D1759" t="s">
        <v>300</v>
      </c>
      <c r="E1759" t="s">
        <v>65</v>
      </c>
      <c r="F1759">
        <v>10400</v>
      </c>
      <c r="G1759" t="s">
        <v>72</v>
      </c>
      <c r="H1759">
        <v>22</v>
      </c>
    </row>
    <row r="1760" spans="1:8" x14ac:dyDescent="0.3">
      <c r="A1760" t="s">
        <v>182</v>
      </c>
      <c r="B1760">
        <v>2016</v>
      </c>
      <c r="C1760" t="s">
        <v>271</v>
      </c>
      <c r="D1760" t="s">
        <v>300</v>
      </c>
      <c r="E1760" t="s">
        <v>65</v>
      </c>
      <c r="F1760">
        <v>10400</v>
      </c>
      <c r="G1760" t="s">
        <v>72</v>
      </c>
      <c r="H1760">
        <v>32</v>
      </c>
    </row>
    <row r="1761" spans="1:8" x14ac:dyDescent="0.3">
      <c r="A1761" t="s">
        <v>182</v>
      </c>
      <c r="B1761">
        <v>2017</v>
      </c>
      <c r="C1761" t="s">
        <v>271</v>
      </c>
      <c r="D1761" t="s">
        <v>300</v>
      </c>
      <c r="E1761" t="s">
        <v>65</v>
      </c>
      <c r="F1761">
        <v>10400</v>
      </c>
      <c r="G1761" t="s">
        <v>72</v>
      </c>
      <c r="H1761">
        <v>36</v>
      </c>
    </row>
    <row r="1762" spans="1:8" x14ac:dyDescent="0.3">
      <c r="A1762" t="s">
        <v>182</v>
      </c>
      <c r="B1762">
        <v>2018</v>
      </c>
      <c r="C1762" t="s">
        <v>271</v>
      </c>
      <c r="D1762" t="s">
        <v>300</v>
      </c>
      <c r="E1762" t="s">
        <v>65</v>
      </c>
      <c r="F1762">
        <v>10400</v>
      </c>
      <c r="G1762" t="s">
        <v>72</v>
      </c>
      <c r="H1762">
        <v>39</v>
      </c>
    </row>
    <row r="1763" spans="1:8" x14ac:dyDescent="0.3">
      <c r="A1763" t="s">
        <v>182</v>
      </c>
      <c r="B1763">
        <v>2019</v>
      </c>
      <c r="C1763" t="s">
        <v>271</v>
      </c>
      <c r="D1763" t="s">
        <v>300</v>
      </c>
      <c r="E1763" t="s">
        <v>65</v>
      </c>
      <c r="F1763">
        <v>10400</v>
      </c>
      <c r="G1763" t="s">
        <v>72</v>
      </c>
      <c r="H1763">
        <v>12</v>
      </c>
    </row>
    <row r="1764" spans="1:8" x14ac:dyDescent="0.3">
      <c r="A1764" t="s">
        <v>80</v>
      </c>
      <c r="B1764">
        <v>2014</v>
      </c>
      <c r="C1764" t="s">
        <v>271</v>
      </c>
      <c r="D1764" t="s">
        <v>300</v>
      </c>
      <c r="E1764" t="s">
        <v>65</v>
      </c>
      <c r="F1764">
        <v>10097</v>
      </c>
      <c r="G1764" t="s">
        <v>72</v>
      </c>
      <c r="H1764">
        <v>5</v>
      </c>
    </row>
    <row r="1765" spans="1:8" x14ac:dyDescent="0.3">
      <c r="A1765" t="s">
        <v>80</v>
      </c>
      <c r="B1765">
        <v>2015</v>
      </c>
      <c r="C1765" t="s">
        <v>271</v>
      </c>
      <c r="D1765" t="s">
        <v>300</v>
      </c>
      <c r="E1765" t="s">
        <v>65</v>
      </c>
      <c r="F1765">
        <v>10097</v>
      </c>
      <c r="G1765" t="s">
        <v>72</v>
      </c>
      <c r="H1765">
        <v>21</v>
      </c>
    </row>
    <row r="1766" spans="1:8" x14ac:dyDescent="0.3">
      <c r="A1766" t="s">
        <v>80</v>
      </c>
      <c r="B1766">
        <v>2016</v>
      </c>
      <c r="C1766" t="s">
        <v>271</v>
      </c>
      <c r="D1766" t="s">
        <v>300</v>
      </c>
      <c r="E1766" t="s">
        <v>65</v>
      </c>
      <c r="F1766">
        <v>10097</v>
      </c>
      <c r="G1766" t="s">
        <v>72</v>
      </c>
      <c r="H1766">
        <v>12</v>
      </c>
    </row>
    <row r="1767" spans="1:8" x14ac:dyDescent="0.3">
      <c r="A1767" t="s">
        <v>80</v>
      </c>
      <c r="B1767">
        <v>2017</v>
      </c>
      <c r="C1767" t="s">
        <v>271</v>
      </c>
      <c r="D1767" t="s">
        <v>300</v>
      </c>
      <c r="E1767" t="s">
        <v>65</v>
      </c>
      <c r="F1767">
        <v>10097</v>
      </c>
      <c r="G1767" t="s">
        <v>72</v>
      </c>
      <c r="H1767">
        <v>5</v>
      </c>
    </row>
    <row r="1768" spans="1:8" x14ac:dyDescent="0.3">
      <c r="A1768" t="s">
        <v>80</v>
      </c>
      <c r="B1768">
        <v>2018</v>
      </c>
      <c r="C1768" t="s">
        <v>271</v>
      </c>
      <c r="D1768" t="s">
        <v>300</v>
      </c>
      <c r="E1768" t="s">
        <v>65</v>
      </c>
      <c r="F1768">
        <v>10097</v>
      </c>
      <c r="G1768" t="s">
        <v>72</v>
      </c>
      <c r="H1768">
        <v>2</v>
      </c>
    </row>
    <row r="1769" spans="1:8" x14ac:dyDescent="0.3">
      <c r="A1769" t="s">
        <v>80</v>
      </c>
      <c r="B1769">
        <v>2019</v>
      </c>
      <c r="C1769" t="s">
        <v>271</v>
      </c>
      <c r="D1769" t="s">
        <v>300</v>
      </c>
      <c r="E1769" t="s">
        <v>65</v>
      </c>
      <c r="F1769">
        <v>10097</v>
      </c>
      <c r="G1769" t="s">
        <v>72</v>
      </c>
      <c r="H1769">
        <v>4</v>
      </c>
    </row>
    <row r="1770" spans="1:8" x14ac:dyDescent="0.3">
      <c r="A1770" t="s">
        <v>80</v>
      </c>
      <c r="B1770">
        <v>2020</v>
      </c>
      <c r="C1770" t="s">
        <v>271</v>
      </c>
      <c r="D1770" t="s">
        <v>300</v>
      </c>
      <c r="E1770" t="s">
        <v>65</v>
      </c>
      <c r="F1770">
        <v>10097</v>
      </c>
      <c r="G1770" t="s">
        <v>72</v>
      </c>
      <c r="H1770">
        <v>14</v>
      </c>
    </row>
    <row r="1771" spans="1:8" x14ac:dyDescent="0.3">
      <c r="A1771" t="s">
        <v>80</v>
      </c>
      <c r="B1771">
        <v>2021</v>
      </c>
      <c r="C1771" t="s">
        <v>271</v>
      </c>
      <c r="D1771" t="s">
        <v>300</v>
      </c>
      <c r="E1771" t="s">
        <v>65</v>
      </c>
      <c r="F1771">
        <v>10097</v>
      </c>
      <c r="G1771" t="s">
        <v>72</v>
      </c>
      <c r="H1771">
        <v>2</v>
      </c>
    </row>
    <row r="1772" spans="1:8" x14ac:dyDescent="0.3">
      <c r="A1772" t="s">
        <v>183</v>
      </c>
      <c r="B1772">
        <v>2016</v>
      </c>
      <c r="C1772" t="s">
        <v>271</v>
      </c>
      <c r="D1772" t="s">
        <v>300</v>
      </c>
      <c r="E1772" t="s">
        <v>65</v>
      </c>
      <c r="F1772">
        <v>1543</v>
      </c>
      <c r="G1772" t="s">
        <v>72</v>
      </c>
      <c r="H1772">
        <v>3</v>
      </c>
    </row>
    <row r="1773" spans="1:8" x14ac:dyDescent="0.3">
      <c r="A1773" t="s">
        <v>183</v>
      </c>
      <c r="B1773">
        <v>2021</v>
      </c>
      <c r="C1773" t="s">
        <v>271</v>
      </c>
      <c r="D1773" t="s">
        <v>300</v>
      </c>
      <c r="E1773" t="s">
        <v>65</v>
      </c>
      <c r="F1773">
        <v>1543</v>
      </c>
      <c r="G1773" t="s">
        <v>72</v>
      </c>
      <c r="H1773">
        <v>1</v>
      </c>
    </row>
    <row r="1774" spans="1:8" x14ac:dyDescent="0.3">
      <c r="A1774" t="s">
        <v>81</v>
      </c>
      <c r="B1774">
        <v>2020</v>
      </c>
      <c r="C1774" t="s">
        <v>271</v>
      </c>
      <c r="D1774" t="s">
        <v>300</v>
      </c>
      <c r="E1774" t="s">
        <v>65</v>
      </c>
      <c r="F1774">
        <v>3325</v>
      </c>
      <c r="G1774" t="s">
        <v>66</v>
      </c>
      <c r="H1774">
        <v>1</v>
      </c>
    </row>
    <row r="1775" spans="1:8" x14ac:dyDescent="0.3">
      <c r="A1775" t="s">
        <v>82</v>
      </c>
      <c r="B1775">
        <v>2015</v>
      </c>
      <c r="C1775" t="s">
        <v>271</v>
      </c>
      <c r="D1775" t="s">
        <v>300</v>
      </c>
      <c r="E1775" t="s">
        <v>65</v>
      </c>
      <c r="F1775">
        <v>155000</v>
      </c>
      <c r="G1775" t="s">
        <v>83</v>
      </c>
      <c r="H1775">
        <v>9</v>
      </c>
    </row>
    <row r="1776" spans="1:8" x14ac:dyDescent="0.3">
      <c r="A1776" t="s">
        <v>82</v>
      </c>
      <c r="B1776">
        <v>2016</v>
      </c>
      <c r="C1776" t="s">
        <v>271</v>
      </c>
      <c r="D1776" t="s">
        <v>300</v>
      </c>
      <c r="E1776" t="s">
        <v>65</v>
      </c>
      <c r="F1776">
        <v>155000</v>
      </c>
      <c r="G1776" t="s">
        <v>83</v>
      </c>
      <c r="H1776">
        <v>5</v>
      </c>
    </row>
    <row r="1777" spans="1:8" x14ac:dyDescent="0.3">
      <c r="A1777" t="s">
        <v>82</v>
      </c>
      <c r="B1777">
        <v>2017</v>
      </c>
      <c r="C1777" t="s">
        <v>271</v>
      </c>
      <c r="D1777" t="s">
        <v>300</v>
      </c>
      <c r="E1777" t="s">
        <v>65</v>
      </c>
      <c r="F1777">
        <v>155000</v>
      </c>
      <c r="G1777" t="s">
        <v>83</v>
      </c>
      <c r="H1777">
        <v>3</v>
      </c>
    </row>
    <row r="1778" spans="1:8" x14ac:dyDescent="0.3">
      <c r="A1778" t="s">
        <v>82</v>
      </c>
      <c r="B1778">
        <v>2018</v>
      </c>
      <c r="C1778" t="s">
        <v>271</v>
      </c>
      <c r="D1778" t="s">
        <v>300</v>
      </c>
      <c r="E1778" t="s">
        <v>65</v>
      </c>
      <c r="F1778">
        <v>155000</v>
      </c>
      <c r="G1778" t="s">
        <v>83</v>
      </c>
      <c r="H1778">
        <v>1</v>
      </c>
    </row>
    <row r="1779" spans="1:8" x14ac:dyDescent="0.3">
      <c r="A1779" t="s">
        <v>82</v>
      </c>
      <c r="B1779">
        <v>2019</v>
      </c>
      <c r="C1779" t="s">
        <v>271</v>
      </c>
      <c r="D1779" t="s">
        <v>300</v>
      </c>
      <c r="E1779" t="s">
        <v>65</v>
      </c>
      <c r="F1779">
        <v>155000</v>
      </c>
      <c r="G1779" t="s">
        <v>83</v>
      </c>
      <c r="H1779">
        <v>10</v>
      </c>
    </row>
    <row r="1780" spans="1:8" x14ac:dyDescent="0.3">
      <c r="A1780" t="s">
        <v>82</v>
      </c>
      <c r="B1780">
        <v>2020</v>
      </c>
      <c r="C1780" t="s">
        <v>271</v>
      </c>
      <c r="D1780" t="s">
        <v>300</v>
      </c>
      <c r="E1780" t="s">
        <v>65</v>
      </c>
      <c r="F1780">
        <v>155000</v>
      </c>
      <c r="G1780" t="s">
        <v>83</v>
      </c>
      <c r="H1780">
        <v>1</v>
      </c>
    </row>
    <row r="1781" spans="1:8" x14ac:dyDescent="0.3">
      <c r="A1781" t="s">
        <v>82</v>
      </c>
      <c r="B1781">
        <v>2021</v>
      </c>
      <c r="C1781" t="s">
        <v>271</v>
      </c>
      <c r="D1781" t="s">
        <v>300</v>
      </c>
      <c r="E1781" t="s">
        <v>65</v>
      </c>
      <c r="F1781">
        <v>155000</v>
      </c>
      <c r="G1781" t="s">
        <v>83</v>
      </c>
      <c r="H1781">
        <v>1</v>
      </c>
    </row>
    <row r="1782" spans="1:8" x14ac:dyDescent="0.3">
      <c r="A1782" t="s">
        <v>184</v>
      </c>
      <c r="B1782">
        <v>2017</v>
      </c>
      <c r="C1782" t="s">
        <v>271</v>
      </c>
      <c r="D1782" t="s">
        <v>300</v>
      </c>
      <c r="E1782" t="s">
        <v>65</v>
      </c>
      <c r="F1782">
        <v>1450</v>
      </c>
      <c r="G1782" t="s">
        <v>66</v>
      </c>
      <c r="H1782">
        <v>3</v>
      </c>
    </row>
    <row r="1783" spans="1:8" x14ac:dyDescent="0.3">
      <c r="A1783" t="s">
        <v>184</v>
      </c>
      <c r="B1783">
        <v>2018</v>
      </c>
      <c r="C1783" t="s">
        <v>271</v>
      </c>
      <c r="D1783" t="s">
        <v>300</v>
      </c>
      <c r="E1783" t="s">
        <v>65</v>
      </c>
      <c r="F1783">
        <v>1450</v>
      </c>
      <c r="G1783" t="s">
        <v>66</v>
      </c>
      <c r="H1783">
        <v>2</v>
      </c>
    </row>
    <row r="1784" spans="1:8" x14ac:dyDescent="0.3">
      <c r="A1784" t="s">
        <v>84</v>
      </c>
      <c r="B1784">
        <v>2015</v>
      </c>
      <c r="C1784" t="s">
        <v>271</v>
      </c>
      <c r="D1784" t="s">
        <v>300</v>
      </c>
      <c r="E1784" t="s">
        <v>65</v>
      </c>
      <c r="F1784">
        <v>1543</v>
      </c>
      <c r="G1784" t="s">
        <v>66</v>
      </c>
      <c r="H1784">
        <v>7</v>
      </c>
    </row>
    <row r="1785" spans="1:8" x14ac:dyDescent="0.3">
      <c r="A1785" t="s">
        <v>84</v>
      </c>
      <c r="B1785">
        <v>2016</v>
      </c>
      <c r="C1785" t="s">
        <v>271</v>
      </c>
      <c r="D1785" t="s">
        <v>300</v>
      </c>
      <c r="E1785" t="s">
        <v>65</v>
      </c>
      <c r="F1785">
        <v>1543</v>
      </c>
      <c r="G1785" t="s">
        <v>66</v>
      </c>
      <c r="H1785">
        <v>2</v>
      </c>
    </row>
    <row r="1786" spans="1:8" x14ac:dyDescent="0.3">
      <c r="A1786" t="s">
        <v>84</v>
      </c>
      <c r="B1786">
        <v>2017</v>
      </c>
      <c r="C1786" t="s">
        <v>271</v>
      </c>
      <c r="D1786" t="s">
        <v>300</v>
      </c>
      <c r="E1786" t="s">
        <v>65</v>
      </c>
      <c r="F1786">
        <v>1543</v>
      </c>
      <c r="G1786" t="s">
        <v>66</v>
      </c>
      <c r="H1786">
        <v>1</v>
      </c>
    </row>
    <row r="1787" spans="1:8" x14ac:dyDescent="0.3">
      <c r="A1787" t="s">
        <v>84</v>
      </c>
      <c r="B1787">
        <v>2018</v>
      </c>
      <c r="C1787" t="s">
        <v>271</v>
      </c>
      <c r="D1787" t="s">
        <v>300</v>
      </c>
      <c r="E1787" t="s">
        <v>65</v>
      </c>
      <c r="F1787">
        <v>1543</v>
      </c>
      <c r="G1787" t="s">
        <v>66</v>
      </c>
      <c r="H1787">
        <v>5</v>
      </c>
    </row>
    <row r="1788" spans="1:8" x14ac:dyDescent="0.3">
      <c r="A1788" t="s">
        <v>84</v>
      </c>
      <c r="B1788">
        <v>2019</v>
      </c>
      <c r="C1788" t="s">
        <v>271</v>
      </c>
      <c r="D1788" t="s">
        <v>300</v>
      </c>
      <c r="E1788" t="s">
        <v>65</v>
      </c>
      <c r="F1788">
        <v>1543</v>
      </c>
      <c r="G1788" t="s">
        <v>66</v>
      </c>
      <c r="H1788">
        <v>10</v>
      </c>
    </row>
    <row r="1789" spans="1:8" x14ac:dyDescent="0.3">
      <c r="A1789" t="s">
        <v>84</v>
      </c>
      <c r="B1789">
        <v>2020</v>
      </c>
      <c r="C1789" t="s">
        <v>271</v>
      </c>
      <c r="D1789" t="s">
        <v>300</v>
      </c>
      <c r="E1789" t="s">
        <v>65</v>
      </c>
      <c r="F1789">
        <v>1543</v>
      </c>
      <c r="G1789" t="s">
        <v>66</v>
      </c>
      <c r="H1789">
        <v>8</v>
      </c>
    </row>
    <row r="1790" spans="1:8" x14ac:dyDescent="0.3">
      <c r="A1790" t="s">
        <v>84</v>
      </c>
      <c r="B1790">
        <v>2021</v>
      </c>
      <c r="C1790" t="s">
        <v>271</v>
      </c>
      <c r="D1790" t="s">
        <v>300</v>
      </c>
      <c r="E1790" t="s">
        <v>65</v>
      </c>
      <c r="F1790">
        <v>1543</v>
      </c>
      <c r="G1790" t="s">
        <v>66</v>
      </c>
      <c r="H1790">
        <v>5</v>
      </c>
    </row>
    <row r="1791" spans="1:8" x14ac:dyDescent="0.3">
      <c r="A1791" t="s">
        <v>85</v>
      </c>
      <c r="B1791">
        <v>2014</v>
      </c>
      <c r="C1791" t="s">
        <v>271</v>
      </c>
      <c r="D1791" t="s">
        <v>300</v>
      </c>
      <c r="E1791" t="s">
        <v>65</v>
      </c>
      <c r="F1791">
        <v>5732</v>
      </c>
      <c r="G1791" t="s">
        <v>66</v>
      </c>
      <c r="H1791">
        <v>6</v>
      </c>
    </row>
    <row r="1792" spans="1:8" x14ac:dyDescent="0.3">
      <c r="A1792" t="s">
        <v>85</v>
      </c>
      <c r="B1792">
        <v>2015</v>
      </c>
      <c r="C1792" t="s">
        <v>271</v>
      </c>
      <c r="D1792" t="s">
        <v>300</v>
      </c>
      <c r="E1792" t="s">
        <v>65</v>
      </c>
      <c r="F1792">
        <v>5732</v>
      </c>
      <c r="G1792" t="s">
        <v>66</v>
      </c>
      <c r="H1792">
        <v>10</v>
      </c>
    </row>
    <row r="1793" spans="1:8" x14ac:dyDescent="0.3">
      <c r="A1793" t="s">
        <v>85</v>
      </c>
      <c r="B1793">
        <v>2016</v>
      </c>
      <c r="C1793" t="s">
        <v>271</v>
      </c>
      <c r="D1793" t="s">
        <v>300</v>
      </c>
      <c r="E1793" t="s">
        <v>65</v>
      </c>
      <c r="F1793">
        <v>5732</v>
      </c>
      <c r="G1793" t="s">
        <v>66</v>
      </c>
      <c r="H1793">
        <v>1</v>
      </c>
    </row>
    <row r="1794" spans="1:8" x14ac:dyDescent="0.3">
      <c r="A1794" t="s">
        <v>85</v>
      </c>
      <c r="B1794">
        <v>2017</v>
      </c>
      <c r="C1794" t="s">
        <v>271</v>
      </c>
      <c r="D1794" t="s">
        <v>300</v>
      </c>
      <c r="E1794" t="s">
        <v>65</v>
      </c>
      <c r="F1794">
        <v>5732</v>
      </c>
      <c r="G1794" t="s">
        <v>66</v>
      </c>
      <c r="H1794">
        <v>6</v>
      </c>
    </row>
    <row r="1795" spans="1:8" x14ac:dyDescent="0.3">
      <c r="A1795" t="s">
        <v>85</v>
      </c>
      <c r="B1795">
        <v>2018</v>
      </c>
      <c r="C1795" t="s">
        <v>271</v>
      </c>
      <c r="D1795" t="s">
        <v>300</v>
      </c>
      <c r="E1795" t="s">
        <v>65</v>
      </c>
      <c r="F1795">
        <v>5732</v>
      </c>
      <c r="G1795" t="s">
        <v>66</v>
      </c>
      <c r="H1795">
        <v>14</v>
      </c>
    </row>
    <row r="1796" spans="1:8" x14ac:dyDescent="0.3">
      <c r="A1796" t="s">
        <v>85</v>
      </c>
      <c r="B1796">
        <v>2019</v>
      </c>
      <c r="C1796" t="s">
        <v>271</v>
      </c>
      <c r="D1796" t="s">
        <v>300</v>
      </c>
      <c r="E1796" t="s">
        <v>65</v>
      </c>
      <c r="F1796">
        <v>5732</v>
      </c>
      <c r="G1796" t="s">
        <v>66</v>
      </c>
      <c r="H1796">
        <v>106</v>
      </c>
    </row>
    <row r="1797" spans="1:8" x14ac:dyDescent="0.3">
      <c r="A1797" t="s">
        <v>85</v>
      </c>
      <c r="B1797">
        <v>2020</v>
      </c>
      <c r="C1797" t="s">
        <v>271</v>
      </c>
      <c r="D1797" t="s">
        <v>300</v>
      </c>
      <c r="E1797" t="s">
        <v>65</v>
      </c>
      <c r="F1797">
        <v>5732</v>
      </c>
      <c r="G1797" t="s">
        <v>66</v>
      </c>
      <c r="H1797">
        <v>61</v>
      </c>
    </row>
    <row r="1798" spans="1:8" x14ac:dyDescent="0.3">
      <c r="A1798" t="s">
        <v>85</v>
      </c>
      <c r="B1798">
        <v>2021</v>
      </c>
      <c r="C1798" t="s">
        <v>271</v>
      </c>
      <c r="D1798" t="s">
        <v>300</v>
      </c>
      <c r="E1798" t="s">
        <v>65</v>
      </c>
      <c r="F1798">
        <v>5732</v>
      </c>
      <c r="G1798" t="s">
        <v>66</v>
      </c>
      <c r="H1798">
        <v>39</v>
      </c>
    </row>
    <row r="1799" spans="1:8" x14ac:dyDescent="0.3">
      <c r="A1799" t="s">
        <v>186</v>
      </c>
      <c r="B1799">
        <v>2014</v>
      </c>
      <c r="C1799" t="s">
        <v>271</v>
      </c>
      <c r="D1799" t="s">
        <v>300</v>
      </c>
      <c r="E1799" t="s">
        <v>65</v>
      </c>
      <c r="F1799">
        <v>585000</v>
      </c>
      <c r="G1799" t="s">
        <v>83</v>
      </c>
      <c r="H1799">
        <v>60</v>
      </c>
    </row>
    <row r="1800" spans="1:8" x14ac:dyDescent="0.3">
      <c r="A1800" t="s">
        <v>186</v>
      </c>
      <c r="B1800">
        <v>2015</v>
      </c>
      <c r="C1800" t="s">
        <v>271</v>
      </c>
      <c r="D1800" t="s">
        <v>300</v>
      </c>
      <c r="E1800" t="s">
        <v>65</v>
      </c>
      <c r="F1800">
        <v>585000</v>
      </c>
      <c r="G1800" t="s">
        <v>83</v>
      </c>
      <c r="H1800">
        <v>90</v>
      </c>
    </row>
    <row r="1801" spans="1:8" x14ac:dyDescent="0.3">
      <c r="A1801" t="s">
        <v>186</v>
      </c>
      <c r="B1801">
        <v>2016</v>
      </c>
      <c r="C1801" t="s">
        <v>271</v>
      </c>
      <c r="D1801" t="s">
        <v>300</v>
      </c>
      <c r="E1801" t="s">
        <v>65</v>
      </c>
      <c r="F1801">
        <v>585000</v>
      </c>
      <c r="G1801" t="s">
        <v>83</v>
      </c>
      <c r="H1801">
        <v>53</v>
      </c>
    </row>
    <row r="1802" spans="1:8" x14ac:dyDescent="0.3">
      <c r="A1802" t="s">
        <v>186</v>
      </c>
      <c r="B1802">
        <v>2017</v>
      </c>
      <c r="C1802" t="s">
        <v>271</v>
      </c>
      <c r="D1802" t="s">
        <v>300</v>
      </c>
      <c r="E1802" t="s">
        <v>65</v>
      </c>
      <c r="F1802">
        <v>585000</v>
      </c>
      <c r="G1802" t="s">
        <v>83</v>
      </c>
      <c r="H1802">
        <v>90</v>
      </c>
    </row>
    <row r="1803" spans="1:8" x14ac:dyDescent="0.3">
      <c r="A1803" t="s">
        <v>186</v>
      </c>
      <c r="B1803">
        <v>2018</v>
      </c>
      <c r="C1803" t="s">
        <v>271</v>
      </c>
      <c r="D1803" t="s">
        <v>300</v>
      </c>
      <c r="E1803" t="s">
        <v>65</v>
      </c>
      <c r="F1803">
        <v>585000</v>
      </c>
      <c r="G1803" t="s">
        <v>83</v>
      </c>
      <c r="H1803">
        <v>54</v>
      </c>
    </row>
    <row r="1804" spans="1:8" x14ac:dyDescent="0.3">
      <c r="A1804" t="s">
        <v>186</v>
      </c>
      <c r="B1804">
        <v>2019</v>
      </c>
      <c r="C1804" t="s">
        <v>271</v>
      </c>
      <c r="D1804" t="s">
        <v>300</v>
      </c>
      <c r="E1804" t="s">
        <v>65</v>
      </c>
      <c r="F1804">
        <v>585000</v>
      </c>
      <c r="G1804" t="s">
        <v>83</v>
      </c>
      <c r="H1804">
        <v>60</v>
      </c>
    </row>
    <row r="1805" spans="1:8" x14ac:dyDescent="0.3">
      <c r="A1805" t="s">
        <v>186</v>
      </c>
      <c r="B1805">
        <v>2020</v>
      </c>
      <c r="C1805" t="s">
        <v>271</v>
      </c>
      <c r="D1805" t="s">
        <v>300</v>
      </c>
      <c r="E1805" t="s">
        <v>65</v>
      </c>
      <c r="F1805">
        <v>585000</v>
      </c>
      <c r="G1805" t="s">
        <v>83</v>
      </c>
      <c r="H1805">
        <v>339</v>
      </c>
    </row>
    <row r="1806" spans="1:8" x14ac:dyDescent="0.3">
      <c r="A1806" t="s">
        <v>186</v>
      </c>
      <c r="B1806">
        <v>2021</v>
      </c>
      <c r="C1806" t="s">
        <v>271</v>
      </c>
      <c r="D1806" t="s">
        <v>300</v>
      </c>
      <c r="E1806" t="s">
        <v>65</v>
      </c>
      <c r="F1806">
        <v>585000</v>
      </c>
      <c r="G1806" t="s">
        <v>83</v>
      </c>
      <c r="H1806">
        <v>49</v>
      </c>
    </row>
    <row r="1807" spans="1:8" x14ac:dyDescent="0.3">
      <c r="A1807" t="s">
        <v>86</v>
      </c>
      <c r="B1807">
        <v>2014</v>
      </c>
      <c r="C1807" t="s">
        <v>271</v>
      </c>
      <c r="D1807" t="s">
        <v>300</v>
      </c>
      <c r="E1807" t="s">
        <v>65</v>
      </c>
      <c r="F1807">
        <v>2450</v>
      </c>
      <c r="G1807" t="s">
        <v>66</v>
      </c>
      <c r="H1807">
        <v>43</v>
      </c>
    </row>
    <row r="1808" spans="1:8" x14ac:dyDescent="0.3">
      <c r="A1808" t="s">
        <v>86</v>
      </c>
      <c r="B1808">
        <v>2015</v>
      </c>
      <c r="C1808" t="s">
        <v>271</v>
      </c>
      <c r="D1808" t="s">
        <v>300</v>
      </c>
      <c r="E1808" t="s">
        <v>65</v>
      </c>
      <c r="F1808">
        <v>2450</v>
      </c>
      <c r="G1808" t="s">
        <v>66</v>
      </c>
      <c r="H1808">
        <v>102</v>
      </c>
    </row>
    <row r="1809" spans="1:8" x14ac:dyDescent="0.3">
      <c r="A1809" t="s">
        <v>86</v>
      </c>
      <c r="B1809">
        <v>2016</v>
      </c>
      <c r="C1809" t="s">
        <v>271</v>
      </c>
      <c r="D1809" t="s">
        <v>300</v>
      </c>
      <c r="E1809" t="s">
        <v>65</v>
      </c>
      <c r="F1809">
        <v>2450</v>
      </c>
      <c r="G1809" t="s">
        <v>66</v>
      </c>
      <c r="H1809">
        <v>169</v>
      </c>
    </row>
    <row r="1810" spans="1:8" x14ac:dyDescent="0.3">
      <c r="A1810" t="s">
        <v>86</v>
      </c>
      <c r="B1810">
        <v>2017</v>
      </c>
      <c r="C1810" t="s">
        <v>271</v>
      </c>
      <c r="D1810" t="s">
        <v>300</v>
      </c>
      <c r="E1810" t="s">
        <v>65</v>
      </c>
      <c r="F1810">
        <v>2450</v>
      </c>
      <c r="G1810" t="s">
        <v>66</v>
      </c>
      <c r="H1810">
        <v>82</v>
      </c>
    </row>
    <row r="1811" spans="1:8" x14ac:dyDescent="0.3">
      <c r="A1811" t="s">
        <v>86</v>
      </c>
      <c r="B1811">
        <v>2018</v>
      </c>
      <c r="C1811" t="s">
        <v>271</v>
      </c>
      <c r="D1811" t="s">
        <v>300</v>
      </c>
      <c r="E1811" t="s">
        <v>65</v>
      </c>
      <c r="F1811">
        <v>2450</v>
      </c>
      <c r="G1811" t="s">
        <v>66</v>
      </c>
      <c r="H1811">
        <v>122</v>
      </c>
    </row>
    <row r="1812" spans="1:8" x14ac:dyDescent="0.3">
      <c r="A1812" t="s">
        <v>86</v>
      </c>
      <c r="B1812">
        <v>2019</v>
      </c>
      <c r="C1812" t="s">
        <v>271</v>
      </c>
      <c r="D1812" t="s">
        <v>300</v>
      </c>
      <c r="E1812" t="s">
        <v>65</v>
      </c>
      <c r="F1812">
        <v>2450</v>
      </c>
      <c r="G1812" t="s">
        <v>66</v>
      </c>
      <c r="H1812">
        <v>156</v>
      </c>
    </row>
    <row r="1813" spans="1:8" x14ac:dyDescent="0.3">
      <c r="A1813" t="s">
        <v>86</v>
      </c>
      <c r="B1813">
        <v>2020</v>
      </c>
      <c r="C1813" t="s">
        <v>271</v>
      </c>
      <c r="D1813" t="s">
        <v>300</v>
      </c>
      <c r="E1813" t="s">
        <v>65</v>
      </c>
      <c r="F1813">
        <v>2450</v>
      </c>
      <c r="G1813" t="s">
        <v>66</v>
      </c>
      <c r="H1813">
        <v>142</v>
      </c>
    </row>
    <row r="1814" spans="1:8" x14ac:dyDescent="0.3">
      <c r="A1814" t="s">
        <v>86</v>
      </c>
      <c r="B1814">
        <v>2021</v>
      </c>
      <c r="C1814" t="s">
        <v>271</v>
      </c>
      <c r="D1814" t="s">
        <v>300</v>
      </c>
      <c r="E1814" t="s">
        <v>65</v>
      </c>
      <c r="F1814">
        <v>2450</v>
      </c>
      <c r="G1814" t="s">
        <v>66</v>
      </c>
      <c r="H1814">
        <v>174</v>
      </c>
    </row>
    <row r="1815" spans="1:8" x14ac:dyDescent="0.3">
      <c r="A1815" t="s">
        <v>87</v>
      </c>
      <c r="B1815">
        <v>2014</v>
      </c>
      <c r="C1815" t="s">
        <v>271</v>
      </c>
      <c r="D1815" t="s">
        <v>300</v>
      </c>
      <c r="E1815" t="s">
        <v>65</v>
      </c>
      <c r="F1815">
        <v>2500</v>
      </c>
      <c r="G1815" t="s">
        <v>66</v>
      </c>
      <c r="H1815">
        <v>5</v>
      </c>
    </row>
    <row r="1816" spans="1:8" x14ac:dyDescent="0.3">
      <c r="A1816" t="s">
        <v>87</v>
      </c>
      <c r="B1816">
        <v>2015</v>
      </c>
      <c r="C1816" t="s">
        <v>271</v>
      </c>
      <c r="D1816" t="s">
        <v>300</v>
      </c>
      <c r="E1816" t="s">
        <v>65</v>
      </c>
      <c r="F1816">
        <v>2500</v>
      </c>
      <c r="G1816" t="s">
        <v>66</v>
      </c>
      <c r="H1816">
        <v>4</v>
      </c>
    </row>
    <row r="1817" spans="1:8" x14ac:dyDescent="0.3">
      <c r="A1817" t="s">
        <v>87</v>
      </c>
      <c r="B1817">
        <v>2017</v>
      </c>
      <c r="C1817" t="s">
        <v>271</v>
      </c>
      <c r="D1817" t="s">
        <v>300</v>
      </c>
      <c r="E1817" t="s">
        <v>65</v>
      </c>
      <c r="F1817">
        <v>2500</v>
      </c>
      <c r="G1817" t="s">
        <v>66</v>
      </c>
      <c r="H1817">
        <v>2</v>
      </c>
    </row>
    <row r="1818" spans="1:8" x14ac:dyDescent="0.3">
      <c r="A1818" t="s">
        <v>87</v>
      </c>
      <c r="B1818">
        <v>2018</v>
      </c>
      <c r="C1818" t="s">
        <v>271</v>
      </c>
      <c r="D1818" t="s">
        <v>300</v>
      </c>
      <c r="E1818" t="s">
        <v>65</v>
      </c>
      <c r="F1818">
        <v>2500</v>
      </c>
      <c r="G1818" t="s">
        <v>66</v>
      </c>
      <c r="H1818">
        <v>1</v>
      </c>
    </row>
    <row r="1819" spans="1:8" x14ac:dyDescent="0.3">
      <c r="A1819" t="s">
        <v>87</v>
      </c>
      <c r="B1819">
        <v>2020</v>
      </c>
      <c r="C1819" t="s">
        <v>271</v>
      </c>
      <c r="D1819" t="s">
        <v>300</v>
      </c>
      <c r="E1819" t="s">
        <v>65</v>
      </c>
      <c r="F1819">
        <v>2500</v>
      </c>
      <c r="G1819" t="s">
        <v>66</v>
      </c>
      <c r="H1819">
        <v>2</v>
      </c>
    </row>
    <row r="1820" spans="1:8" x14ac:dyDescent="0.3">
      <c r="A1820" t="s">
        <v>87</v>
      </c>
      <c r="B1820">
        <v>2021</v>
      </c>
      <c r="C1820" t="s">
        <v>271</v>
      </c>
      <c r="D1820" t="s">
        <v>300</v>
      </c>
      <c r="E1820" t="s">
        <v>65</v>
      </c>
      <c r="F1820">
        <v>2500</v>
      </c>
      <c r="G1820" t="s">
        <v>66</v>
      </c>
      <c r="H1820">
        <v>1</v>
      </c>
    </row>
    <row r="1821" spans="1:8" x14ac:dyDescent="0.3">
      <c r="A1821" t="s">
        <v>88</v>
      </c>
      <c r="B1821">
        <v>2014</v>
      </c>
      <c r="C1821" t="s">
        <v>271</v>
      </c>
      <c r="D1821" t="s">
        <v>300</v>
      </c>
      <c r="E1821" t="s">
        <v>65</v>
      </c>
      <c r="F1821">
        <v>2550</v>
      </c>
      <c r="G1821" t="s">
        <v>66</v>
      </c>
      <c r="H1821">
        <v>21</v>
      </c>
    </row>
    <row r="1822" spans="1:8" x14ac:dyDescent="0.3">
      <c r="A1822" t="s">
        <v>88</v>
      </c>
      <c r="B1822">
        <v>2015</v>
      </c>
      <c r="C1822" t="s">
        <v>271</v>
      </c>
      <c r="D1822" t="s">
        <v>300</v>
      </c>
      <c r="E1822" t="s">
        <v>65</v>
      </c>
      <c r="F1822">
        <v>2550</v>
      </c>
      <c r="G1822" t="s">
        <v>66</v>
      </c>
      <c r="H1822">
        <v>28</v>
      </c>
    </row>
    <row r="1823" spans="1:8" x14ac:dyDescent="0.3">
      <c r="A1823" t="s">
        <v>88</v>
      </c>
      <c r="B1823">
        <v>2016</v>
      </c>
      <c r="C1823" t="s">
        <v>271</v>
      </c>
      <c r="D1823" t="s">
        <v>300</v>
      </c>
      <c r="E1823" t="s">
        <v>65</v>
      </c>
      <c r="F1823">
        <v>2550</v>
      </c>
      <c r="G1823" t="s">
        <v>66</v>
      </c>
      <c r="H1823">
        <v>29</v>
      </c>
    </row>
    <row r="1824" spans="1:8" x14ac:dyDescent="0.3">
      <c r="A1824" t="s">
        <v>88</v>
      </c>
      <c r="B1824">
        <v>2017</v>
      </c>
      <c r="C1824" t="s">
        <v>271</v>
      </c>
      <c r="D1824" t="s">
        <v>300</v>
      </c>
      <c r="E1824" t="s">
        <v>65</v>
      </c>
      <c r="F1824">
        <v>2550</v>
      </c>
      <c r="G1824" t="s">
        <v>66</v>
      </c>
      <c r="H1824">
        <v>27</v>
      </c>
    </row>
    <row r="1825" spans="1:8" x14ac:dyDescent="0.3">
      <c r="A1825" t="s">
        <v>88</v>
      </c>
      <c r="B1825">
        <v>2018</v>
      </c>
      <c r="C1825" t="s">
        <v>271</v>
      </c>
      <c r="D1825" t="s">
        <v>300</v>
      </c>
      <c r="E1825" t="s">
        <v>65</v>
      </c>
      <c r="F1825">
        <v>2550</v>
      </c>
      <c r="G1825" t="s">
        <v>66</v>
      </c>
      <c r="H1825">
        <v>23</v>
      </c>
    </row>
    <row r="1826" spans="1:8" x14ac:dyDescent="0.3">
      <c r="A1826" t="s">
        <v>88</v>
      </c>
      <c r="B1826">
        <v>2019</v>
      </c>
      <c r="C1826" t="s">
        <v>271</v>
      </c>
      <c r="D1826" t="s">
        <v>300</v>
      </c>
      <c r="E1826" t="s">
        <v>65</v>
      </c>
      <c r="F1826">
        <v>2550</v>
      </c>
      <c r="G1826" t="s">
        <v>66</v>
      </c>
      <c r="H1826">
        <v>24</v>
      </c>
    </row>
    <row r="1827" spans="1:8" x14ac:dyDescent="0.3">
      <c r="A1827" t="s">
        <v>88</v>
      </c>
      <c r="B1827">
        <v>2020</v>
      </c>
      <c r="C1827" t="s">
        <v>271</v>
      </c>
      <c r="D1827" t="s">
        <v>300</v>
      </c>
      <c r="E1827" t="s">
        <v>65</v>
      </c>
      <c r="F1827">
        <v>2550</v>
      </c>
      <c r="G1827" t="s">
        <v>66</v>
      </c>
      <c r="H1827">
        <v>25</v>
      </c>
    </row>
    <row r="1828" spans="1:8" x14ac:dyDescent="0.3">
      <c r="A1828" t="s">
        <v>88</v>
      </c>
      <c r="B1828">
        <v>2021</v>
      </c>
      <c r="C1828" t="s">
        <v>271</v>
      </c>
      <c r="D1828" t="s">
        <v>300</v>
      </c>
      <c r="E1828" t="s">
        <v>65</v>
      </c>
      <c r="F1828">
        <v>2550</v>
      </c>
      <c r="G1828" t="s">
        <v>66</v>
      </c>
      <c r="H1828">
        <v>30</v>
      </c>
    </row>
    <row r="1829" spans="1:8" x14ac:dyDescent="0.3">
      <c r="A1829" t="s">
        <v>89</v>
      </c>
      <c r="B1829">
        <v>2015</v>
      </c>
      <c r="C1829" t="s">
        <v>271</v>
      </c>
      <c r="D1829" t="s">
        <v>300</v>
      </c>
      <c r="E1829" t="s">
        <v>65</v>
      </c>
      <c r="F1829">
        <v>3348</v>
      </c>
      <c r="G1829" t="s">
        <v>66</v>
      </c>
      <c r="H1829">
        <v>3</v>
      </c>
    </row>
    <row r="1830" spans="1:8" x14ac:dyDescent="0.3">
      <c r="A1830" t="s">
        <v>89</v>
      </c>
      <c r="B1830">
        <v>2016</v>
      </c>
      <c r="C1830" t="s">
        <v>271</v>
      </c>
      <c r="D1830" t="s">
        <v>300</v>
      </c>
      <c r="E1830" t="s">
        <v>65</v>
      </c>
      <c r="F1830">
        <v>3348</v>
      </c>
      <c r="G1830" t="s">
        <v>66</v>
      </c>
      <c r="H1830">
        <v>2</v>
      </c>
    </row>
    <row r="1831" spans="1:8" x14ac:dyDescent="0.3">
      <c r="A1831" t="s">
        <v>89</v>
      </c>
      <c r="B1831">
        <v>2017</v>
      </c>
      <c r="C1831" t="s">
        <v>271</v>
      </c>
      <c r="D1831" t="s">
        <v>300</v>
      </c>
      <c r="E1831" t="s">
        <v>65</v>
      </c>
      <c r="F1831">
        <v>3348</v>
      </c>
      <c r="G1831" t="s">
        <v>66</v>
      </c>
      <c r="H1831">
        <v>2</v>
      </c>
    </row>
    <row r="1832" spans="1:8" x14ac:dyDescent="0.3">
      <c r="A1832" t="s">
        <v>89</v>
      </c>
      <c r="B1832">
        <v>2018</v>
      </c>
      <c r="C1832" t="s">
        <v>271</v>
      </c>
      <c r="D1832" t="s">
        <v>300</v>
      </c>
      <c r="E1832" t="s">
        <v>65</v>
      </c>
      <c r="F1832">
        <v>3348</v>
      </c>
      <c r="G1832" t="s">
        <v>66</v>
      </c>
      <c r="H1832">
        <v>2</v>
      </c>
    </row>
    <row r="1833" spans="1:8" x14ac:dyDescent="0.3">
      <c r="A1833" t="s">
        <v>89</v>
      </c>
      <c r="B1833">
        <v>2019</v>
      </c>
      <c r="C1833" t="s">
        <v>271</v>
      </c>
      <c r="D1833" t="s">
        <v>300</v>
      </c>
      <c r="E1833" t="s">
        <v>65</v>
      </c>
      <c r="F1833">
        <v>3348</v>
      </c>
      <c r="G1833" t="s">
        <v>66</v>
      </c>
      <c r="H1833">
        <v>3</v>
      </c>
    </row>
    <row r="1834" spans="1:8" x14ac:dyDescent="0.3">
      <c r="A1834" t="s">
        <v>89</v>
      </c>
      <c r="B1834">
        <v>2020</v>
      </c>
      <c r="C1834" t="s">
        <v>271</v>
      </c>
      <c r="D1834" t="s">
        <v>300</v>
      </c>
      <c r="E1834" t="s">
        <v>65</v>
      </c>
      <c r="F1834">
        <v>3348</v>
      </c>
      <c r="G1834" t="s">
        <v>66</v>
      </c>
      <c r="H1834">
        <v>1</v>
      </c>
    </row>
    <row r="1835" spans="1:8" x14ac:dyDescent="0.3">
      <c r="A1835" t="s">
        <v>89</v>
      </c>
      <c r="B1835">
        <v>2021</v>
      </c>
      <c r="C1835" t="s">
        <v>271</v>
      </c>
      <c r="D1835" t="s">
        <v>300</v>
      </c>
      <c r="E1835" t="s">
        <v>65</v>
      </c>
      <c r="F1835">
        <v>3348</v>
      </c>
      <c r="G1835" t="s">
        <v>66</v>
      </c>
      <c r="H1835">
        <v>3</v>
      </c>
    </row>
    <row r="1836" spans="1:8" x14ac:dyDescent="0.3">
      <c r="A1836" t="s">
        <v>90</v>
      </c>
      <c r="B1836">
        <v>2014</v>
      </c>
      <c r="C1836" t="s">
        <v>271</v>
      </c>
      <c r="D1836" t="s">
        <v>300</v>
      </c>
      <c r="E1836" t="s">
        <v>65</v>
      </c>
      <c r="F1836">
        <v>3600</v>
      </c>
      <c r="G1836" t="s">
        <v>66</v>
      </c>
      <c r="H1836">
        <v>3</v>
      </c>
    </row>
    <row r="1837" spans="1:8" x14ac:dyDescent="0.3">
      <c r="A1837" t="s">
        <v>90</v>
      </c>
      <c r="B1837">
        <v>2015</v>
      </c>
      <c r="C1837" t="s">
        <v>271</v>
      </c>
      <c r="D1837" t="s">
        <v>300</v>
      </c>
      <c r="E1837" t="s">
        <v>65</v>
      </c>
      <c r="F1837">
        <v>3600</v>
      </c>
      <c r="G1837" t="s">
        <v>66</v>
      </c>
      <c r="H1837">
        <v>2</v>
      </c>
    </row>
    <row r="1838" spans="1:8" x14ac:dyDescent="0.3">
      <c r="A1838" t="s">
        <v>90</v>
      </c>
      <c r="B1838">
        <v>2016</v>
      </c>
      <c r="C1838" t="s">
        <v>271</v>
      </c>
      <c r="D1838" t="s">
        <v>300</v>
      </c>
      <c r="E1838" t="s">
        <v>65</v>
      </c>
      <c r="F1838">
        <v>3600</v>
      </c>
      <c r="G1838" t="s">
        <v>66</v>
      </c>
      <c r="H1838">
        <v>6</v>
      </c>
    </row>
    <row r="1839" spans="1:8" x14ac:dyDescent="0.3">
      <c r="A1839" t="s">
        <v>90</v>
      </c>
      <c r="B1839">
        <v>2017</v>
      </c>
      <c r="C1839" t="s">
        <v>271</v>
      </c>
      <c r="D1839" t="s">
        <v>300</v>
      </c>
      <c r="E1839" t="s">
        <v>65</v>
      </c>
      <c r="F1839">
        <v>3600</v>
      </c>
      <c r="G1839" t="s">
        <v>66</v>
      </c>
      <c r="H1839">
        <v>4</v>
      </c>
    </row>
    <row r="1840" spans="1:8" x14ac:dyDescent="0.3">
      <c r="A1840" t="s">
        <v>90</v>
      </c>
      <c r="B1840">
        <v>2018</v>
      </c>
      <c r="C1840" t="s">
        <v>271</v>
      </c>
      <c r="D1840" t="s">
        <v>300</v>
      </c>
      <c r="E1840" t="s">
        <v>65</v>
      </c>
      <c r="F1840">
        <v>3600</v>
      </c>
      <c r="G1840" t="s">
        <v>66</v>
      </c>
      <c r="H1840">
        <v>3</v>
      </c>
    </row>
    <row r="1841" spans="1:8" x14ac:dyDescent="0.3">
      <c r="A1841" t="s">
        <v>90</v>
      </c>
      <c r="B1841">
        <v>2019</v>
      </c>
      <c r="C1841" t="s">
        <v>271</v>
      </c>
      <c r="D1841" t="s">
        <v>300</v>
      </c>
      <c r="E1841" t="s">
        <v>65</v>
      </c>
      <c r="F1841">
        <v>3600</v>
      </c>
      <c r="G1841" t="s">
        <v>66</v>
      </c>
      <c r="H1841">
        <v>7</v>
      </c>
    </row>
    <row r="1842" spans="1:8" x14ac:dyDescent="0.3">
      <c r="A1842" t="s">
        <v>90</v>
      </c>
      <c r="B1842">
        <v>2020</v>
      </c>
      <c r="C1842" t="s">
        <v>271</v>
      </c>
      <c r="D1842" t="s">
        <v>300</v>
      </c>
      <c r="E1842" t="s">
        <v>65</v>
      </c>
      <c r="F1842">
        <v>3600</v>
      </c>
      <c r="G1842" t="s">
        <v>66</v>
      </c>
      <c r="H1842">
        <v>1</v>
      </c>
    </row>
    <row r="1843" spans="1:8" x14ac:dyDescent="0.3">
      <c r="A1843" t="s">
        <v>90</v>
      </c>
      <c r="B1843">
        <v>2021</v>
      </c>
      <c r="C1843" t="s">
        <v>271</v>
      </c>
      <c r="D1843" t="s">
        <v>300</v>
      </c>
      <c r="E1843" t="s">
        <v>65</v>
      </c>
      <c r="F1843">
        <v>3600</v>
      </c>
      <c r="G1843" t="s">
        <v>66</v>
      </c>
      <c r="H1843">
        <v>3</v>
      </c>
    </row>
    <row r="1844" spans="1:8" x14ac:dyDescent="0.3">
      <c r="A1844" t="s">
        <v>91</v>
      </c>
      <c r="B1844">
        <v>2014</v>
      </c>
      <c r="C1844" t="s">
        <v>271</v>
      </c>
      <c r="D1844" t="s">
        <v>300</v>
      </c>
      <c r="E1844" t="s">
        <v>65</v>
      </c>
      <c r="F1844">
        <v>7800</v>
      </c>
      <c r="G1844" t="s">
        <v>66</v>
      </c>
      <c r="H1844">
        <v>84</v>
      </c>
    </row>
    <row r="1845" spans="1:8" x14ac:dyDescent="0.3">
      <c r="A1845" t="s">
        <v>91</v>
      </c>
      <c r="B1845">
        <v>2015</v>
      </c>
      <c r="C1845" t="s">
        <v>271</v>
      </c>
      <c r="D1845" t="s">
        <v>300</v>
      </c>
      <c r="E1845" t="s">
        <v>65</v>
      </c>
      <c r="F1845">
        <v>7800</v>
      </c>
      <c r="G1845" t="s">
        <v>66</v>
      </c>
      <c r="H1845">
        <v>137</v>
      </c>
    </row>
    <row r="1846" spans="1:8" x14ac:dyDescent="0.3">
      <c r="A1846" t="s">
        <v>91</v>
      </c>
      <c r="B1846">
        <v>2016</v>
      </c>
      <c r="C1846" t="s">
        <v>271</v>
      </c>
      <c r="D1846" t="s">
        <v>300</v>
      </c>
      <c r="E1846" t="s">
        <v>65</v>
      </c>
      <c r="F1846">
        <v>7800</v>
      </c>
      <c r="G1846" t="s">
        <v>66</v>
      </c>
      <c r="H1846">
        <v>77</v>
      </c>
    </row>
    <row r="1847" spans="1:8" x14ac:dyDescent="0.3">
      <c r="A1847" t="s">
        <v>91</v>
      </c>
      <c r="B1847">
        <v>2017</v>
      </c>
      <c r="C1847" t="s">
        <v>271</v>
      </c>
      <c r="D1847" t="s">
        <v>300</v>
      </c>
      <c r="E1847" t="s">
        <v>65</v>
      </c>
      <c r="F1847">
        <v>7800</v>
      </c>
      <c r="G1847" t="s">
        <v>66</v>
      </c>
      <c r="H1847">
        <v>55</v>
      </c>
    </row>
    <row r="1848" spans="1:8" x14ac:dyDescent="0.3">
      <c r="A1848" t="s">
        <v>91</v>
      </c>
      <c r="B1848">
        <v>2018</v>
      </c>
      <c r="C1848" t="s">
        <v>271</v>
      </c>
      <c r="D1848" t="s">
        <v>300</v>
      </c>
      <c r="E1848" t="s">
        <v>65</v>
      </c>
      <c r="F1848">
        <v>7800</v>
      </c>
      <c r="G1848" t="s">
        <v>66</v>
      </c>
      <c r="H1848">
        <v>136</v>
      </c>
    </row>
    <row r="1849" spans="1:8" x14ac:dyDescent="0.3">
      <c r="A1849" t="s">
        <v>91</v>
      </c>
      <c r="B1849">
        <v>2019</v>
      </c>
      <c r="C1849" t="s">
        <v>271</v>
      </c>
      <c r="D1849" t="s">
        <v>300</v>
      </c>
      <c r="E1849" t="s">
        <v>65</v>
      </c>
      <c r="F1849">
        <v>7800</v>
      </c>
      <c r="G1849" t="s">
        <v>66</v>
      </c>
      <c r="H1849">
        <v>240</v>
      </c>
    </row>
    <row r="1850" spans="1:8" x14ac:dyDescent="0.3">
      <c r="A1850" t="s">
        <v>91</v>
      </c>
      <c r="B1850">
        <v>2020</v>
      </c>
      <c r="C1850" t="s">
        <v>271</v>
      </c>
      <c r="D1850" t="s">
        <v>300</v>
      </c>
      <c r="E1850" t="s">
        <v>65</v>
      </c>
      <c r="F1850">
        <v>7800</v>
      </c>
      <c r="G1850" t="s">
        <v>66</v>
      </c>
      <c r="H1850">
        <v>142</v>
      </c>
    </row>
    <row r="1851" spans="1:8" x14ac:dyDescent="0.3">
      <c r="A1851" t="s">
        <v>91</v>
      </c>
      <c r="B1851">
        <v>2021</v>
      </c>
      <c r="C1851" t="s">
        <v>271</v>
      </c>
      <c r="D1851" t="s">
        <v>300</v>
      </c>
      <c r="E1851" t="s">
        <v>65</v>
      </c>
      <c r="F1851">
        <v>7800</v>
      </c>
      <c r="G1851" t="s">
        <v>66</v>
      </c>
      <c r="H1851">
        <v>22</v>
      </c>
    </row>
    <row r="1852" spans="1:8" x14ac:dyDescent="0.3">
      <c r="A1852" t="s">
        <v>92</v>
      </c>
      <c r="B1852">
        <v>2014</v>
      </c>
      <c r="C1852" t="s">
        <v>271</v>
      </c>
      <c r="D1852" t="s">
        <v>300</v>
      </c>
      <c r="E1852" t="s">
        <v>65</v>
      </c>
      <c r="F1852">
        <v>3100</v>
      </c>
      <c r="G1852" t="s">
        <v>66</v>
      </c>
      <c r="H1852">
        <v>3</v>
      </c>
    </row>
    <row r="1853" spans="1:8" x14ac:dyDescent="0.3">
      <c r="A1853" t="s">
        <v>92</v>
      </c>
      <c r="B1853">
        <v>2015</v>
      </c>
      <c r="C1853" t="s">
        <v>271</v>
      </c>
      <c r="D1853" t="s">
        <v>300</v>
      </c>
      <c r="E1853" t="s">
        <v>65</v>
      </c>
      <c r="F1853">
        <v>3100</v>
      </c>
      <c r="G1853" t="s">
        <v>66</v>
      </c>
      <c r="H1853">
        <v>4</v>
      </c>
    </row>
    <row r="1854" spans="1:8" x14ac:dyDescent="0.3">
      <c r="A1854" t="s">
        <v>92</v>
      </c>
      <c r="B1854">
        <v>2016</v>
      </c>
      <c r="C1854" t="s">
        <v>271</v>
      </c>
      <c r="D1854" t="s">
        <v>300</v>
      </c>
      <c r="E1854" t="s">
        <v>65</v>
      </c>
      <c r="F1854">
        <v>3100</v>
      </c>
      <c r="G1854" t="s">
        <v>66</v>
      </c>
      <c r="H1854">
        <v>7</v>
      </c>
    </row>
    <row r="1855" spans="1:8" x14ac:dyDescent="0.3">
      <c r="A1855" t="s">
        <v>92</v>
      </c>
      <c r="B1855">
        <v>2017</v>
      </c>
      <c r="C1855" t="s">
        <v>271</v>
      </c>
      <c r="D1855" t="s">
        <v>300</v>
      </c>
      <c r="E1855" t="s">
        <v>65</v>
      </c>
      <c r="F1855">
        <v>3100</v>
      </c>
      <c r="G1855" t="s">
        <v>66</v>
      </c>
      <c r="H1855">
        <v>11</v>
      </c>
    </row>
    <row r="1856" spans="1:8" x14ac:dyDescent="0.3">
      <c r="A1856" t="s">
        <v>92</v>
      </c>
      <c r="B1856">
        <v>2018</v>
      </c>
      <c r="C1856" t="s">
        <v>271</v>
      </c>
      <c r="D1856" t="s">
        <v>300</v>
      </c>
      <c r="E1856" t="s">
        <v>65</v>
      </c>
      <c r="F1856">
        <v>3100</v>
      </c>
      <c r="G1856" t="s">
        <v>66</v>
      </c>
      <c r="H1856">
        <v>28</v>
      </c>
    </row>
    <row r="1857" spans="1:8" x14ac:dyDescent="0.3">
      <c r="A1857" t="s">
        <v>92</v>
      </c>
      <c r="B1857">
        <v>2019</v>
      </c>
      <c r="C1857" t="s">
        <v>271</v>
      </c>
      <c r="D1857" t="s">
        <v>300</v>
      </c>
      <c r="E1857" t="s">
        <v>65</v>
      </c>
      <c r="F1857">
        <v>3100</v>
      </c>
      <c r="G1857" t="s">
        <v>66</v>
      </c>
      <c r="H1857">
        <v>25</v>
      </c>
    </row>
    <row r="1858" spans="1:8" x14ac:dyDescent="0.3">
      <c r="A1858" t="s">
        <v>92</v>
      </c>
      <c r="B1858">
        <v>2020</v>
      </c>
      <c r="C1858" t="s">
        <v>271</v>
      </c>
      <c r="D1858" t="s">
        <v>300</v>
      </c>
      <c r="E1858" t="s">
        <v>65</v>
      </c>
      <c r="F1858">
        <v>3100</v>
      </c>
      <c r="G1858" t="s">
        <v>66</v>
      </c>
      <c r="H1858">
        <v>10</v>
      </c>
    </row>
    <row r="1859" spans="1:8" x14ac:dyDescent="0.3">
      <c r="A1859" t="s">
        <v>92</v>
      </c>
      <c r="B1859">
        <v>2021</v>
      </c>
      <c r="C1859" t="s">
        <v>271</v>
      </c>
      <c r="D1859" t="s">
        <v>300</v>
      </c>
      <c r="E1859" t="s">
        <v>65</v>
      </c>
      <c r="F1859">
        <v>3100</v>
      </c>
      <c r="G1859" t="s">
        <v>66</v>
      </c>
      <c r="H1859">
        <v>1</v>
      </c>
    </row>
    <row r="1860" spans="1:8" x14ac:dyDescent="0.3">
      <c r="A1860" t="s">
        <v>93</v>
      </c>
      <c r="B1860">
        <v>2016</v>
      </c>
      <c r="C1860" t="s">
        <v>271</v>
      </c>
      <c r="D1860" t="s">
        <v>300</v>
      </c>
      <c r="E1860" t="s">
        <v>65</v>
      </c>
      <c r="F1860">
        <v>12125</v>
      </c>
      <c r="G1860" t="s">
        <v>66</v>
      </c>
      <c r="H1860">
        <v>2</v>
      </c>
    </row>
    <row r="1861" spans="1:8" x14ac:dyDescent="0.3">
      <c r="A1861" t="s">
        <v>93</v>
      </c>
      <c r="B1861">
        <v>2019</v>
      </c>
      <c r="C1861" t="s">
        <v>271</v>
      </c>
      <c r="D1861" t="s">
        <v>300</v>
      </c>
      <c r="E1861" t="s">
        <v>65</v>
      </c>
      <c r="F1861">
        <v>12125</v>
      </c>
      <c r="G1861" t="s">
        <v>66</v>
      </c>
      <c r="H1861">
        <v>1</v>
      </c>
    </row>
    <row r="1862" spans="1:8" x14ac:dyDescent="0.3">
      <c r="A1862" t="s">
        <v>93</v>
      </c>
      <c r="B1862">
        <v>2020</v>
      </c>
      <c r="C1862" t="s">
        <v>271</v>
      </c>
      <c r="D1862" t="s">
        <v>300</v>
      </c>
      <c r="E1862" t="s">
        <v>65</v>
      </c>
      <c r="F1862">
        <v>12125</v>
      </c>
      <c r="G1862" t="s">
        <v>66</v>
      </c>
      <c r="H1862">
        <v>1</v>
      </c>
    </row>
    <row r="1863" spans="1:8" x14ac:dyDescent="0.3">
      <c r="A1863" t="s">
        <v>94</v>
      </c>
      <c r="B1863">
        <v>2014</v>
      </c>
      <c r="C1863" t="s">
        <v>271</v>
      </c>
      <c r="D1863" t="s">
        <v>300</v>
      </c>
      <c r="E1863" t="s">
        <v>65</v>
      </c>
      <c r="F1863">
        <v>13870</v>
      </c>
      <c r="G1863" t="s">
        <v>66</v>
      </c>
      <c r="H1863">
        <v>2</v>
      </c>
    </row>
    <row r="1864" spans="1:8" x14ac:dyDescent="0.3">
      <c r="A1864" t="s">
        <v>94</v>
      </c>
      <c r="B1864">
        <v>2016</v>
      </c>
      <c r="C1864" t="s">
        <v>271</v>
      </c>
      <c r="D1864" t="s">
        <v>300</v>
      </c>
      <c r="E1864" t="s">
        <v>65</v>
      </c>
      <c r="F1864">
        <v>13870</v>
      </c>
      <c r="G1864" t="s">
        <v>66</v>
      </c>
      <c r="H1864">
        <v>1</v>
      </c>
    </row>
    <row r="1865" spans="1:8" x14ac:dyDescent="0.3">
      <c r="A1865" t="s">
        <v>94</v>
      </c>
      <c r="B1865">
        <v>2018</v>
      </c>
      <c r="C1865" t="s">
        <v>271</v>
      </c>
      <c r="D1865" t="s">
        <v>300</v>
      </c>
      <c r="E1865" t="s">
        <v>65</v>
      </c>
      <c r="F1865">
        <v>13870</v>
      </c>
      <c r="G1865" t="s">
        <v>66</v>
      </c>
      <c r="H1865">
        <v>1</v>
      </c>
    </row>
    <row r="1866" spans="1:8" x14ac:dyDescent="0.3">
      <c r="A1866" t="s">
        <v>94</v>
      </c>
      <c r="B1866">
        <v>2020</v>
      </c>
      <c r="C1866" t="s">
        <v>271</v>
      </c>
      <c r="D1866" t="s">
        <v>300</v>
      </c>
      <c r="E1866" t="s">
        <v>65</v>
      </c>
      <c r="F1866">
        <v>13870</v>
      </c>
      <c r="G1866" t="s">
        <v>66</v>
      </c>
      <c r="H1866">
        <v>3</v>
      </c>
    </row>
    <row r="1867" spans="1:8" x14ac:dyDescent="0.3">
      <c r="A1867" t="s">
        <v>94</v>
      </c>
      <c r="B1867">
        <v>2021</v>
      </c>
      <c r="C1867" t="s">
        <v>271</v>
      </c>
      <c r="D1867" t="s">
        <v>300</v>
      </c>
      <c r="E1867" t="s">
        <v>65</v>
      </c>
      <c r="F1867">
        <v>13870</v>
      </c>
      <c r="G1867" t="s">
        <v>66</v>
      </c>
      <c r="H1867">
        <v>4</v>
      </c>
    </row>
    <row r="1868" spans="1:8" x14ac:dyDescent="0.3">
      <c r="A1868" t="s">
        <v>189</v>
      </c>
      <c r="B1868">
        <v>2016</v>
      </c>
      <c r="C1868" t="s">
        <v>271</v>
      </c>
      <c r="D1868" t="s">
        <v>300</v>
      </c>
      <c r="E1868" t="s">
        <v>65</v>
      </c>
      <c r="F1868">
        <v>10361</v>
      </c>
      <c r="G1868" t="s">
        <v>66</v>
      </c>
      <c r="H1868">
        <v>1</v>
      </c>
    </row>
    <row r="1869" spans="1:8" x14ac:dyDescent="0.3">
      <c r="A1869" t="s">
        <v>189</v>
      </c>
      <c r="B1869">
        <v>2020</v>
      </c>
      <c r="C1869" t="s">
        <v>271</v>
      </c>
      <c r="D1869" t="s">
        <v>300</v>
      </c>
      <c r="E1869" t="s">
        <v>65</v>
      </c>
      <c r="F1869">
        <v>10361</v>
      </c>
      <c r="G1869" t="s">
        <v>66</v>
      </c>
      <c r="H1869">
        <v>1</v>
      </c>
    </row>
    <row r="1870" spans="1:8" x14ac:dyDescent="0.3">
      <c r="A1870" t="s">
        <v>189</v>
      </c>
      <c r="B1870">
        <v>2021</v>
      </c>
      <c r="C1870" t="s">
        <v>271</v>
      </c>
      <c r="D1870" t="s">
        <v>300</v>
      </c>
      <c r="E1870" t="s">
        <v>65</v>
      </c>
      <c r="F1870">
        <v>10361</v>
      </c>
      <c r="G1870" t="s">
        <v>66</v>
      </c>
      <c r="H1870">
        <v>1</v>
      </c>
    </row>
    <row r="1871" spans="1:8" x14ac:dyDescent="0.3">
      <c r="A1871" t="s">
        <v>190</v>
      </c>
      <c r="B1871">
        <v>2014</v>
      </c>
      <c r="C1871" t="s">
        <v>271</v>
      </c>
      <c r="D1871" t="s">
        <v>300</v>
      </c>
      <c r="E1871" t="s">
        <v>65</v>
      </c>
      <c r="F1871">
        <v>155000</v>
      </c>
      <c r="G1871" t="s">
        <v>83</v>
      </c>
      <c r="H1871">
        <v>1</v>
      </c>
    </row>
    <row r="1872" spans="1:8" x14ac:dyDescent="0.3">
      <c r="A1872" t="s">
        <v>190</v>
      </c>
      <c r="B1872">
        <v>2015</v>
      </c>
      <c r="C1872" t="s">
        <v>271</v>
      </c>
      <c r="D1872" t="s">
        <v>300</v>
      </c>
      <c r="E1872" t="s">
        <v>65</v>
      </c>
      <c r="F1872">
        <v>155000</v>
      </c>
      <c r="G1872" t="s">
        <v>83</v>
      </c>
      <c r="H1872">
        <v>6</v>
      </c>
    </row>
    <row r="1873" spans="1:8" x14ac:dyDescent="0.3">
      <c r="A1873" t="s">
        <v>190</v>
      </c>
      <c r="B1873">
        <v>2016</v>
      </c>
      <c r="C1873" t="s">
        <v>271</v>
      </c>
      <c r="D1873" t="s">
        <v>300</v>
      </c>
      <c r="E1873" t="s">
        <v>65</v>
      </c>
      <c r="F1873">
        <v>155000</v>
      </c>
      <c r="G1873" t="s">
        <v>83</v>
      </c>
      <c r="H1873">
        <v>1</v>
      </c>
    </row>
    <row r="1874" spans="1:8" x14ac:dyDescent="0.3">
      <c r="A1874" t="s">
        <v>190</v>
      </c>
      <c r="B1874">
        <v>2017</v>
      </c>
      <c r="C1874" t="s">
        <v>271</v>
      </c>
      <c r="D1874" t="s">
        <v>300</v>
      </c>
      <c r="E1874" t="s">
        <v>65</v>
      </c>
      <c r="F1874">
        <v>155000</v>
      </c>
      <c r="G1874" t="s">
        <v>83</v>
      </c>
      <c r="H1874">
        <v>14</v>
      </c>
    </row>
    <row r="1875" spans="1:8" x14ac:dyDescent="0.3">
      <c r="A1875" t="s">
        <v>190</v>
      </c>
      <c r="B1875">
        <v>2018</v>
      </c>
      <c r="C1875" t="s">
        <v>271</v>
      </c>
      <c r="D1875" t="s">
        <v>300</v>
      </c>
      <c r="E1875" t="s">
        <v>65</v>
      </c>
      <c r="F1875">
        <v>155000</v>
      </c>
      <c r="G1875" t="s">
        <v>83</v>
      </c>
      <c r="H1875">
        <v>3</v>
      </c>
    </row>
    <row r="1876" spans="1:8" x14ac:dyDescent="0.3">
      <c r="A1876" t="s">
        <v>190</v>
      </c>
      <c r="B1876">
        <v>2019</v>
      </c>
      <c r="C1876" t="s">
        <v>271</v>
      </c>
      <c r="D1876" t="s">
        <v>300</v>
      </c>
      <c r="E1876" t="s">
        <v>65</v>
      </c>
      <c r="F1876">
        <v>155000</v>
      </c>
      <c r="G1876" t="s">
        <v>83</v>
      </c>
      <c r="H1876">
        <v>15</v>
      </c>
    </row>
    <row r="1877" spans="1:8" x14ac:dyDescent="0.3">
      <c r="A1877" t="s">
        <v>190</v>
      </c>
      <c r="B1877">
        <v>2021</v>
      </c>
      <c r="C1877" t="s">
        <v>271</v>
      </c>
      <c r="D1877" t="s">
        <v>300</v>
      </c>
      <c r="E1877" t="s">
        <v>65</v>
      </c>
      <c r="F1877">
        <v>155000</v>
      </c>
      <c r="G1877" t="s">
        <v>83</v>
      </c>
      <c r="H1877">
        <v>1</v>
      </c>
    </row>
    <row r="1878" spans="1:8" x14ac:dyDescent="0.3">
      <c r="A1878" t="s">
        <v>96</v>
      </c>
      <c r="B1878">
        <v>2015</v>
      </c>
      <c r="C1878" t="s">
        <v>271</v>
      </c>
      <c r="D1878" t="s">
        <v>300</v>
      </c>
      <c r="E1878" t="s">
        <v>65</v>
      </c>
      <c r="F1878">
        <v>4600</v>
      </c>
      <c r="G1878" t="s">
        <v>66</v>
      </c>
      <c r="H1878">
        <v>1</v>
      </c>
    </row>
    <row r="1879" spans="1:8" x14ac:dyDescent="0.3">
      <c r="A1879" t="s">
        <v>96</v>
      </c>
      <c r="B1879">
        <v>2016</v>
      </c>
      <c r="C1879" t="s">
        <v>271</v>
      </c>
      <c r="D1879" t="s">
        <v>300</v>
      </c>
      <c r="E1879" t="s">
        <v>65</v>
      </c>
      <c r="F1879">
        <v>4600</v>
      </c>
      <c r="G1879" t="s">
        <v>66</v>
      </c>
      <c r="H1879">
        <v>2</v>
      </c>
    </row>
    <row r="1880" spans="1:8" x14ac:dyDescent="0.3">
      <c r="A1880" t="s">
        <v>96</v>
      </c>
      <c r="B1880">
        <v>2017</v>
      </c>
      <c r="C1880" t="s">
        <v>271</v>
      </c>
      <c r="D1880" t="s">
        <v>300</v>
      </c>
      <c r="E1880" t="s">
        <v>65</v>
      </c>
      <c r="F1880">
        <v>4600</v>
      </c>
      <c r="G1880" t="s">
        <v>66</v>
      </c>
      <c r="H1880">
        <v>1</v>
      </c>
    </row>
    <row r="1881" spans="1:8" x14ac:dyDescent="0.3">
      <c r="A1881" t="s">
        <v>96</v>
      </c>
      <c r="B1881">
        <v>2018</v>
      </c>
      <c r="C1881" t="s">
        <v>271</v>
      </c>
      <c r="D1881" t="s">
        <v>300</v>
      </c>
      <c r="E1881" t="s">
        <v>65</v>
      </c>
      <c r="F1881">
        <v>4600</v>
      </c>
      <c r="G1881" t="s">
        <v>66</v>
      </c>
      <c r="H1881">
        <v>1</v>
      </c>
    </row>
    <row r="1882" spans="1:8" x14ac:dyDescent="0.3">
      <c r="A1882" t="s">
        <v>96</v>
      </c>
      <c r="B1882">
        <v>2019</v>
      </c>
      <c r="C1882" t="s">
        <v>271</v>
      </c>
      <c r="D1882" t="s">
        <v>300</v>
      </c>
      <c r="E1882" t="s">
        <v>65</v>
      </c>
      <c r="F1882">
        <v>4600</v>
      </c>
      <c r="G1882" t="s">
        <v>66</v>
      </c>
      <c r="H1882">
        <v>1</v>
      </c>
    </row>
    <row r="1883" spans="1:8" x14ac:dyDescent="0.3">
      <c r="A1883" t="s">
        <v>96</v>
      </c>
      <c r="B1883">
        <v>2020</v>
      </c>
      <c r="C1883" t="s">
        <v>271</v>
      </c>
      <c r="D1883" t="s">
        <v>300</v>
      </c>
      <c r="E1883" t="s">
        <v>65</v>
      </c>
      <c r="F1883">
        <v>4600</v>
      </c>
      <c r="G1883" t="s">
        <v>66</v>
      </c>
      <c r="H1883">
        <v>2</v>
      </c>
    </row>
    <row r="1884" spans="1:8" x14ac:dyDescent="0.3">
      <c r="A1884" t="s">
        <v>96</v>
      </c>
      <c r="B1884">
        <v>2021</v>
      </c>
      <c r="C1884" t="s">
        <v>271</v>
      </c>
      <c r="D1884" t="s">
        <v>300</v>
      </c>
      <c r="E1884" t="s">
        <v>65</v>
      </c>
      <c r="F1884">
        <v>4600</v>
      </c>
      <c r="G1884" t="s">
        <v>66</v>
      </c>
      <c r="H1884">
        <v>1</v>
      </c>
    </row>
    <row r="1885" spans="1:8" x14ac:dyDescent="0.3">
      <c r="A1885" t="s">
        <v>191</v>
      </c>
      <c r="B1885">
        <v>2015</v>
      </c>
      <c r="C1885" t="s">
        <v>271</v>
      </c>
      <c r="D1885" t="s">
        <v>300</v>
      </c>
      <c r="E1885" t="s">
        <v>65</v>
      </c>
      <c r="F1885">
        <v>5990</v>
      </c>
      <c r="G1885" t="s">
        <v>66</v>
      </c>
      <c r="H1885">
        <v>1</v>
      </c>
    </row>
    <row r="1886" spans="1:8" x14ac:dyDescent="0.3">
      <c r="A1886" t="s">
        <v>192</v>
      </c>
      <c r="B1886">
        <v>2015</v>
      </c>
      <c r="C1886" t="s">
        <v>271</v>
      </c>
      <c r="D1886" t="s">
        <v>300</v>
      </c>
      <c r="E1886" t="s">
        <v>65</v>
      </c>
      <c r="F1886">
        <v>4850</v>
      </c>
      <c r="G1886" t="s">
        <v>66</v>
      </c>
      <c r="H1886">
        <v>1</v>
      </c>
    </row>
    <row r="1887" spans="1:8" x14ac:dyDescent="0.3">
      <c r="A1887" t="s">
        <v>192</v>
      </c>
      <c r="B1887">
        <v>2016</v>
      </c>
      <c r="C1887" t="s">
        <v>271</v>
      </c>
      <c r="D1887" t="s">
        <v>300</v>
      </c>
      <c r="E1887" t="s">
        <v>65</v>
      </c>
      <c r="F1887">
        <v>4850</v>
      </c>
      <c r="G1887" t="s">
        <v>66</v>
      </c>
      <c r="H1887">
        <v>4</v>
      </c>
    </row>
    <row r="1888" spans="1:8" x14ac:dyDescent="0.3">
      <c r="A1888" t="s">
        <v>192</v>
      </c>
      <c r="B1888">
        <v>2017</v>
      </c>
      <c r="C1888" t="s">
        <v>271</v>
      </c>
      <c r="D1888" t="s">
        <v>300</v>
      </c>
      <c r="E1888" t="s">
        <v>65</v>
      </c>
      <c r="F1888">
        <v>4850</v>
      </c>
      <c r="G1888" t="s">
        <v>66</v>
      </c>
      <c r="H1888">
        <v>2</v>
      </c>
    </row>
    <row r="1889" spans="1:8" x14ac:dyDescent="0.3">
      <c r="A1889" t="s">
        <v>192</v>
      </c>
      <c r="B1889">
        <v>2019</v>
      </c>
      <c r="C1889" t="s">
        <v>271</v>
      </c>
      <c r="D1889" t="s">
        <v>300</v>
      </c>
      <c r="E1889" t="s">
        <v>65</v>
      </c>
      <c r="F1889">
        <v>4850</v>
      </c>
      <c r="G1889" t="s">
        <v>66</v>
      </c>
      <c r="H1889">
        <v>3</v>
      </c>
    </row>
    <row r="1890" spans="1:8" x14ac:dyDescent="0.3">
      <c r="A1890" t="s">
        <v>192</v>
      </c>
      <c r="B1890">
        <v>2020</v>
      </c>
      <c r="C1890" t="s">
        <v>271</v>
      </c>
      <c r="D1890" t="s">
        <v>300</v>
      </c>
      <c r="E1890" t="s">
        <v>65</v>
      </c>
      <c r="F1890">
        <v>4850</v>
      </c>
      <c r="G1890" t="s">
        <v>66</v>
      </c>
      <c r="H1890">
        <v>6</v>
      </c>
    </row>
    <row r="1891" spans="1:8" x14ac:dyDescent="0.3">
      <c r="A1891" t="s">
        <v>192</v>
      </c>
      <c r="B1891">
        <v>2021</v>
      </c>
      <c r="C1891" t="s">
        <v>271</v>
      </c>
      <c r="D1891" t="s">
        <v>300</v>
      </c>
      <c r="E1891" t="s">
        <v>65</v>
      </c>
      <c r="F1891">
        <v>4850</v>
      </c>
      <c r="G1891" t="s">
        <v>66</v>
      </c>
      <c r="H1891">
        <v>1</v>
      </c>
    </row>
    <row r="1892" spans="1:8" x14ac:dyDescent="0.3">
      <c r="A1892" t="s">
        <v>97</v>
      </c>
      <c r="B1892">
        <v>2014</v>
      </c>
      <c r="C1892" t="s">
        <v>271</v>
      </c>
      <c r="D1892" t="s">
        <v>300</v>
      </c>
      <c r="E1892" t="s">
        <v>65</v>
      </c>
      <c r="F1892">
        <v>5974</v>
      </c>
      <c r="G1892" t="s">
        <v>66</v>
      </c>
      <c r="H1892">
        <v>1</v>
      </c>
    </row>
    <row r="1893" spans="1:8" x14ac:dyDescent="0.3">
      <c r="A1893" t="s">
        <v>97</v>
      </c>
      <c r="B1893">
        <v>2015</v>
      </c>
      <c r="C1893" t="s">
        <v>271</v>
      </c>
      <c r="D1893" t="s">
        <v>300</v>
      </c>
      <c r="E1893" t="s">
        <v>65</v>
      </c>
      <c r="F1893">
        <v>5974</v>
      </c>
      <c r="G1893" t="s">
        <v>66</v>
      </c>
      <c r="H1893">
        <v>3</v>
      </c>
    </row>
    <row r="1894" spans="1:8" x14ac:dyDescent="0.3">
      <c r="A1894" t="s">
        <v>97</v>
      </c>
      <c r="B1894">
        <v>2019</v>
      </c>
      <c r="C1894" t="s">
        <v>271</v>
      </c>
      <c r="D1894" t="s">
        <v>300</v>
      </c>
      <c r="E1894" t="s">
        <v>65</v>
      </c>
      <c r="F1894">
        <v>5974</v>
      </c>
      <c r="G1894" t="s">
        <v>66</v>
      </c>
      <c r="H1894">
        <v>5</v>
      </c>
    </row>
    <row r="1895" spans="1:8" x14ac:dyDescent="0.3">
      <c r="A1895" t="s">
        <v>98</v>
      </c>
      <c r="B1895">
        <v>2017</v>
      </c>
      <c r="C1895" t="s">
        <v>271</v>
      </c>
      <c r="D1895" t="s">
        <v>300</v>
      </c>
      <c r="E1895" t="s">
        <v>65</v>
      </c>
      <c r="F1895">
        <v>6850</v>
      </c>
      <c r="G1895" t="s">
        <v>66</v>
      </c>
      <c r="H1895">
        <v>1</v>
      </c>
    </row>
    <row r="1896" spans="1:8" x14ac:dyDescent="0.3">
      <c r="A1896" t="s">
        <v>98</v>
      </c>
      <c r="B1896">
        <v>2018</v>
      </c>
      <c r="C1896" t="s">
        <v>271</v>
      </c>
      <c r="D1896" t="s">
        <v>300</v>
      </c>
      <c r="E1896" t="s">
        <v>65</v>
      </c>
      <c r="F1896">
        <v>6850</v>
      </c>
      <c r="G1896" t="s">
        <v>66</v>
      </c>
      <c r="H1896">
        <v>1</v>
      </c>
    </row>
    <row r="1897" spans="1:8" x14ac:dyDescent="0.3">
      <c r="A1897" t="s">
        <v>100</v>
      </c>
      <c r="B1897">
        <v>2014</v>
      </c>
      <c r="C1897" t="s">
        <v>271</v>
      </c>
      <c r="D1897" t="s">
        <v>300</v>
      </c>
      <c r="E1897" t="s">
        <v>65</v>
      </c>
      <c r="F1897">
        <v>6750</v>
      </c>
      <c r="G1897" t="s">
        <v>66</v>
      </c>
      <c r="H1897">
        <v>1</v>
      </c>
    </row>
    <row r="1898" spans="1:8" x14ac:dyDescent="0.3">
      <c r="A1898" t="s">
        <v>100</v>
      </c>
      <c r="B1898">
        <v>2015</v>
      </c>
      <c r="C1898" t="s">
        <v>271</v>
      </c>
      <c r="D1898" t="s">
        <v>300</v>
      </c>
      <c r="E1898" t="s">
        <v>65</v>
      </c>
      <c r="F1898">
        <v>6750</v>
      </c>
      <c r="G1898" t="s">
        <v>66</v>
      </c>
      <c r="H1898">
        <v>3</v>
      </c>
    </row>
    <row r="1899" spans="1:8" x14ac:dyDescent="0.3">
      <c r="A1899" t="s">
        <v>100</v>
      </c>
      <c r="B1899">
        <v>2016</v>
      </c>
      <c r="C1899" t="s">
        <v>271</v>
      </c>
      <c r="D1899" t="s">
        <v>300</v>
      </c>
      <c r="E1899" t="s">
        <v>65</v>
      </c>
      <c r="F1899">
        <v>6750</v>
      </c>
      <c r="G1899" t="s">
        <v>66</v>
      </c>
      <c r="H1899">
        <v>1</v>
      </c>
    </row>
    <row r="1900" spans="1:8" x14ac:dyDescent="0.3">
      <c r="A1900" t="s">
        <v>100</v>
      </c>
      <c r="B1900">
        <v>2017</v>
      </c>
      <c r="C1900" t="s">
        <v>271</v>
      </c>
      <c r="D1900" t="s">
        <v>300</v>
      </c>
      <c r="E1900" t="s">
        <v>65</v>
      </c>
      <c r="F1900">
        <v>6750</v>
      </c>
      <c r="G1900" t="s">
        <v>66</v>
      </c>
      <c r="H1900">
        <v>1</v>
      </c>
    </row>
    <row r="1901" spans="1:8" x14ac:dyDescent="0.3">
      <c r="A1901" t="s">
        <v>100</v>
      </c>
      <c r="B1901">
        <v>2018</v>
      </c>
      <c r="C1901" t="s">
        <v>271</v>
      </c>
      <c r="D1901" t="s">
        <v>300</v>
      </c>
      <c r="E1901" t="s">
        <v>65</v>
      </c>
      <c r="F1901">
        <v>6750</v>
      </c>
      <c r="G1901" t="s">
        <v>66</v>
      </c>
      <c r="H1901">
        <v>1</v>
      </c>
    </row>
    <row r="1902" spans="1:8" x14ac:dyDescent="0.3">
      <c r="A1902" t="s">
        <v>100</v>
      </c>
      <c r="B1902">
        <v>2019</v>
      </c>
      <c r="C1902" t="s">
        <v>271</v>
      </c>
      <c r="D1902" t="s">
        <v>300</v>
      </c>
      <c r="E1902" t="s">
        <v>65</v>
      </c>
      <c r="F1902">
        <v>6750</v>
      </c>
      <c r="G1902" t="s">
        <v>66</v>
      </c>
      <c r="H1902">
        <v>1</v>
      </c>
    </row>
    <row r="1903" spans="1:8" x14ac:dyDescent="0.3">
      <c r="A1903" t="s">
        <v>100</v>
      </c>
      <c r="B1903">
        <v>2021</v>
      </c>
      <c r="C1903" t="s">
        <v>271</v>
      </c>
      <c r="D1903" t="s">
        <v>300</v>
      </c>
      <c r="E1903" t="s">
        <v>65</v>
      </c>
      <c r="F1903">
        <v>6750</v>
      </c>
      <c r="G1903" t="s">
        <v>66</v>
      </c>
      <c r="H1903">
        <v>1</v>
      </c>
    </row>
    <row r="1904" spans="1:8" x14ac:dyDescent="0.3">
      <c r="A1904" t="s">
        <v>101</v>
      </c>
      <c r="B1904">
        <v>2014</v>
      </c>
      <c r="C1904" t="s">
        <v>271</v>
      </c>
      <c r="D1904" t="s">
        <v>300</v>
      </c>
      <c r="E1904" t="s">
        <v>65</v>
      </c>
      <c r="F1904">
        <v>7450</v>
      </c>
      <c r="G1904" t="s">
        <v>66</v>
      </c>
      <c r="H1904">
        <v>1</v>
      </c>
    </row>
    <row r="1905" spans="1:8" x14ac:dyDescent="0.3">
      <c r="A1905" t="s">
        <v>101</v>
      </c>
      <c r="B1905">
        <v>2015</v>
      </c>
      <c r="C1905" t="s">
        <v>271</v>
      </c>
      <c r="D1905" t="s">
        <v>300</v>
      </c>
      <c r="E1905" t="s">
        <v>65</v>
      </c>
      <c r="F1905">
        <v>7450</v>
      </c>
      <c r="G1905" t="s">
        <v>66</v>
      </c>
      <c r="H1905">
        <v>3</v>
      </c>
    </row>
    <row r="1906" spans="1:8" x14ac:dyDescent="0.3">
      <c r="A1906" t="s">
        <v>102</v>
      </c>
      <c r="B1906">
        <v>2015</v>
      </c>
      <c r="C1906" t="s">
        <v>271</v>
      </c>
      <c r="D1906" t="s">
        <v>300</v>
      </c>
      <c r="E1906" t="s">
        <v>65</v>
      </c>
      <c r="F1906">
        <v>9850</v>
      </c>
      <c r="G1906" t="s">
        <v>66</v>
      </c>
      <c r="H1906">
        <v>1</v>
      </c>
    </row>
    <row r="1907" spans="1:8" x14ac:dyDescent="0.3">
      <c r="A1907" t="s">
        <v>102</v>
      </c>
      <c r="B1907">
        <v>2016</v>
      </c>
      <c r="C1907" t="s">
        <v>271</v>
      </c>
      <c r="D1907" t="s">
        <v>300</v>
      </c>
      <c r="E1907" t="s">
        <v>65</v>
      </c>
      <c r="F1907">
        <v>9850</v>
      </c>
      <c r="G1907" t="s">
        <v>66</v>
      </c>
      <c r="H1907">
        <v>1</v>
      </c>
    </row>
    <row r="1908" spans="1:8" x14ac:dyDescent="0.3">
      <c r="A1908" t="s">
        <v>102</v>
      </c>
      <c r="B1908">
        <v>2020</v>
      </c>
      <c r="C1908" t="s">
        <v>271</v>
      </c>
      <c r="D1908" t="s">
        <v>300</v>
      </c>
      <c r="E1908" t="s">
        <v>65</v>
      </c>
      <c r="F1908">
        <v>9850</v>
      </c>
      <c r="G1908" t="s">
        <v>66</v>
      </c>
      <c r="H1908">
        <v>2</v>
      </c>
    </row>
    <row r="1909" spans="1:8" x14ac:dyDescent="0.3">
      <c r="A1909" t="s">
        <v>195</v>
      </c>
      <c r="B1909">
        <v>2017</v>
      </c>
      <c r="C1909" t="s">
        <v>271</v>
      </c>
      <c r="D1909" t="s">
        <v>300</v>
      </c>
      <c r="E1909" t="s">
        <v>65</v>
      </c>
      <c r="F1909">
        <v>13227</v>
      </c>
      <c r="G1909" t="s">
        <v>66</v>
      </c>
      <c r="H1909">
        <v>1</v>
      </c>
    </row>
    <row r="1910" spans="1:8" x14ac:dyDescent="0.3">
      <c r="A1910" t="s">
        <v>195</v>
      </c>
      <c r="B1910">
        <v>2020</v>
      </c>
      <c r="C1910" t="s">
        <v>271</v>
      </c>
      <c r="D1910" t="s">
        <v>300</v>
      </c>
      <c r="E1910" t="s">
        <v>65</v>
      </c>
      <c r="F1910">
        <v>13227</v>
      </c>
      <c r="G1910" t="s">
        <v>66</v>
      </c>
      <c r="H1910">
        <v>2</v>
      </c>
    </row>
    <row r="1911" spans="1:8" x14ac:dyDescent="0.3">
      <c r="A1911" t="s">
        <v>196</v>
      </c>
      <c r="B1911">
        <v>2017</v>
      </c>
      <c r="C1911" t="s">
        <v>271</v>
      </c>
      <c r="D1911" t="s">
        <v>300</v>
      </c>
      <c r="E1911" t="s">
        <v>65</v>
      </c>
      <c r="F1911">
        <v>7716</v>
      </c>
      <c r="G1911" t="s">
        <v>66</v>
      </c>
      <c r="H1911">
        <v>1</v>
      </c>
    </row>
    <row r="1912" spans="1:8" x14ac:dyDescent="0.3">
      <c r="A1912" t="s">
        <v>196</v>
      </c>
      <c r="B1912">
        <v>2020</v>
      </c>
      <c r="C1912" t="s">
        <v>271</v>
      </c>
      <c r="D1912" t="s">
        <v>300</v>
      </c>
      <c r="E1912" t="s">
        <v>65</v>
      </c>
      <c r="F1912">
        <v>7716</v>
      </c>
      <c r="G1912" t="s">
        <v>66</v>
      </c>
      <c r="H1912">
        <v>1</v>
      </c>
    </row>
    <row r="1913" spans="1:8" x14ac:dyDescent="0.3">
      <c r="A1913" t="s">
        <v>103</v>
      </c>
      <c r="B1913">
        <v>2014</v>
      </c>
      <c r="C1913" t="s">
        <v>271</v>
      </c>
      <c r="D1913" t="s">
        <v>300</v>
      </c>
      <c r="E1913" t="s">
        <v>65</v>
      </c>
      <c r="F1913">
        <v>10700</v>
      </c>
      <c r="G1913" t="s">
        <v>66</v>
      </c>
      <c r="H1913">
        <v>3</v>
      </c>
    </row>
    <row r="1914" spans="1:8" x14ac:dyDescent="0.3">
      <c r="A1914" t="s">
        <v>103</v>
      </c>
      <c r="B1914">
        <v>2016</v>
      </c>
      <c r="C1914" t="s">
        <v>271</v>
      </c>
      <c r="D1914" t="s">
        <v>300</v>
      </c>
      <c r="E1914" t="s">
        <v>65</v>
      </c>
      <c r="F1914">
        <v>10700</v>
      </c>
      <c r="G1914" t="s">
        <v>66</v>
      </c>
      <c r="H1914">
        <v>2</v>
      </c>
    </row>
    <row r="1915" spans="1:8" x14ac:dyDescent="0.3">
      <c r="A1915" t="s">
        <v>103</v>
      </c>
      <c r="B1915">
        <v>2019</v>
      </c>
      <c r="C1915" t="s">
        <v>271</v>
      </c>
      <c r="D1915" t="s">
        <v>300</v>
      </c>
      <c r="E1915" t="s">
        <v>65</v>
      </c>
      <c r="F1915">
        <v>10700</v>
      </c>
      <c r="G1915" t="s">
        <v>66</v>
      </c>
      <c r="H1915">
        <v>3</v>
      </c>
    </row>
    <row r="1916" spans="1:8" x14ac:dyDescent="0.3">
      <c r="A1916" t="s">
        <v>103</v>
      </c>
      <c r="B1916">
        <v>2020</v>
      </c>
      <c r="C1916" t="s">
        <v>271</v>
      </c>
      <c r="D1916" t="s">
        <v>300</v>
      </c>
      <c r="E1916" t="s">
        <v>65</v>
      </c>
      <c r="F1916">
        <v>10700</v>
      </c>
      <c r="G1916" t="s">
        <v>66</v>
      </c>
      <c r="H1916">
        <v>3</v>
      </c>
    </row>
    <row r="1917" spans="1:8" x14ac:dyDescent="0.3">
      <c r="A1917" t="s">
        <v>104</v>
      </c>
      <c r="B1917">
        <v>2014</v>
      </c>
      <c r="C1917" t="s">
        <v>271</v>
      </c>
      <c r="D1917" t="s">
        <v>300</v>
      </c>
      <c r="E1917" t="s">
        <v>65</v>
      </c>
      <c r="F1917">
        <v>14800</v>
      </c>
      <c r="G1917" t="s">
        <v>66</v>
      </c>
      <c r="H1917">
        <v>5</v>
      </c>
    </row>
    <row r="1918" spans="1:8" x14ac:dyDescent="0.3">
      <c r="A1918" t="s">
        <v>104</v>
      </c>
      <c r="B1918">
        <v>2015</v>
      </c>
      <c r="C1918" t="s">
        <v>271</v>
      </c>
      <c r="D1918" t="s">
        <v>300</v>
      </c>
      <c r="E1918" t="s">
        <v>65</v>
      </c>
      <c r="F1918">
        <v>14800</v>
      </c>
      <c r="G1918" t="s">
        <v>66</v>
      </c>
      <c r="H1918">
        <v>8</v>
      </c>
    </row>
    <row r="1919" spans="1:8" x14ac:dyDescent="0.3">
      <c r="A1919" t="s">
        <v>104</v>
      </c>
      <c r="B1919">
        <v>2016</v>
      </c>
      <c r="C1919" t="s">
        <v>271</v>
      </c>
      <c r="D1919" t="s">
        <v>300</v>
      </c>
      <c r="E1919" t="s">
        <v>65</v>
      </c>
      <c r="F1919">
        <v>14800</v>
      </c>
      <c r="G1919" t="s">
        <v>66</v>
      </c>
      <c r="H1919">
        <v>7</v>
      </c>
    </row>
    <row r="1920" spans="1:8" x14ac:dyDescent="0.3">
      <c r="A1920" t="s">
        <v>104</v>
      </c>
      <c r="B1920">
        <v>2017</v>
      </c>
      <c r="C1920" t="s">
        <v>271</v>
      </c>
      <c r="D1920" t="s">
        <v>300</v>
      </c>
      <c r="E1920" t="s">
        <v>65</v>
      </c>
      <c r="F1920">
        <v>14800</v>
      </c>
      <c r="G1920" t="s">
        <v>66</v>
      </c>
      <c r="H1920">
        <v>6</v>
      </c>
    </row>
    <row r="1921" spans="1:8" x14ac:dyDescent="0.3">
      <c r="A1921" t="s">
        <v>104</v>
      </c>
      <c r="B1921">
        <v>2018</v>
      </c>
      <c r="C1921" t="s">
        <v>271</v>
      </c>
      <c r="D1921" t="s">
        <v>300</v>
      </c>
      <c r="E1921" t="s">
        <v>65</v>
      </c>
      <c r="F1921">
        <v>14800</v>
      </c>
      <c r="G1921" t="s">
        <v>66</v>
      </c>
      <c r="H1921">
        <v>3</v>
      </c>
    </row>
    <row r="1922" spans="1:8" x14ac:dyDescent="0.3">
      <c r="A1922" t="s">
        <v>104</v>
      </c>
      <c r="B1922">
        <v>2019</v>
      </c>
      <c r="C1922" t="s">
        <v>271</v>
      </c>
      <c r="D1922" t="s">
        <v>300</v>
      </c>
      <c r="E1922" t="s">
        <v>65</v>
      </c>
      <c r="F1922">
        <v>14800</v>
      </c>
      <c r="G1922" t="s">
        <v>66</v>
      </c>
      <c r="H1922">
        <v>8</v>
      </c>
    </row>
    <row r="1923" spans="1:8" x14ac:dyDescent="0.3">
      <c r="A1923" t="s">
        <v>104</v>
      </c>
      <c r="B1923">
        <v>2020</v>
      </c>
      <c r="C1923" t="s">
        <v>271</v>
      </c>
      <c r="D1923" t="s">
        <v>300</v>
      </c>
      <c r="E1923" t="s">
        <v>65</v>
      </c>
      <c r="F1923">
        <v>14800</v>
      </c>
      <c r="G1923" t="s">
        <v>66</v>
      </c>
      <c r="H1923">
        <v>13</v>
      </c>
    </row>
    <row r="1924" spans="1:8" x14ac:dyDescent="0.3">
      <c r="A1924" t="s">
        <v>104</v>
      </c>
      <c r="B1924">
        <v>2021</v>
      </c>
      <c r="C1924" t="s">
        <v>271</v>
      </c>
      <c r="D1924" t="s">
        <v>300</v>
      </c>
      <c r="E1924" t="s">
        <v>65</v>
      </c>
      <c r="F1924">
        <v>14800</v>
      </c>
      <c r="G1924" t="s">
        <v>66</v>
      </c>
      <c r="H1924">
        <v>3</v>
      </c>
    </row>
    <row r="1925" spans="1:8" x14ac:dyDescent="0.3">
      <c r="A1925" t="s">
        <v>197</v>
      </c>
      <c r="B1925">
        <v>2020</v>
      </c>
      <c r="C1925" t="s">
        <v>271</v>
      </c>
      <c r="D1925" t="s">
        <v>300</v>
      </c>
      <c r="E1925" t="s">
        <v>65</v>
      </c>
      <c r="F1925">
        <v>42300</v>
      </c>
      <c r="G1925" t="s">
        <v>66</v>
      </c>
      <c r="H1925">
        <v>1</v>
      </c>
    </row>
    <row r="1926" spans="1:8" x14ac:dyDescent="0.3">
      <c r="A1926" t="s">
        <v>105</v>
      </c>
      <c r="B1926">
        <v>2014</v>
      </c>
      <c r="C1926" t="s">
        <v>271</v>
      </c>
      <c r="D1926" t="s">
        <v>300</v>
      </c>
      <c r="E1926" t="s">
        <v>65</v>
      </c>
      <c r="F1926">
        <v>16300</v>
      </c>
      <c r="G1926" t="s">
        <v>66</v>
      </c>
      <c r="H1926">
        <v>5</v>
      </c>
    </row>
    <row r="1927" spans="1:8" x14ac:dyDescent="0.3">
      <c r="A1927" t="s">
        <v>105</v>
      </c>
      <c r="B1927">
        <v>2015</v>
      </c>
      <c r="C1927" t="s">
        <v>271</v>
      </c>
      <c r="D1927" t="s">
        <v>300</v>
      </c>
      <c r="E1927" t="s">
        <v>65</v>
      </c>
      <c r="F1927">
        <v>16300</v>
      </c>
      <c r="G1927" t="s">
        <v>66</v>
      </c>
      <c r="H1927">
        <v>7</v>
      </c>
    </row>
    <row r="1928" spans="1:8" x14ac:dyDescent="0.3">
      <c r="A1928" t="s">
        <v>105</v>
      </c>
      <c r="B1928">
        <v>2016</v>
      </c>
      <c r="C1928" t="s">
        <v>271</v>
      </c>
      <c r="D1928" t="s">
        <v>300</v>
      </c>
      <c r="E1928" t="s">
        <v>65</v>
      </c>
      <c r="F1928">
        <v>16300</v>
      </c>
      <c r="G1928" t="s">
        <v>66</v>
      </c>
      <c r="H1928">
        <v>4</v>
      </c>
    </row>
    <row r="1929" spans="1:8" x14ac:dyDescent="0.3">
      <c r="A1929" t="s">
        <v>105</v>
      </c>
      <c r="B1929">
        <v>2017</v>
      </c>
      <c r="C1929" t="s">
        <v>271</v>
      </c>
      <c r="D1929" t="s">
        <v>300</v>
      </c>
      <c r="E1929" t="s">
        <v>65</v>
      </c>
      <c r="F1929">
        <v>16300</v>
      </c>
      <c r="G1929" t="s">
        <v>66</v>
      </c>
      <c r="H1929">
        <v>3</v>
      </c>
    </row>
    <row r="1930" spans="1:8" x14ac:dyDescent="0.3">
      <c r="A1930" t="s">
        <v>105</v>
      </c>
      <c r="B1930">
        <v>2018</v>
      </c>
      <c r="C1930" t="s">
        <v>271</v>
      </c>
      <c r="D1930" t="s">
        <v>300</v>
      </c>
      <c r="E1930" t="s">
        <v>65</v>
      </c>
      <c r="F1930">
        <v>16300</v>
      </c>
      <c r="G1930" t="s">
        <v>66</v>
      </c>
      <c r="H1930">
        <v>3</v>
      </c>
    </row>
    <row r="1931" spans="1:8" x14ac:dyDescent="0.3">
      <c r="A1931" t="s">
        <v>105</v>
      </c>
      <c r="B1931">
        <v>2019</v>
      </c>
      <c r="C1931" t="s">
        <v>271</v>
      </c>
      <c r="D1931" t="s">
        <v>300</v>
      </c>
      <c r="E1931" t="s">
        <v>65</v>
      </c>
      <c r="F1931">
        <v>16300</v>
      </c>
      <c r="G1931" t="s">
        <v>66</v>
      </c>
      <c r="H1931">
        <v>1</v>
      </c>
    </row>
    <row r="1932" spans="1:8" x14ac:dyDescent="0.3">
      <c r="A1932" t="s">
        <v>105</v>
      </c>
      <c r="B1932">
        <v>2020</v>
      </c>
      <c r="C1932" t="s">
        <v>271</v>
      </c>
      <c r="D1932" t="s">
        <v>300</v>
      </c>
      <c r="E1932" t="s">
        <v>65</v>
      </c>
      <c r="F1932">
        <v>16300</v>
      </c>
      <c r="G1932" t="s">
        <v>66</v>
      </c>
      <c r="H1932">
        <v>6</v>
      </c>
    </row>
    <row r="1933" spans="1:8" x14ac:dyDescent="0.3">
      <c r="A1933" t="s">
        <v>105</v>
      </c>
      <c r="B1933">
        <v>2021</v>
      </c>
      <c r="C1933" t="s">
        <v>271</v>
      </c>
      <c r="D1933" t="s">
        <v>300</v>
      </c>
      <c r="E1933" t="s">
        <v>65</v>
      </c>
      <c r="F1933">
        <v>16300</v>
      </c>
      <c r="G1933" t="s">
        <v>66</v>
      </c>
      <c r="H1933">
        <v>1</v>
      </c>
    </row>
    <row r="1934" spans="1:8" x14ac:dyDescent="0.3">
      <c r="A1934" t="s">
        <v>106</v>
      </c>
      <c r="B1934">
        <v>2014</v>
      </c>
      <c r="C1934" t="s">
        <v>271</v>
      </c>
      <c r="D1934" t="s">
        <v>300</v>
      </c>
      <c r="E1934" t="s">
        <v>65</v>
      </c>
      <c r="F1934">
        <v>15000</v>
      </c>
      <c r="G1934" t="s">
        <v>66</v>
      </c>
      <c r="H1934">
        <v>1</v>
      </c>
    </row>
    <row r="1935" spans="1:8" x14ac:dyDescent="0.3">
      <c r="A1935" t="s">
        <v>106</v>
      </c>
      <c r="B1935">
        <v>2015</v>
      </c>
      <c r="C1935" t="s">
        <v>271</v>
      </c>
      <c r="D1935" t="s">
        <v>300</v>
      </c>
      <c r="E1935" t="s">
        <v>65</v>
      </c>
      <c r="F1935">
        <v>15000</v>
      </c>
      <c r="G1935" t="s">
        <v>66</v>
      </c>
      <c r="H1935">
        <v>1</v>
      </c>
    </row>
    <row r="1936" spans="1:8" x14ac:dyDescent="0.3">
      <c r="A1936" t="s">
        <v>106</v>
      </c>
      <c r="B1936">
        <v>2018</v>
      </c>
      <c r="C1936" t="s">
        <v>271</v>
      </c>
      <c r="D1936" t="s">
        <v>300</v>
      </c>
      <c r="E1936" t="s">
        <v>65</v>
      </c>
      <c r="F1936">
        <v>15000</v>
      </c>
      <c r="G1936" t="s">
        <v>66</v>
      </c>
      <c r="H1936">
        <v>1</v>
      </c>
    </row>
    <row r="1937" spans="1:8" x14ac:dyDescent="0.3">
      <c r="A1937" t="s">
        <v>106</v>
      </c>
      <c r="B1937">
        <v>2019</v>
      </c>
      <c r="C1937" t="s">
        <v>271</v>
      </c>
      <c r="D1937" t="s">
        <v>300</v>
      </c>
      <c r="E1937" t="s">
        <v>65</v>
      </c>
      <c r="F1937">
        <v>15000</v>
      </c>
      <c r="G1937" t="s">
        <v>66</v>
      </c>
      <c r="H1937">
        <v>6</v>
      </c>
    </row>
    <row r="1938" spans="1:8" x14ac:dyDescent="0.3">
      <c r="A1938" t="s">
        <v>106</v>
      </c>
      <c r="B1938">
        <v>2020</v>
      </c>
      <c r="C1938" t="s">
        <v>271</v>
      </c>
      <c r="D1938" t="s">
        <v>300</v>
      </c>
      <c r="E1938" t="s">
        <v>65</v>
      </c>
      <c r="F1938">
        <v>15000</v>
      </c>
      <c r="G1938" t="s">
        <v>66</v>
      </c>
      <c r="H1938">
        <v>3</v>
      </c>
    </row>
    <row r="1939" spans="1:8" x14ac:dyDescent="0.3">
      <c r="A1939" t="s">
        <v>107</v>
      </c>
      <c r="B1939">
        <v>2018</v>
      </c>
      <c r="C1939" t="s">
        <v>271</v>
      </c>
      <c r="D1939" t="s">
        <v>300</v>
      </c>
      <c r="E1939" t="s">
        <v>65</v>
      </c>
      <c r="F1939">
        <v>22002</v>
      </c>
      <c r="G1939" t="s">
        <v>72</v>
      </c>
      <c r="H1939">
        <v>1</v>
      </c>
    </row>
    <row r="1940" spans="1:8" x14ac:dyDescent="0.3">
      <c r="A1940" t="s">
        <v>198</v>
      </c>
      <c r="B1940">
        <v>2014</v>
      </c>
      <c r="C1940" t="s">
        <v>271</v>
      </c>
      <c r="D1940" t="s">
        <v>300</v>
      </c>
      <c r="E1940" t="s">
        <v>65</v>
      </c>
      <c r="F1940">
        <v>30000</v>
      </c>
      <c r="G1940" t="s">
        <v>72</v>
      </c>
      <c r="H1940">
        <v>1</v>
      </c>
    </row>
    <row r="1941" spans="1:8" x14ac:dyDescent="0.3">
      <c r="A1941" t="s">
        <v>198</v>
      </c>
      <c r="B1941">
        <v>2016</v>
      </c>
      <c r="C1941" t="s">
        <v>271</v>
      </c>
      <c r="D1941" t="s">
        <v>300</v>
      </c>
      <c r="E1941" t="s">
        <v>65</v>
      </c>
      <c r="F1941">
        <v>30000</v>
      </c>
      <c r="G1941" t="s">
        <v>72</v>
      </c>
      <c r="H1941">
        <v>9</v>
      </c>
    </row>
    <row r="1942" spans="1:8" x14ac:dyDescent="0.3">
      <c r="A1942" t="s">
        <v>198</v>
      </c>
      <c r="B1942">
        <v>2017</v>
      </c>
      <c r="C1942" t="s">
        <v>271</v>
      </c>
      <c r="D1942" t="s">
        <v>300</v>
      </c>
      <c r="E1942" t="s">
        <v>65</v>
      </c>
      <c r="F1942">
        <v>30000</v>
      </c>
      <c r="G1942" t="s">
        <v>72</v>
      </c>
      <c r="H1942">
        <v>1</v>
      </c>
    </row>
    <row r="1943" spans="1:8" x14ac:dyDescent="0.3">
      <c r="A1943" t="s">
        <v>198</v>
      </c>
      <c r="B1943">
        <v>2018</v>
      </c>
      <c r="C1943" t="s">
        <v>271</v>
      </c>
      <c r="D1943" t="s">
        <v>300</v>
      </c>
      <c r="E1943" t="s">
        <v>65</v>
      </c>
      <c r="F1943">
        <v>30000</v>
      </c>
      <c r="G1943" t="s">
        <v>72</v>
      </c>
      <c r="H1943">
        <v>1</v>
      </c>
    </row>
    <row r="1944" spans="1:8" x14ac:dyDescent="0.3">
      <c r="A1944" t="s">
        <v>198</v>
      </c>
      <c r="B1944">
        <v>2019</v>
      </c>
      <c r="C1944" t="s">
        <v>271</v>
      </c>
      <c r="D1944" t="s">
        <v>300</v>
      </c>
      <c r="E1944" t="s">
        <v>65</v>
      </c>
      <c r="F1944">
        <v>30000</v>
      </c>
      <c r="G1944" t="s">
        <v>72</v>
      </c>
      <c r="H1944">
        <v>1</v>
      </c>
    </row>
    <row r="1945" spans="1:8" x14ac:dyDescent="0.3">
      <c r="A1945" t="s">
        <v>198</v>
      </c>
      <c r="B1945">
        <v>2020</v>
      </c>
      <c r="C1945" t="s">
        <v>271</v>
      </c>
      <c r="D1945" t="s">
        <v>300</v>
      </c>
      <c r="E1945" t="s">
        <v>65</v>
      </c>
      <c r="F1945">
        <v>30000</v>
      </c>
      <c r="G1945" t="s">
        <v>72</v>
      </c>
      <c r="H1945">
        <v>2</v>
      </c>
    </row>
    <row r="1946" spans="1:8" x14ac:dyDescent="0.3">
      <c r="A1946" t="s">
        <v>200</v>
      </c>
      <c r="B1946">
        <v>2015</v>
      </c>
      <c r="C1946" t="s">
        <v>271</v>
      </c>
      <c r="D1946" t="s">
        <v>300</v>
      </c>
      <c r="E1946" t="s">
        <v>65</v>
      </c>
      <c r="F1946">
        <v>35699</v>
      </c>
      <c r="G1946" t="s">
        <v>66</v>
      </c>
      <c r="H1946">
        <v>1</v>
      </c>
    </row>
    <row r="1947" spans="1:8" x14ac:dyDescent="0.3">
      <c r="A1947" t="s">
        <v>200</v>
      </c>
      <c r="B1947">
        <v>2016</v>
      </c>
      <c r="C1947" t="s">
        <v>271</v>
      </c>
      <c r="D1947" t="s">
        <v>300</v>
      </c>
      <c r="E1947" t="s">
        <v>65</v>
      </c>
      <c r="F1947">
        <v>35699</v>
      </c>
      <c r="G1947" t="s">
        <v>66</v>
      </c>
      <c r="H1947">
        <v>1</v>
      </c>
    </row>
    <row r="1948" spans="1:8" x14ac:dyDescent="0.3">
      <c r="A1948" t="s">
        <v>200</v>
      </c>
      <c r="B1948">
        <v>2017</v>
      </c>
      <c r="C1948" t="s">
        <v>271</v>
      </c>
      <c r="D1948" t="s">
        <v>300</v>
      </c>
      <c r="E1948" t="s">
        <v>65</v>
      </c>
      <c r="F1948">
        <v>35699</v>
      </c>
      <c r="G1948" t="s">
        <v>66</v>
      </c>
      <c r="H1948">
        <v>1</v>
      </c>
    </row>
    <row r="1949" spans="1:8" x14ac:dyDescent="0.3">
      <c r="A1949" t="s">
        <v>200</v>
      </c>
      <c r="B1949">
        <v>2018</v>
      </c>
      <c r="C1949" t="s">
        <v>271</v>
      </c>
      <c r="D1949" t="s">
        <v>300</v>
      </c>
      <c r="E1949" t="s">
        <v>65</v>
      </c>
      <c r="F1949">
        <v>35699</v>
      </c>
      <c r="G1949" t="s">
        <v>66</v>
      </c>
      <c r="H1949">
        <v>3</v>
      </c>
    </row>
    <row r="1950" spans="1:8" x14ac:dyDescent="0.3">
      <c r="A1950" t="s">
        <v>200</v>
      </c>
      <c r="B1950">
        <v>2019</v>
      </c>
      <c r="C1950" t="s">
        <v>271</v>
      </c>
      <c r="D1950" t="s">
        <v>300</v>
      </c>
      <c r="E1950" t="s">
        <v>65</v>
      </c>
      <c r="F1950">
        <v>35699</v>
      </c>
      <c r="G1950" t="s">
        <v>66</v>
      </c>
      <c r="H1950">
        <v>3</v>
      </c>
    </row>
    <row r="1951" spans="1:8" x14ac:dyDescent="0.3">
      <c r="A1951" t="s">
        <v>200</v>
      </c>
      <c r="B1951">
        <v>2020</v>
      </c>
      <c r="C1951" t="s">
        <v>271</v>
      </c>
      <c r="D1951" t="s">
        <v>300</v>
      </c>
      <c r="E1951" t="s">
        <v>65</v>
      </c>
      <c r="F1951">
        <v>35699</v>
      </c>
      <c r="G1951" t="s">
        <v>66</v>
      </c>
      <c r="H1951">
        <v>4</v>
      </c>
    </row>
    <row r="1952" spans="1:8" x14ac:dyDescent="0.3">
      <c r="A1952" t="s">
        <v>200</v>
      </c>
      <c r="B1952">
        <v>2021</v>
      </c>
      <c r="C1952" t="s">
        <v>271</v>
      </c>
      <c r="D1952" t="s">
        <v>300</v>
      </c>
      <c r="E1952" t="s">
        <v>65</v>
      </c>
      <c r="F1952">
        <v>35699</v>
      </c>
      <c r="G1952" t="s">
        <v>66</v>
      </c>
      <c r="H1952">
        <v>1</v>
      </c>
    </row>
    <row r="1953" spans="1:8" x14ac:dyDescent="0.3">
      <c r="A1953" t="s">
        <v>108</v>
      </c>
      <c r="B1953">
        <v>2018</v>
      </c>
      <c r="C1953" t="s">
        <v>271</v>
      </c>
      <c r="D1953" t="s">
        <v>300</v>
      </c>
      <c r="E1953" t="s">
        <v>65</v>
      </c>
      <c r="F1953">
        <v>37478</v>
      </c>
      <c r="G1953" t="s">
        <v>72</v>
      </c>
      <c r="H1953">
        <v>2</v>
      </c>
    </row>
    <row r="1954" spans="1:8" x14ac:dyDescent="0.3">
      <c r="A1954" t="s">
        <v>108</v>
      </c>
      <c r="B1954">
        <v>2019</v>
      </c>
      <c r="C1954" t="s">
        <v>271</v>
      </c>
      <c r="D1954" t="s">
        <v>300</v>
      </c>
      <c r="E1954" t="s">
        <v>65</v>
      </c>
      <c r="F1954">
        <v>37478</v>
      </c>
      <c r="G1954" t="s">
        <v>72</v>
      </c>
      <c r="H1954">
        <v>3</v>
      </c>
    </row>
    <row r="1955" spans="1:8" x14ac:dyDescent="0.3">
      <c r="A1955" t="s">
        <v>108</v>
      </c>
      <c r="B1955">
        <v>2020</v>
      </c>
      <c r="C1955" t="s">
        <v>271</v>
      </c>
      <c r="D1955" t="s">
        <v>300</v>
      </c>
      <c r="E1955" t="s">
        <v>65</v>
      </c>
      <c r="F1955">
        <v>37478</v>
      </c>
      <c r="G1955" t="s">
        <v>72</v>
      </c>
      <c r="H1955">
        <v>1</v>
      </c>
    </row>
    <row r="1956" spans="1:8" x14ac:dyDescent="0.3">
      <c r="A1956" t="s">
        <v>202</v>
      </c>
      <c r="B1956">
        <v>2019</v>
      </c>
      <c r="C1956" t="s">
        <v>271</v>
      </c>
      <c r="D1956" t="s">
        <v>300</v>
      </c>
      <c r="E1956" t="s">
        <v>65</v>
      </c>
      <c r="F1956">
        <v>40600</v>
      </c>
      <c r="G1956" t="s">
        <v>72</v>
      </c>
      <c r="H1956">
        <v>2</v>
      </c>
    </row>
    <row r="1957" spans="1:8" x14ac:dyDescent="0.3">
      <c r="A1957" t="s">
        <v>202</v>
      </c>
      <c r="B1957">
        <v>2020</v>
      </c>
      <c r="C1957" t="s">
        <v>271</v>
      </c>
      <c r="D1957" t="s">
        <v>300</v>
      </c>
      <c r="E1957" t="s">
        <v>65</v>
      </c>
      <c r="F1957">
        <v>40600</v>
      </c>
      <c r="G1957" t="s">
        <v>72</v>
      </c>
      <c r="H1957">
        <v>1</v>
      </c>
    </row>
    <row r="1958" spans="1:8" x14ac:dyDescent="0.3">
      <c r="A1958" t="s">
        <v>202</v>
      </c>
      <c r="B1958">
        <v>2021</v>
      </c>
      <c r="C1958" t="s">
        <v>271</v>
      </c>
      <c r="D1958" t="s">
        <v>300</v>
      </c>
      <c r="E1958" t="s">
        <v>65</v>
      </c>
      <c r="F1958">
        <v>40600</v>
      </c>
      <c r="G1958" t="s">
        <v>72</v>
      </c>
      <c r="H1958">
        <v>1</v>
      </c>
    </row>
    <row r="1959" spans="1:8" x14ac:dyDescent="0.3">
      <c r="A1959" t="s">
        <v>203</v>
      </c>
      <c r="B1959">
        <v>2014</v>
      </c>
      <c r="C1959" t="s">
        <v>271</v>
      </c>
      <c r="D1959" t="s">
        <v>300</v>
      </c>
      <c r="E1959" t="s">
        <v>65</v>
      </c>
      <c r="F1959">
        <v>48200</v>
      </c>
      <c r="G1959" t="s">
        <v>72</v>
      </c>
      <c r="H1959">
        <v>2</v>
      </c>
    </row>
    <row r="1960" spans="1:8" x14ac:dyDescent="0.3">
      <c r="A1960" t="s">
        <v>203</v>
      </c>
      <c r="B1960">
        <v>2015</v>
      </c>
      <c r="C1960" t="s">
        <v>271</v>
      </c>
      <c r="D1960" t="s">
        <v>300</v>
      </c>
      <c r="E1960" t="s">
        <v>65</v>
      </c>
      <c r="F1960">
        <v>48200</v>
      </c>
      <c r="G1960" t="s">
        <v>72</v>
      </c>
      <c r="H1960">
        <v>1</v>
      </c>
    </row>
    <row r="1961" spans="1:8" x14ac:dyDescent="0.3">
      <c r="A1961" t="s">
        <v>203</v>
      </c>
      <c r="B1961">
        <v>2017</v>
      </c>
      <c r="C1961" t="s">
        <v>271</v>
      </c>
      <c r="D1961" t="s">
        <v>300</v>
      </c>
      <c r="E1961" t="s">
        <v>65</v>
      </c>
      <c r="F1961">
        <v>48200</v>
      </c>
      <c r="G1961" t="s">
        <v>72</v>
      </c>
      <c r="H1961">
        <v>3</v>
      </c>
    </row>
    <row r="1962" spans="1:8" x14ac:dyDescent="0.3">
      <c r="A1962" t="s">
        <v>203</v>
      </c>
      <c r="B1962">
        <v>2018</v>
      </c>
      <c r="C1962" t="s">
        <v>271</v>
      </c>
      <c r="D1962" t="s">
        <v>300</v>
      </c>
      <c r="E1962" t="s">
        <v>65</v>
      </c>
      <c r="F1962">
        <v>48200</v>
      </c>
      <c r="G1962" t="s">
        <v>72</v>
      </c>
      <c r="H1962">
        <v>3</v>
      </c>
    </row>
    <row r="1963" spans="1:8" x14ac:dyDescent="0.3">
      <c r="A1963" t="s">
        <v>203</v>
      </c>
      <c r="B1963">
        <v>2019</v>
      </c>
      <c r="C1963" t="s">
        <v>271</v>
      </c>
      <c r="D1963" t="s">
        <v>300</v>
      </c>
      <c r="E1963" t="s">
        <v>65</v>
      </c>
      <c r="F1963">
        <v>48200</v>
      </c>
      <c r="G1963" t="s">
        <v>72</v>
      </c>
      <c r="H1963">
        <v>4</v>
      </c>
    </row>
    <row r="1964" spans="1:8" x14ac:dyDescent="0.3">
      <c r="A1964" t="s">
        <v>203</v>
      </c>
      <c r="B1964">
        <v>2020</v>
      </c>
      <c r="C1964" t="s">
        <v>271</v>
      </c>
      <c r="D1964" t="s">
        <v>300</v>
      </c>
      <c r="E1964" t="s">
        <v>65</v>
      </c>
      <c r="F1964">
        <v>48200</v>
      </c>
      <c r="G1964" t="s">
        <v>72</v>
      </c>
      <c r="H1964">
        <v>1</v>
      </c>
    </row>
    <row r="1965" spans="1:8" x14ac:dyDescent="0.3">
      <c r="A1965" t="s">
        <v>203</v>
      </c>
      <c r="B1965">
        <v>2021</v>
      </c>
      <c r="C1965" t="s">
        <v>271</v>
      </c>
      <c r="D1965" t="s">
        <v>300</v>
      </c>
      <c r="E1965" t="s">
        <v>65</v>
      </c>
      <c r="F1965">
        <v>48200</v>
      </c>
      <c r="G1965" t="s">
        <v>72</v>
      </c>
      <c r="H1965">
        <v>1</v>
      </c>
    </row>
    <row r="1966" spans="1:8" x14ac:dyDescent="0.3">
      <c r="A1966" t="s">
        <v>109</v>
      </c>
      <c r="B1966">
        <v>2019</v>
      </c>
      <c r="C1966" t="s">
        <v>271</v>
      </c>
      <c r="D1966" t="s">
        <v>300</v>
      </c>
      <c r="E1966" t="s">
        <v>65</v>
      </c>
      <c r="F1966">
        <v>3600</v>
      </c>
      <c r="G1966" t="s">
        <v>66</v>
      </c>
      <c r="H1966">
        <v>1</v>
      </c>
    </row>
    <row r="1967" spans="1:8" x14ac:dyDescent="0.3">
      <c r="A1967" t="s">
        <v>204</v>
      </c>
      <c r="B1967">
        <v>2018</v>
      </c>
      <c r="C1967" t="s">
        <v>271</v>
      </c>
      <c r="D1967" t="s">
        <v>300</v>
      </c>
      <c r="E1967" t="s">
        <v>65</v>
      </c>
      <c r="F1967">
        <v>53000</v>
      </c>
      <c r="G1967" t="s">
        <v>72</v>
      </c>
      <c r="H1967">
        <v>1</v>
      </c>
    </row>
    <row r="1968" spans="1:8" x14ac:dyDescent="0.3">
      <c r="A1968" t="s">
        <v>294</v>
      </c>
      <c r="B1968">
        <v>2014</v>
      </c>
      <c r="C1968" t="s">
        <v>271</v>
      </c>
      <c r="D1968" t="s">
        <v>300</v>
      </c>
      <c r="E1968" t="s">
        <v>65</v>
      </c>
      <c r="F1968">
        <v>57000</v>
      </c>
      <c r="G1968" t="s">
        <v>72</v>
      </c>
      <c r="H1968">
        <v>2</v>
      </c>
    </row>
    <row r="1969" spans="1:8" x14ac:dyDescent="0.3">
      <c r="A1969" t="s">
        <v>294</v>
      </c>
      <c r="B1969">
        <v>2015</v>
      </c>
      <c r="C1969" t="s">
        <v>271</v>
      </c>
      <c r="D1969" t="s">
        <v>300</v>
      </c>
      <c r="E1969" t="s">
        <v>65</v>
      </c>
      <c r="F1969">
        <v>57000</v>
      </c>
      <c r="G1969" t="s">
        <v>72</v>
      </c>
      <c r="H1969">
        <v>4</v>
      </c>
    </row>
    <row r="1970" spans="1:8" x14ac:dyDescent="0.3">
      <c r="A1970" t="s">
        <v>294</v>
      </c>
      <c r="B1970">
        <v>2016</v>
      </c>
      <c r="C1970" t="s">
        <v>271</v>
      </c>
      <c r="D1970" t="s">
        <v>300</v>
      </c>
      <c r="E1970" t="s">
        <v>65</v>
      </c>
      <c r="F1970">
        <v>57000</v>
      </c>
      <c r="G1970" t="s">
        <v>72</v>
      </c>
      <c r="H1970">
        <v>5</v>
      </c>
    </row>
    <row r="1971" spans="1:8" x14ac:dyDescent="0.3">
      <c r="A1971" t="s">
        <v>294</v>
      </c>
      <c r="B1971">
        <v>2018</v>
      </c>
      <c r="C1971" t="s">
        <v>271</v>
      </c>
      <c r="D1971" t="s">
        <v>300</v>
      </c>
      <c r="E1971" t="s">
        <v>65</v>
      </c>
      <c r="F1971">
        <v>57000</v>
      </c>
      <c r="G1971" t="s">
        <v>72</v>
      </c>
      <c r="H1971">
        <v>1</v>
      </c>
    </row>
    <row r="1972" spans="1:8" x14ac:dyDescent="0.3">
      <c r="A1972" t="s">
        <v>294</v>
      </c>
      <c r="B1972">
        <v>2020</v>
      </c>
      <c r="C1972" t="s">
        <v>271</v>
      </c>
      <c r="D1972" t="s">
        <v>300</v>
      </c>
      <c r="E1972" t="s">
        <v>65</v>
      </c>
      <c r="F1972">
        <v>57000</v>
      </c>
      <c r="G1972" t="s">
        <v>72</v>
      </c>
      <c r="H1972">
        <v>41</v>
      </c>
    </row>
    <row r="1973" spans="1:8" x14ac:dyDescent="0.3">
      <c r="A1973" t="s">
        <v>294</v>
      </c>
      <c r="B1973">
        <v>2021</v>
      </c>
      <c r="C1973" t="s">
        <v>271</v>
      </c>
      <c r="D1973" t="s">
        <v>300</v>
      </c>
      <c r="E1973" t="s">
        <v>65</v>
      </c>
      <c r="F1973">
        <v>57000</v>
      </c>
      <c r="G1973" t="s">
        <v>72</v>
      </c>
      <c r="H1973">
        <v>7</v>
      </c>
    </row>
    <row r="1974" spans="1:8" x14ac:dyDescent="0.3">
      <c r="A1974" t="s">
        <v>206</v>
      </c>
      <c r="B1974">
        <v>2014</v>
      </c>
      <c r="C1974" t="s">
        <v>271</v>
      </c>
      <c r="D1974" t="s">
        <v>300</v>
      </c>
      <c r="E1974" t="s">
        <v>65</v>
      </c>
      <c r="F1974">
        <v>30842</v>
      </c>
      <c r="G1974" t="s">
        <v>72</v>
      </c>
      <c r="H1974">
        <v>3</v>
      </c>
    </row>
    <row r="1975" spans="1:8" x14ac:dyDescent="0.3">
      <c r="A1975" t="s">
        <v>206</v>
      </c>
      <c r="B1975">
        <v>2015</v>
      </c>
      <c r="C1975" t="s">
        <v>271</v>
      </c>
      <c r="D1975" t="s">
        <v>300</v>
      </c>
      <c r="E1975" t="s">
        <v>65</v>
      </c>
      <c r="F1975">
        <v>30842</v>
      </c>
      <c r="G1975" t="s">
        <v>72</v>
      </c>
      <c r="H1975">
        <v>5</v>
      </c>
    </row>
    <row r="1976" spans="1:8" x14ac:dyDescent="0.3">
      <c r="A1976" t="s">
        <v>206</v>
      </c>
      <c r="B1976">
        <v>2020</v>
      </c>
      <c r="C1976" t="s">
        <v>271</v>
      </c>
      <c r="D1976" t="s">
        <v>300</v>
      </c>
      <c r="E1976" t="s">
        <v>65</v>
      </c>
      <c r="F1976">
        <v>30842</v>
      </c>
      <c r="G1976" t="s">
        <v>72</v>
      </c>
      <c r="H1976">
        <v>1</v>
      </c>
    </row>
    <row r="1977" spans="1:8" x14ac:dyDescent="0.3">
      <c r="A1977" t="s">
        <v>112</v>
      </c>
      <c r="B1977">
        <v>2014</v>
      </c>
      <c r="C1977" t="s">
        <v>271</v>
      </c>
      <c r="D1977" t="s">
        <v>300</v>
      </c>
      <c r="E1977" t="s">
        <v>65</v>
      </c>
      <c r="F1977">
        <v>2888</v>
      </c>
      <c r="G1977" t="s">
        <v>66</v>
      </c>
      <c r="H1977">
        <v>1</v>
      </c>
    </row>
    <row r="1978" spans="1:8" x14ac:dyDescent="0.3">
      <c r="A1978" t="s">
        <v>112</v>
      </c>
      <c r="B1978">
        <v>2015</v>
      </c>
      <c r="C1978" t="s">
        <v>271</v>
      </c>
      <c r="D1978" t="s">
        <v>300</v>
      </c>
      <c r="E1978" t="s">
        <v>65</v>
      </c>
      <c r="F1978">
        <v>2888</v>
      </c>
      <c r="G1978" t="s">
        <v>66</v>
      </c>
      <c r="H1978">
        <v>3</v>
      </c>
    </row>
    <row r="1979" spans="1:8" x14ac:dyDescent="0.3">
      <c r="A1979" t="s">
        <v>112</v>
      </c>
      <c r="B1979">
        <v>2016</v>
      </c>
      <c r="C1979" t="s">
        <v>271</v>
      </c>
      <c r="D1979" t="s">
        <v>300</v>
      </c>
      <c r="E1979" t="s">
        <v>65</v>
      </c>
      <c r="F1979">
        <v>2888</v>
      </c>
      <c r="G1979" t="s">
        <v>66</v>
      </c>
      <c r="H1979">
        <v>2</v>
      </c>
    </row>
    <row r="1980" spans="1:8" x14ac:dyDescent="0.3">
      <c r="A1980" t="s">
        <v>112</v>
      </c>
      <c r="B1980">
        <v>2018</v>
      </c>
      <c r="C1980" t="s">
        <v>271</v>
      </c>
      <c r="D1980" t="s">
        <v>300</v>
      </c>
      <c r="E1980" t="s">
        <v>65</v>
      </c>
      <c r="F1980">
        <v>2888</v>
      </c>
      <c r="G1980" t="s">
        <v>66</v>
      </c>
      <c r="H1980">
        <v>1</v>
      </c>
    </row>
    <row r="1981" spans="1:8" x14ac:dyDescent="0.3">
      <c r="A1981" t="s">
        <v>112</v>
      </c>
      <c r="B1981">
        <v>2019</v>
      </c>
      <c r="C1981" t="s">
        <v>271</v>
      </c>
      <c r="D1981" t="s">
        <v>300</v>
      </c>
      <c r="E1981" t="s">
        <v>65</v>
      </c>
      <c r="F1981">
        <v>2888</v>
      </c>
      <c r="G1981" t="s">
        <v>66</v>
      </c>
      <c r="H1981">
        <v>1</v>
      </c>
    </row>
    <row r="1982" spans="1:8" x14ac:dyDescent="0.3">
      <c r="A1982" t="s">
        <v>112</v>
      </c>
      <c r="B1982">
        <v>2020</v>
      </c>
      <c r="C1982" t="s">
        <v>271</v>
      </c>
      <c r="D1982" t="s">
        <v>300</v>
      </c>
      <c r="E1982" t="s">
        <v>65</v>
      </c>
      <c r="F1982">
        <v>2888</v>
      </c>
      <c r="G1982" t="s">
        <v>66</v>
      </c>
      <c r="H1982">
        <v>1</v>
      </c>
    </row>
    <row r="1983" spans="1:8" x14ac:dyDescent="0.3">
      <c r="A1983" t="s">
        <v>113</v>
      </c>
      <c r="B1983">
        <v>2015</v>
      </c>
      <c r="C1983" t="s">
        <v>271</v>
      </c>
      <c r="D1983" t="s">
        <v>300</v>
      </c>
      <c r="E1983" t="s">
        <v>65</v>
      </c>
      <c r="F1983">
        <v>4407</v>
      </c>
      <c r="G1983" t="s">
        <v>66</v>
      </c>
      <c r="H1983">
        <v>1</v>
      </c>
    </row>
    <row r="1984" spans="1:8" x14ac:dyDescent="0.3">
      <c r="A1984" t="s">
        <v>113</v>
      </c>
      <c r="B1984">
        <v>2017</v>
      </c>
      <c r="C1984" t="s">
        <v>271</v>
      </c>
      <c r="D1984" t="s">
        <v>300</v>
      </c>
      <c r="E1984" t="s">
        <v>65</v>
      </c>
      <c r="F1984">
        <v>4407</v>
      </c>
      <c r="G1984" t="s">
        <v>66</v>
      </c>
      <c r="H1984">
        <v>1</v>
      </c>
    </row>
    <row r="1985" spans="1:8" x14ac:dyDescent="0.3">
      <c r="A1985" t="s">
        <v>113</v>
      </c>
      <c r="B1985">
        <v>2018</v>
      </c>
      <c r="C1985" t="s">
        <v>271</v>
      </c>
      <c r="D1985" t="s">
        <v>300</v>
      </c>
      <c r="E1985" t="s">
        <v>65</v>
      </c>
      <c r="F1985">
        <v>4407</v>
      </c>
      <c r="G1985" t="s">
        <v>66</v>
      </c>
      <c r="H1985">
        <v>2</v>
      </c>
    </row>
    <row r="1986" spans="1:8" x14ac:dyDescent="0.3">
      <c r="A1986" t="s">
        <v>113</v>
      </c>
      <c r="B1986">
        <v>2019</v>
      </c>
      <c r="C1986" t="s">
        <v>271</v>
      </c>
      <c r="D1986" t="s">
        <v>300</v>
      </c>
      <c r="E1986" t="s">
        <v>65</v>
      </c>
      <c r="F1986">
        <v>4407</v>
      </c>
      <c r="G1986" t="s">
        <v>66</v>
      </c>
      <c r="H1986">
        <v>2</v>
      </c>
    </row>
    <row r="1987" spans="1:8" x14ac:dyDescent="0.3">
      <c r="A1987" t="s">
        <v>207</v>
      </c>
      <c r="B1987">
        <v>2014</v>
      </c>
      <c r="C1987" t="s">
        <v>271</v>
      </c>
      <c r="D1987" t="s">
        <v>300</v>
      </c>
      <c r="E1987" t="s">
        <v>65</v>
      </c>
      <c r="F1987">
        <v>430000</v>
      </c>
      <c r="G1987" t="s">
        <v>83</v>
      </c>
      <c r="H1987">
        <v>12</v>
      </c>
    </row>
    <row r="1988" spans="1:8" x14ac:dyDescent="0.3">
      <c r="A1988" t="s">
        <v>207</v>
      </c>
      <c r="B1988">
        <v>2015</v>
      </c>
      <c r="C1988" t="s">
        <v>271</v>
      </c>
      <c r="D1988" t="s">
        <v>300</v>
      </c>
      <c r="E1988" t="s">
        <v>65</v>
      </c>
      <c r="F1988">
        <v>430000</v>
      </c>
      <c r="G1988" t="s">
        <v>83</v>
      </c>
      <c r="H1988">
        <v>24</v>
      </c>
    </row>
    <row r="1989" spans="1:8" x14ac:dyDescent="0.3">
      <c r="A1989" t="s">
        <v>207</v>
      </c>
      <c r="B1989">
        <v>2016</v>
      </c>
      <c r="C1989" t="s">
        <v>271</v>
      </c>
      <c r="D1989" t="s">
        <v>300</v>
      </c>
      <c r="E1989" t="s">
        <v>65</v>
      </c>
      <c r="F1989">
        <v>430000</v>
      </c>
      <c r="G1989" t="s">
        <v>83</v>
      </c>
      <c r="H1989">
        <v>3</v>
      </c>
    </row>
    <row r="1990" spans="1:8" x14ac:dyDescent="0.3">
      <c r="A1990" t="s">
        <v>207</v>
      </c>
      <c r="B1990">
        <v>2017</v>
      </c>
      <c r="C1990" t="s">
        <v>271</v>
      </c>
      <c r="D1990" t="s">
        <v>300</v>
      </c>
      <c r="E1990" t="s">
        <v>65</v>
      </c>
      <c r="F1990">
        <v>430000</v>
      </c>
      <c r="G1990" t="s">
        <v>83</v>
      </c>
      <c r="H1990">
        <v>1</v>
      </c>
    </row>
    <row r="1991" spans="1:8" x14ac:dyDescent="0.3">
      <c r="A1991" t="s">
        <v>207</v>
      </c>
      <c r="B1991">
        <v>2018</v>
      </c>
      <c r="C1991" t="s">
        <v>271</v>
      </c>
      <c r="D1991" t="s">
        <v>300</v>
      </c>
      <c r="E1991" t="s">
        <v>65</v>
      </c>
      <c r="F1991">
        <v>430000</v>
      </c>
      <c r="G1991" t="s">
        <v>83</v>
      </c>
      <c r="H1991">
        <v>1</v>
      </c>
    </row>
    <row r="1992" spans="1:8" x14ac:dyDescent="0.3">
      <c r="A1992" t="s">
        <v>207</v>
      </c>
      <c r="B1992">
        <v>2019</v>
      </c>
      <c r="C1992" t="s">
        <v>271</v>
      </c>
      <c r="D1992" t="s">
        <v>300</v>
      </c>
      <c r="E1992" t="s">
        <v>65</v>
      </c>
      <c r="F1992">
        <v>430000</v>
      </c>
      <c r="G1992" t="s">
        <v>83</v>
      </c>
      <c r="H1992">
        <v>9</v>
      </c>
    </row>
    <row r="1993" spans="1:8" x14ac:dyDescent="0.3">
      <c r="A1993" t="s">
        <v>207</v>
      </c>
      <c r="B1993">
        <v>2020</v>
      </c>
      <c r="C1993" t="s">
        <v>271</v>
      </c>
      <c r="D1993" t="s">
        <v>300</v>
      </c>
      <c r="E1993" t="s">
        <v>65</v>
      </c>
      <c r="F1993">
        <v>430000</v>
      </c>
      <c r="G1993" t="s">
        <v>83</v>
      </c>
      <c r="H1993">
        <v>2</v>
      </c>
    </row>
    <row r="1994" spans="1:8" x14ac:dyDescent="0.3">
      <c r="A1994" t="s">
        <v>207</v>
      </c>
      <c r="B1994">
        <v>2021</v>
      </c>
      <c r="C1994" t="s">
        <v>271</v>
      </c>
      <c r="D1994" t="s">
        <v>300</v>
      </c>
      <c r="E1994" t="s">
        <v>65</v>
      </c>
      <c r="F1994">
        <v>430000</v>
      </c>
      <c r="G1994" t="s">
        <v>83</v>
      </c>
      <c r="H1994">
        <v>4</v>
      </c>
    </row>
    <row r="1995" spans="1:8" x14ac:dyDescent="0.3">
      <c r="A1995" t="s">
        <v>211</v>
      </c>
      <c r="B1995">
        <v>2021</v>
      </c>
      <c r="C1995" t="s">
        <v>271</v>
      </c>
      <c r="D1995" t="s">
        <v>300</v>
      </c>
      <c r="E1995" t="s">
        <v>65</v>
      </c>
      <c r="F1995">
        <v>63052</v>
      </c>
      <c r="G1995" t="s">
        <v>72</v>
      </c>
      <c r="H1995">
        <v>1</v>
      </c>
    </row>
    <row r="1996" spans="1:8" x14ac:dyDescent="0.3">
      <c r="A1996" t="s">
        <v>114</v>
      </c>
      <c r="B1996">
        <v>2016</v>
      </c>
      <c r="C1996" t="s">
        <v>271</v>
      </c>
      <c r="D1996" t="s">
        <v>300</v>
      </c>
      <c r="E1996" t="s">
        <v>65</v>
      </c>
      <c r="F1996">
        <v>12500</v>
      </c>
      <c r="G1996" t="s">
        <v>66</v>
      </c>
      <c r="H1996">
        <v>1</v>
      </c>
    </row>
    <row r="1997" spans="1:8" x14ac:dyDescent="0.3">
      <c r="A1997" t="s">
        <v>212</v>
      </c>
      <c r="B1997">
        <v>2020</v>
      </c>
      <c r="C1997" t="s">
        <v>271</v>
      </c>
      <c r="D1997" t="s">
        <v>300</v>
      </c>
      <c r="E1997" t="s">
        <v>65</v>
      </c>
      <c r="F1997">
        <v>25353</v>
      </c>
      <c r="G1997" t="s">
        <v>72</v>
      </c>
      <c r="H1997">
        <v>2</v>
      </c>
    </row>
    <row r="1998" spans="1:8" x14ac:dyDescent="0.3">
      <c r="A1998" t="s">
        <v>214</v>
      </c>
      <c r="B1998">
        <v>2015</v>
      </c>
      <c r="C1998" t="s">
        <v>271</v>
      </c>
      <c r="D1998" t="s">
        <v>300</v>
      </c>
      <c r="E1998" t="s">
        <v>65</v>
      </c>
      <c r="F1998">
        <v>53131</v>
      </c>
      <c r="G1998" t="s">
        <v>72</v>
      </c>
      <c r="H1998">
        <v>1</v>
      </c>
    </row>
    <row r="1999" spans="1:8" x14ac:dyDescent="0.3">
      <c r="A1999" t="s">
        <v>116</v>
      </c>
      <c r="B1999">
        <v>2016</v>
      </c>
      <c r="C1999" t="s">
        <v>271</v>
      </c>
      <c r="D1999" t="s">
        <v>300</v>
      </c>
      <c r="E1999" t="s">
        <v>65</v>
      </c>
      <c r="F1999">
        <v>10471</v>
      </c>
      <c r="G1999" t="s">
        <v>66</v>
      </c>
      <c r="H1999">
        <v>1</v>
      </c>
    </row>
    <row r="2000" spans="1:8" x14ac:dyDescent="0.3">
      <c r="A2000" t="s">
        <v>116</v>
      </c>
      <c r="B2000">
        <v>2018</v>
      </c>
      <c r="C2000" t="s">
        <v>271</v>
      </c>
      <c r="D2000" t="s">
        <v>300</v>
      </c>
      <c r="E2000" t="s">
        <v>65</v>
      </c>
      <c r="F2000">
        <v>10471</v>
      </c>
      <c r="G2000" t="s">
        <v>66</v>
      </c>
      <c r="H2000">
        <v>1</v>
      </c>
    </row>
    <row r="2001" spans="1:8" x14ac:dyDescent="0.3">
      <c r="A2001" t="s">
        <v>218</v>
      </c>
      <c r="B2001">
        <v>2014</v>
      </c>
      <c r="C2001" t="s">
        <v>271</v>
      </c>
      <c r="D2001" t="s">
        <v>300</v>
      </c>
      <c r="E2001" t="s">
        <v>65</v>
      </c>
      <c r="F2001">
        <v>17528</v>
      </c>
      <c r="G2001" t="s">
        <v>66</v>
      </c>
      <c r="H2001">
        <v>1</v>
      </c>
    </row>
    <row r="2002" spans="1:8" x14ac:dyDescent="0.3">
      <c r="A2002" t="s">
        <v>218</v>
      </c>
      <c r="B2002">
        <v>2015</v>
      </c>
      <c r="C2002" t="s">
        <v>271</v>
      </c>
      <c r="D2002" t="s">
        <v>300</v>
      </c>
      <c r="E2002" t="s">
        <v>65</v>
      </c>
      <c r="F2002">
        <v>17528</v>
      </c>
      <c r="G2002" t="s">
        <v>66</v>
      </c>
      <c r="H2002">
        <v>2</v>
      </c>
    </row>
    <row r="2003" spans="1:8" x14ac:dyDescent="0.3">
      <c r="A2003" t="s">
        <v>218</v>
      </c>
      <c r="B2003">
        <v>2018</v>
      </c>
      <c r="C2003" t="s">
        <v>271</v>
      </c>
      <c r="D2003" t="s">
        <v>300</v>
      </c>
      <c r="E2003" t="s">
        <v>65</v>
      </c>
      <c r="F2003">
        <v>17528</v>
      </c>
      <c r="G2003" t="s">
        <v>66</v>
      </c>
      <c r="H2003">
        <v>1</v>
      </c>
    </row>
    <row r="2004" spans="1:8" x14ac:dyDescent="0.3">
      <c r="A2004" t="s">
        <v>218</v>
      </c>
      <c r="B2004">
        <v>2020</v>
      </c>
      <c r="C2004" t="s">
        <v>271</v>
      </c>
      <c r="D2004" t="s">
        <v>300</v>
      </c>
      <c r="E2004" t="s">
        <v>65</v>
      </c>
      <c r="F2004">
        <v>17528</v>
      </c>
      <c r="G2004" t="s">
        <v>66</v>
      </c>
      <c r="H2004">
        <v>1</v>
      </c>
    </row>
    <row r="2005" spans="1:8" x14ac:dyDescent="0.3">
      <c r="A2005" t="s">
        <v>117</v>
      </c>
      <c r="B2005">
        <v>2020</v>
      </c>
      <c r="C2005" t="s">
        <v>271</v>
      </c>
      <c r="D2005" t="s">
        <v>300</v>
      </c>
      <c r="E2005" t="s">
        <v>65</v>
      </c>
      <c r="F2005">
        <v>39595</v>
      </c>
      <c r="G2005" t="s">
        <v>66</v>
      </c>
      <c r="H2005">
        <v>1</v>
      </c>
    </row>
    <row r="2006" spans="1:8" x14ac:dyDescent="0.3">
      <c r="A2006" t="s">
        <v>117</v>
      </c>
      <c r="B2006">
        <v>2021</v>
      </c>
      <c r="C2006" t="s">
        <v>271</v>
      </c>
      <c r="D2006" t="s">
        <v>300</v>
      </c>
      <c r="E2006" t="s">
        <v>65</v>
      </c>
      <c r="F2006">
        <v>39595</v>
      </c>
      <c r="G2006" t="s">
        <v>66</v>
      </c>
      <c r="H2006">
        <v>1</v>
      </c>
    </row>
    <row r="2007" spans="1:8" x14ac:dyDescent="0.3">
      <c r="A2007" t="s">
        <v>221</v>
      </c>
      <c r="B2007">
        <v>2016</v>
      </c>
      <c r="C2007" t="s">
        <v>271</v>
      </c>
      <c r="D2007" t="s">
        <v>300</v>
      </c>
      <c r="E2007" t="s">
        <v>65</v>
      </c>
      <c r="F2007">
        <v>7500</v>
      </c>
      <c r="G2007" t="s">
        <v>66</v>
      </c>
      <c r="H2007">
        <v>1</v>
      </c>
    </row>
    <row r="2008" spans="1:8" x14ac:dyDescent="0.3">
      <c r="A2008" t="s">
        <v>296</v>
      </c>
      <c r="B2008">
        <v>2019</v>
      </c>
      <c r="C2008" t="s">
        <v>271</v>
      </c>
      <c r="D2008" t="s">
        <v>300</v>
      </c>
      <c r="E2008" t="s">
        <v>65</v>
      </c>
      <c r="F2008">
        <v>68000</v>
      </c>
      <c r="G2008" t="s">
        <v>66</v>
      </c>
      <c r="H2008">
        <v>1</v>
      </c>
    </row>
    <row r="2009" spans="1:8" x14ac:dyDescent="0.3">
      <c r="A2009" t="s">
        <v>118</v>
      </c>
      <c r="B2009">
        <v>2015</v>
      </c>
      <c r="C2009" t="s">
        <v>271</v>
      </c>
      <c r="D2009" t="s">
        <v>300</v>
      </c>
      <c r="E2009" t="s">
        <v>65</v>
      </c>
      <c r="F2009">
        <v>3306</v>
      </c>
      <c r="G2009" t="s">
        <v>66</v>
      </c>
      <c r="H2009">
        <v>1</v>
      </c>
    </row>
    <row r="2010" spans="1:8" x14ac:dyDescent="0.3">
      <c r="A2010" t="s">
        <v>222</v>
      </c>
      <c r="B2010">
        <v>2014</v>
      </c>
      <c r="C2010" t="s">
        <v>271</v>
      </c>
      <c r="D2010" t="s">
        <v>300</v>
      </c>
      <c r="E2010" t="s">
        <v>65</v>
      </c>
      <c r="F2010">
        <v>51900</v>
      </c>
      <c r="G2010" t="s">
        <v>66</v>
      </c>
      <c r="H2010">
        <v>2</v>
      </c>
    </row>
    <row r="2011" spans="1:8" x14ac:dyDescent="0.3">
      <c r="A2011" t="s">
        <v>222</v>
      </c>
      <c r="B2011">
        <v>2015</v>
      </c>
      <c r="C2011" t="s">
        <v>271</v>
      </c>
      <c r="D2011" t="s">
        <v>300</v>
      </c>
      <c r="E2011" t="s">
        <v>65</v>
      </c>
      <c r="F2011">
        <v>51900</v>
      </c>
      <c r="G2011" t="s">
        <v>66</v>
      </c>
      <c r="H2011">
        <v>4</v>
      </c>
    </row>
    <row r="2012" spans="1:8" x14ac:dyDescent="0.3">
      <c r="A2012" t="s">
        <v>222</v>
      </c>
      <c r="B2012">
        <v>2016</v>
      </c>
      <c r="C2012" t="s">
        <v>271</v>
      </c>
      <c r="D2012" t="s">
        <v>300</v>
      </c>
      <c r="E2012" t="s">
        <v>65</v>
      </c>
      <c r="F2012">
        <v>51900</v>
      </c>
      <c r="G2012" t="s">
        <v>66</v>
      </c>
      <c r="H2012">
        <v>3</v>
      </c>
    </row>
    <row r="2013" spans="1:8" x14ac:dyDescent="0.3">
      <c r="A2013" t="s">
        <v>222</v>
      </c>
      <c r="B2013">
        <v>2017</v>
      </c>
      <c r="C2013" t="s">
        <v>271</v>
      </c>
      <c r="D2013" t="s">
        <v>300</v>
      </c>
      <c r="E2013" t="s">
        <v>65</v>
      </c>
      <c r="F2013">
        <v>51900</v>
      </c>
      <c r="G2013" t="s">
        <v>66</v>
      </c>
      <c r="H2013">
        <v>1</v>
      </c>
    </row>
    <row r="2014" spans="1:8" x14ac:dyDescent="0.3">
      <c r="A2014" t="s">
        <v>222</v>
      </c>
      <c r="B2014">
        <v>2018</v>
      </c>
      <c r="C2014" t="s">
        <v>271</v>
      </c>
      <c r="D2014" t="s">
        <v>300</v>
      </c>
      <c r="E2014" t="s">
        <v>65</v>
      </c>
      <c r="F2014">
        <v>51900</v>
      </c>
      <c r="G2014" t="s">
        <v>66</v>
      </c>
      <c r="H2014">
        <v>1</v>
      </c>
    </row>
    <row r="2015" spans="1:8" x14ac:dyDescent="0.3">
      <c r="A2015" t="s">
        <v>222</v>
      </c>
      <c r="B2015">
        <v>2019</v>
      </c>
      <c r="C2015" t="s">
        <v>271</v>
      </c>
      <c r="D2015" t="s">
        <v>300</v>
      </c>
      <c r="E2015" t="s">
        <v>65</v>
      </c>
      <c r="F2015">
        <v>51900</v>
      </c>
      <c r="G2015" t="s">
        <v>66</v>
      </c>
      <c r="H2015">
        <v>1</v>
      </c>
    </row>
    <row r="2016" spans="1:8" x14ac:dyDescent="0.3">
      <c r="A2016" t="s">
        <v>222</v>
      </c>
      <c r="B2016">
        <v>2020</v>
      </c>
      <c r="C2016" t="s">
        <v>271</v>
      </c>
      <c r="D2016" t="s">
        <v>300</v>
      </c>
      <c r="E2016" t="s">
        <v>65</v>
      </c>
      <c r="F2016">
        <v>51900</v>
      </c>
      <c r="G2016" t="s">
        <v>66</v>
      </c>
      <c r="H2016">
        <v>3</v>
      </c>
    </row>
    <row r="2017" spans="1:8" x14ac:dyDescent="0.3">
      <c r="A2017" t="s">
        <v>222</v>
      </c>
      <c r="B2017">
        <v>2021</v>
      </c>
      <c r="C2017" t="s">
        <v>271</v>
      </c>
      <c r="D2017" t="s">
        <v>300</v>
      </c>
      <c r="E2017" t="s">
        <v>65</v>
      </c>
      <c r="F2017">
        <v>51900</v>
      </c>
      <c r="G2017" t="s">
        <v>66</v>
      </c>
      <c r="H2017">
        <v>1</v>
      </c>
    </row>
    <row r="2018" spans="1:8" x14ac:dyDescent="0.3">
      <c r="A2018" t="s">
        <v>223</v>
      </c>
      <c r="B2018">
        <v>2016</v>
      </c>
      <c r="C2018" t="s">
        <v>271</v>
      </c>
      <c r="D2018" t="s">
        <v>300</v>
      </c>
      <c r="E2018" t="s">
        <v>65</v>
      </c>
      <c r="F2018">
        <v>55997</v>
      </c>
      <c r="G2018" t="s">
        <v>66</v>
      </c>
      <c r="H2018">
        <v>5</v>
      </c>
    </row>
    <row r="2019" spans="1:8" x14ac:dyDescent="0.3">
      <c r="A2019" t="s">
        <v>223</v>
      </c>
      <c r="B2019">
        <v>2017</v>
      </c>
      <c r="C2019" t="s">
        <v>271</v>
      </c>
      <c r="D2019" t="s">
        <v>300</v>
      </c>
      <c r="E2019" t="s">
        <v>65</v>
      </c>
      <c r="F2019">
        <v>55997</v>
      </c>
      <c r="G2019" t="s">
        <v>66</v>
      </c>
      <c r="H2019">
        <v>14</v>
      </c>
    </row>
    <row r="2020" spans="1:8" x14ac:dyDescent="0.3">
      <c r="A2020" t="s">
        <v>223</v>
      </c>
      <c r="B2020">
        <v>2018</v>
      </c>
      <c r="C2020" t="s">
        <v>271</v>
      </c>
      <c r="D2020" t="s">
        <v>300</v>
      </c>
      <c r="E2020" t="s">
        <v>65</v>
      </c>
      <c r="F2020">
        <v>55997</v>
      </c>
      <c r="G2020" t="s">
        <v>66</v>
      </c>
      <c r="H2020">
        <v>12</v>
      </c>
    </row>
    <row r="2021" spans="1:8" x14ac:dyDescent="0.3">
      <c r="A2021" t="s">
        <v>223</v>
      </c>
      <c r="B2021">
        <v>2019</v>
      </c>
      <c r="C2021" t="s">
        <v>271</v>
      </c>
      <c r="D2021" t="s">
        <v>300</v>
      </c>
      <c r="E2021" t="s">
        <v>65</v>
      </c>
      <c r="F2021">
        <v>55997</v>
      </c>
      <c r="G2021" t="s">
        <v>66</v>
      </c>
      <c r="H2021">
        <v>13</v>
      </c>
    </row>
    <row r="2022" spans="1:8" x14ac:dyDescent="0.3">
      <c r="A2022" t="s">
        <v>223</v>
      </c>
      <c r="B2022">
        <v>2020</v>
      </c>
      <c r="C2022" t="s">
        <v>271</v>
      </c>
      <c r="D2022" t="s">
        <v>300</v>
      </c>
      <c r="E2022" t="s">
        <v>65</v>
      </c>
      <c r="F2022">
        <v>55997</v>
      </c>
      <c r="G2022" t="s">
        <v>66</v>
      </c>
      <c r="H2022">
        <v>23</v>
      </c>
    </row>
    <row r="2023" spans="1:8" x14ac:dyDescent="0.3">
      <c r="A2023" t="s">
        <v>223</v>
      </c>
      <c r="B2023">
        <v>2021</v>
      </c>
      <c r="C2023" t="s">
        <v>271</v>
      </c>
      <c r="D2023" t="s">
        <v>300</v>
      </c>
      <c r="E2023" t="s">
        <v>65</v>
      </c>
      <c r="F2023">
        <v>55997</v>
      </c>
      <c r="G2023" t="s">
        <v>66</v>
      </c>
      <c r="H2023">
        <v>7</v>
      </c>
    </row>
    <row r="2024" spans="1:8" x14ac:dyDescent="0.3">
      <c r="A2024" t="s">
        <v>119</v>
      </c>
      <c r="B2024">
        <v>2018</v>
      </c>
      <c r="C2024" t="s">
        <v>271</v>
      </c>
      <c r="D2024" t="s">
        <v>300</v>
      </c>
      <c r="E2024" t="s">
        <v>65</v>
      </c>
      <c r="F2024">
        <v>34833</v>
      </c>
      <c r="G2024" t="s">
        <v>72</v>
      </c>
      <c r="H2024">
        <v>1</v>
      </c>
    </row>
    <row r="2025" spans="1:8" x14ac:dyDescent="0.3">
      <c r="A2025" t="s">
        <v>119</v>
      </c>
      <c r="B2025">
        <v>2019</v>
      </c>
      <c r="C2025" t="s">
        <v>271</v>
      </c>
      <c r="D2025" t="s">
        <v>300</v>
      </c>
      <c r="E2025" t="s">
        <v>65</v>
      </c>
      <c r="F2025">
        <v>34833</v>
      </c>
      <c r="G2025" t="s">
        <v>72</v>
      </c>
      <c r="H2025">
        <v>1</v>
      </c>
    </row>
    <row r="2026" spans="1:8" x14ac:dyDescent="0.3">
      <c r="A2026" t="s">
        <v>224</v>
      </c>
      <c r="B2026">
        <v>2014</v>
      </c>
      <c r="C2026" t="s">
        <v>271</v>
      </c>
      <c r="D2026" t="s">
        <v>300</v>
      </c>
      <c r="E2026" t="s">
        <v>65</v>
      </c>
      <c r="F2026">
        <v>45503</v>
      </c>
      <c r="G2026" t="s">
        <v>72</v>
      </c>
      <c r="H2026">
        <v>2</v>
      </c>
    </row>
    <row r="2027" spans="1:8" x14ac:dyDescent="0.3">
      <c r="A2027" t="s">
        <v>224</v>
      </c>
      <c r="B2027">
        <v>2018</v>
      </c>
      <c r="C2027" t="s">
        <v>271</v>
      </c>
      <c r="D2027" t="s">
        <v>300</v>
      </c>
      <c r="E2027" t="s">
        <v>65</v>
      </c>
      <c r="F2027">
        <v>45503</v>
      </c>
      <c r="G2027" t="s">
        <v>72</v>
      </c>
      <c r="H2027">
        <v>1</v>
      </c>
    </row>
    <row r="2028" spans="1:8" x14ac:dyDescent="0.3">
      <c r="A2028" t="s">
        <v>224</v>
      </c>
      <c r="B2028">
        <v>2020</v>
      </c>
      <c r="C2028" t="s">
        <v>271</v>
      </c>
      <c r="D2028" t="s">
        <v>300</v>
      </c>
      <c r="E2028" t="s">
        <v>65</v>
      </c>
      <c r="F2028">
        <v>45503</v>
      </c>
      <c r="G2028" t="s">
        <v>72</v>
      </c>
      <c r="H2028">
        <v>2</v>
      </c>
    </row>
    <row r="2029" spans="1:8" x14ac:dyDescent="0.3">
      <c r="A2029" t="s">
        <v>225</v>
      </c>
      <c r="B2029">
        <v>2018</v>
      </c>
      <c r="C2029" t="s">
        <v>271</v>
      </c>
      <c r="D2029" t="s">
        <v>300</v>
      </c>
      <c r="E2029" t="s">
        <v>65</v>
      </c>
      <c r="F2029">
        <v>30325</v>
      </c>
      <c r="G2029" t="s">
        <v>72</v>
      </c>
      <c r="H2029">
        <v>1</v>
      </c>
    </row>
    <row r="2030" spans="1:8" x14ac:dyDescent="0.3">
      <c r="A2030" t="s">
        <v>226</v>
      </c>
      <c r="B2030">
        <v>2018</v>
      </c>
      <c r="C2030" t="s">
        <v>271</v>
      </c>
      <c r="D2030" t="s">
        <v>300</v>
      </c>
      <c r="E2030" t="s">
        <v>65</v>
      </c>
      <c r="F2030">
        <v>38801</v>
      </c>
      <c r="G2030" t="s">
        <v>66</v>
      </c>
      <c r="H2030">
        <v>1</v>
      </c>
    </row>
    <row r="2031" spans="1:8" x14ac:dyDescent="0.3">
      <c r="A2031" t="s">
        <v>226</v>
      </c>
      <c r="B2031">
        <v>2020</v>
      </c>
      <c r="C2031" t="s">
        <v>271</v>
      </c>
      <c r="D2031" t="s">
        <v>300</v>
      </c>
      <c r="E2031" t="s">
        <v>65</v>
      </c>
      <c r="F2031">
        <v>38801</v>
      </c>
      <c r="G2031" t="s">
        <v>66</v>
      </c>
      <c r="H2031">
        <v>1</v>
      </c>
    </row>
    <row r="2032" spans="1:8" x14ac:dyDescent="0.3">
      <c r="A2032" t="s">
        <v>226</v>
      </c>
      <c r="B2032">
        <v>2021</v>
      </c>
      <c r="C2032" t="s">
        <v>271</v>
      </c>
      <c r="D2032" t="s">
        <v>300</v>
      </c>
      <c r="E2032" t="s">
        <v>65</v>
      </c>
      <c r="F2032">
        <v>38801</v>
      </c>
      <c r="G2032" t="s">
        <v>66</v>
      </c>
      <c r="H2032">
        <v>1</v>
      </c>
    </row>
    <row r="2033" spans="1:8" x14ac:dyDescent="0.3">
      <c r="A2033" t="s">
        <v>227</v>
      </c>
      <c r="B2033">
        <v>2018</v>
      </c>
      <c r="C2033" t="s">
        <v>271</v>
      </c>
      <c r="D2033" t="s">
        <v>300</v>
      </c>
      <c r="E2033" t="s">
        <v>65</v>
      </c>
      <c r="F2033">
        <v>70000</v>
      </c>
      <c r="G2033" t="s">
        <v>72</v>
      </c>
      <c r="H2033">
        <v>1</v>
      </c>
    </row>
    <row r="2034" spans="1:8" x14ac:dyDescent="0.3">
      <c r="A2034" t="s">
        <v>227</v>
      </c>
      <c r="B2034">
        <v>2020</v>
      </c>
      <c r="C2034" t="s">
        <v>271</v>
      </c>
      <c r="D2034" t="s">
        <v>300</v>
      </c>
      <c r="E2034" t="s">
        <v>65</v>
      </c>
      <c r="F2034">
        <v>70000</v>
      </c>
      <c r="G2034" t="s">
        <v>72</v>
      </c>
      <c r="H2034">
        <v>2</v>
      </c>
    </row>
    <row r="2035" spans="1:8" x14ac:dyDescent="0.3">
      <c r="A2035" t="s">
        <v>229</v>
      </c>
      <c r="B2035">
        <v>2016</v>
      </c>
      <c r="C2035" t="s">
        <v>271</v>
      </c>
      <c r="D2035" t="s">
        <v>300</v>
      </c>
      <c r="E2035" t="s">
        <v>65</v>
      </c>
      <c r="F2035">
        <v>12566</v>
      </c>
      <c r="G2035" t="s">
        <v>72</v>
      </c>
      <c r="H2035">
        <v>1</v>
      </c>
    </row>
    <row r="2036" spans="1:8" x14ac:dyDescent="0.3">
      <c r="A2036" t="s">
        <v>229</v>
      </c>
      <c r="B2036">
        <v>2018</v>
      </c>
      <c r="C2036" t="s">
        <v>271</v>
      </c>
      <c r="D2036" t="s">
        <v>300</v>
      </c>
      <c r="E2036" t="s">
        <v>65</v>
      </c>
      <c r="F2036">
        <v>12566</v>
      </c>
      <c r="G2036" t="s">
        <v>72</v>
      </c>
      <c r="H2036">
        <v>3</v>
      </c>
    </row>
    <row r="2037" spans="1:8" x14ac:dyDescent="0.3">
      <c r="A2037" t="s">
        <v>229</v>
      </c>
      <c r="B2037">
        <v>2019</v>
      </c>
      <c r="C2037" t="s">
        <v>271</v>
      </c>
      <c r="D2037" t="s">
        <v>300</v>
      </c>
      <c r="E2037" t="s">
        <v>65</v>
      </c>
      <c r="F2037">
        <v>12566</v>
      </c>
      <c r="G2037" t="s">
        <v>72</v>
      </c>
      <c r="H2037">
        <v>1</v>
      </c>
    </row>
    <row r="2038" spans="1:8" x14ac:dyDescent="0.3">
      <c r="A2038" t="s">
        <v>229</v>
      </c>
      <c r="B2038">
        <v>2020</v>
      </c>
      <c r="C2038" t="s">
        <v>271</v>
      </c>
      <c r="D2038" t="s">
        <v>300</v>
      </c>
      <c r="E2038" t="s">
        <v>65</v>
      </c>
      <c r="F2038">
        <v>12566</v>
      </c>
      <c r="G2038" t="s">
        <v>72</v>
      </c>
      <c r="H2038">
        <v>3</v>
      </c>
    </row>
    <row r="2039" spans="1:8" x14ac:dyDescent="0.3">
      <c r="A2039" t="s">
        <v>229</v>
      </c>
      <c r="B2039">
        <v>2021</v>
      </c>
      <c r="C2039" t="s">
        <v>271</v>
      </c>
      <c r="D2039" t="s">
        <v>300</v>
      </c>
      <c r="E2039" t="s">
        <v>65</v>
      </c>
      <c r="F2039">
        <v>12566</v>
      </c>
      <c r="G2039" t="s">
        <v>72</v>
      </c>
      <c r="H2039">
        <v>1</v>
      </c>
    </row>
    <row r="2040" spans="1:8" x14ac:dyDescent="0.3">
      <c r="A2040" t="s">
        <v>230</v>
      </c>
      <c r="B2040">
        <v>2014</v>
      </c>
      <c r="C2040" t="s">
        <v>271</v>
      </c>
      <c r="D2040" t="s">
        <v>300</v>
      </c>
      <c r="E2040" t="s">
        <v>65</v>
      </c>
      <c r="F2040">
        <v>33289</v>
      </c>
      <c r="G2040" t="s">
        <v>72</v>
      </c>
      <c r="H2040">
        <v>1</v>
      </c>
    </row>
    <row r="2041" spans="1:8" x14ac:dyDescent="0.3">
      <c r="A2041" t="s">
        <v>230</v>
      </c>
      <c r="B2041">
        <v>2015</v>
      </c>
      <c r="C2041" t="s">
        <v>271</v>
      </c>
      <c r="D2041" t="s">
        <v>300</v>
      </c>
      <c r="E2041" t="s">
        <v>65</v>
      </c>
      <c r="F2041">
        <v>33289</v>
      </c>
      <c r="G2041" t="s">
        <v>72</v>
      </c>
      <c r="H2041">
        <v>1</v>
      </c>
    </row>
    <row r="2042" spans="1:8" x14ac:dyDescent="0.3">
      <c r="A2042" t="s">
        <v>230</v>
      </c>
      <c r="B2042">
        <v>2018</v>
      </c>
      <c r="C2042" t="s">
        <v>271</v>
      </c>
      <c r="D2042" t="s">
        <v>300</v>
      </c>
      <c r="E2042" t="s">
        <v>65</v>
      </c>
      <c r="F2042">
        <v>33289</v>
      </c>
      <c r="G2042" t="s">
        <v>72</v>
      </c>
      <c r="H2042">
        <v>1</v>
      </c>
    </row>
    <row r="2043" spans="1:8" x14ac:dyDescent="0.3">
      <c r="A2043" t="s">
        <v>231</v>
      </c>
      <c r="B2043">
        <v>2015</v>
      </c>
      <c r="C2043" t="s">
        <v>271</v>
      </c>
      <c r="D2043" t="s">
        <v>300</v>
      </c>
      <c r="E2043" t="s">
        <v>65</v>
      </c>
      <c r="F2043">
        <v>95901</v>
      </c>
      <c r="G2043" t="s">
        <v>72</v>
      </c>
      <c r="H2043">
        <v>1</v>
      </c>
    </row>
    <row r="2044" spans="1:8" x14ac:dyDescent="0.3">
      <c r="A2044" t="s">
        <v>231</v>
      </c>
      <c r="B2044">
        <v>2016</v>
      </c>
      <c r="C2044" t="s">
        <v>271</v>
      </c>
      <c r="D2044" t="s">
        <v>300</v>
      </c>
      <c r="E2044" t="s">
        <v>65</v>
      </c>
      <c r="F2044">
        <v>95901</v>
      </c>
      <c r="G2044" t="s">
        <v>72</v>
      </c>
      <c r="H2044">
        <v>2</v>
      </c>
    </row>
    <row r="2045" spans="1:8" x14ac:dyDescent="0.3">
      <c r="A2045" t="s">
        <v>231</v>
      </c>
      <c r="B2045">
        <v>2017</v>
      </c>
      <c r="C2045" t="s">
        <v>271</v>
      </c>
      <c r="D2045" t="s">
        <v>300</v>
      </c>
      <c r="E2045" t="s">
        <v>65</v>
      </c>
      <c r="F2045">
        <v>95901</v>
      </c>
      <c r="G2045" t="s">
        <v>72</v>
      </c>
      <c r="H2045">
        <v>1</v>
      </c>
    </row>
    <row r="2046" spans="1:8" x14ac:dyDescent="0.3">
      <c r="A2046" t="s">
        <v>231</v>
      </c>
      <c r="B2046">
        <v>2018</v>
      </c>
      <c r="C2046" t="s">
        <v>271</v>
      </c>
      <c r="D2046" t="s">
        <v>300</v>
      </c>
      <c r="E2046" t="s">
        <v>65</v>
      </c>
      <c r="F2046">
        <v>95901</v>
      </c>
      <c r="G2046" t="s">
        <v>72</v>
      </c>
      <c r="H2046">
        <v>5</v>
      </c>
    </row>
    <row r="2047" spans="1:8" x14ac:dyDescent="0.3">
      <c r="A2047" t="s">
        <v>231</v>
      </c>
      <c r="B2047">
        <v>2019</v>
      </c>
      <c r="C2047" t="s">
        <v>271</v>
      </c>
      <c r="D2047" t="s">
        <v>300</v>
      </c>
      <c r="E2047" t="s">
        <v>65</v>
      </c>
      <c r="F2047">
        <v>95901</v>
      </c>
      <c r="G2047" t="s">
        <v>72</v>
      </c>
      <c r="H2047">
        <v>1</v>
      </c>
    </row>
    <row r="2048" spans="1:8" x14ac:dyDescent="0.3">
      <c r="A2048" t="s">
        <v>231</v>
      </c>
      <c r="B2048">
        <v>2020</v>
      </c>
      <c r="C2048" t="s">
        <v>271</v>
      </c>
      <c r="D2048" t="s">
        <v>300</v>
      </c>
      <c r="E2048" t="s">
        <v>65</v>
      </c>
      <c r="F2048">
        <v>95901</v>
      </c>
      <c r="G2048" t="s">
        <v>72</v>
      </c>
      <c r="H2048">
        <v>3</v>
      </c>
    </row>
    <row r="2049" spans="1:8" x14ac:dyDescent="0.3">
      <c r="A2049" t="s">
        <v>232</v>
      </c>
      <c r="B2049">
        <v>2014</v>
      </c>
      <c r="C2049" t="s">
        <v>271</v>
      </c>
      <c r="D2049" t="s">
        <v>300</v>
      </c>
      <c r="E2049" t="s">
        <v>65</v>
      </c>
      <c r="F2049">
        <v>73200</v>
      </c>
      <c r="G2049" t="s">
        <v>72</v>
      </c>
      <c r="H2049">
        <v>2</v>
      </c>
    </row>
    <row r="2050" spans="1:8" x14ac:dyDescent="0.3">
      <c r="A2050" t="s">
        <v>232</v>
      </c>
      <c r="B2050">
        <v>2015</v>
      </c>
      <c r="C2050" t="s">
        <v>271</v>
      </c>
      <c r="D2050" t="s">
        <v>300</v>
      </c>
      <c r="E2050" t="s">
        <v>65</v>
      </c>
      <c r="F2050">
        <v>73200</v>
      </c>
      <c r="G2050" t="s">
        <v>72</v>
      </c>
      <c r="H2050">
        <v>1</v>
      </c>
    </row>
    <row r="2051" spans="1:8" x14ac:dyDescent="0.3">
      <c r="A2051" t="s">
        <v>232</v>
      </c>
      <c r="B2051">
        <v>2016</v>
      </c>
      <c r="C2051" t="s">
        <v>271</v>
      </c>
      <c r="D2051" t="s">
        <v>300</v>
      </c>
      <c r="E2051" t="s">
        <v>65</v>
      </c>
      <c r="F2051">
        <v>73200</v>
      </c>
      <c r="G2051" t="s">
        <v>72</v>
      </c>
      <c r="H2051">
        <v>2</v>
      </c>
    </row>
    <row r="2052" spans="1:8" x14ac:dyDescent="0.3">
      <c r="A2052" t="s">
        <v>232</v>
      </c>
      <c r="B2052">
        <v>2018</v>
      </c>
      <c r="C2052" t="s">
        <v>271</v>
      </c>
      <c r="D2052" t="s">
        <v>300</v>
      </c>
      <c r="E2052" t="s">
        <v>65</v>
      </c>
      <c r="F2052">
        <v>73200</v>
      </c>
      <c r="G2052" t="s">
        <v>72</v>
      </c>
      <c r="H2052">
        <v>3</v>
      </c>
    </row>
    <row r="2053" spans="1:8" x14ac:dyDescent="0.3">
      <c r="A2053" t="s">
        <v>232</v>
      </c>
      <c r="B2053">
        <v>2019</v>
      </c>
      <c r="C2053" t="s">
        <v>271</v>
      </c>
      <c r="D2053" t="s">
        <v>300</v>
      </c>
      <c r="E2053" t="s">
        <v>65</v>
      </c>
      <c r="F2053">
        <v>73200</v>
      </c>
      <c r="G2053" t="s">
        <v>72</v>
      </c>
      <c r="H2053">
        <v>1</v>
      </c>
    </row>
    <row r="2054" spans="1:8" x14ac:dyDescent="0.3">
      <c r="A2054" t="s">
        <v>232</v>
      </c>
      <c r="B2054">
        <v>2021</v>
      </c>
      <c r="C2054" t="s">
        <v>271</v>
      </c>
      <c r="D2054" t="s">
        <v>300</v>
      </c>
      <c r="E2054" t="s">
        <v>65</v>
      </c>
      <c r="F2054">
        <v>73200</v>
      </c>
      <c r="G2054" t="s">
        <v>72</v>
      </c>
      <c r="H2054">
        <v>3</v>
      </c>
    </row>
    <row r="2055" spans="1:8" x14ac:dyDescent="0.3">
      <c r="A2055" t="s">
        <v>233</v>
      </c>
      <c r="B2055">
        <v>2014</v>
      </c>
      <c r="C2055" t="s">
        <v>271</v>
      </c>
      <c r="D2055" t="s">
        <v>300</v>
      </c>
      <c r="E2055" t="s">
        <v>65</v>
      </c>
      <c r="F2055">
        <v>88846</v>
      </c>
      <c r="G2055" t="s">
        <v>72</v>
      </c>
      <c r="H2055">
        <v>1</v>
      </c>
    </row>
    <row r="2056" spans="1:8" x14ac:dyDescent="0.3">
      <c r="A2056" t="s">
        <v>233</v>
      </c>
      <c r="B2056">
        <v>2020</v>
      </c>
      <c r="C2056" t="s">
        <v>271</v>
      </c>
      <c r="D2056" t="s">
        <v>300</v>
      </c>
      <c r="E2056" t="s">
        <v>65</v>
      </c>
      <c r="F2056">
        <v>88846</v>
      </c>
      <c r="G2056" t="s">
        <v>72</v>
      </c>
      <c r="H2056">
        <v>3</v>
      </c>
    </row>
    <row r="2057" spans="1:8" x14ac:dyDescent="0.3">
      <c r="A2057" t="s">
        <v>234</v>
      </c>
      <c r="B2057">
        <v>2015</v>
      </c>
      <c r="C2057" t="s">
        <v>271</v>
      </c>
      <c r="D2057" t="s">
        <v>300</v>
      </c>
      <c r="E2057" t="s">
        <v>65</v>
      </c>
      <c r="F2057">
        <v>99600</v>
      </c>
      <c r="G2057" t="s">
        <v>72</v>
      </c>
      <c r="H2057">
        <v>5</v>
      </c>
    </row>
    <row r="2058" spans="1:8" x14ac:dyDescent="0.3">
      <c r="A2058" t="s">
        <v>234</v>
      </c>
      <c r="B2058">
        <v>2016</v>
      </c>
      <c r="C2058" t="s">
        <v>271</v>
      </c>
      <c r="D2058" t="s">
        <v>300</v>
      </c>
      <c r="E2058" t="s">
        <v>65</v>
      </c>
      <c r="F2058">
        <v>99600</v>
      </c>
      <c r="G2058" t="s">
        <v>72</v>
      </c>
      <c r="H2058">
        <v>2</v>
      </c>
    </row>
    <row r="2059" spans="1:8" x14ac:dyDescent="0.3">
      <c r="A2059" t="s">
        <v>234</v>
      </c>
      <c r="B2059">
        <v>2020</v>
      </c>
      <c r="C2059" t="s">
        <v>271</v>
      </c>
      <c r="D2059" t="s">
        <v>300</v>
      </c>
      <c r="E2059" t="s">
        <v>65</v>
      </c>
      <c r="F2059">
        <v>99600</v>
      </c>
      <c r="G2059" t="s">
        <v>72</v>
      </c>
      <c r="H2059">
        <v>4</v>
      </c>
    </row>
    <row r="2060" spans="1:8" x14ac:dyDescent="0.3">
      <c r="A2060" t="s">
        <v>120</v>
      </c>
      <c r="B2060">
        <v>2014</v>
      </c>
      <c r="C2060" t="s">
        <v>271</v>
      </c>
      <c r="D2060" t="s">
        <v>300</v>
      </c>
      <c r="E2060" t="s">
        <v>65</v>
      </c>
      <c r="F2060">
        <v>28000</v>
      </c>
      <c r="G2060" t="s">
        <v>72</v>
      </c>
      <c r="H2060">
        <v>1</v>
      </c>
    </row>
    <row r="2061" spans="1:8" x14ac:dyDescent="0.3">
      <c r="A2061" t="s">
        <v>120</v>
      </c>
      <c r="B2061">
        <v>2018</v>
      </c>
      <c r="C2061" t="s">
        <v>271</v>
      </c>
      <c r="D2061" t="s">
        <v>300</v>
      </c>
      <c r="E2061" t="s">
        <v>65</v>
      </c>
      <c r="F2061">
        <v>28000</v>
      </c>
      <c r="G2061" t="s">
        <v>72</v>
      </c>
      <c r="H2061">
        <v>1</v>
      </c>
    </row>
    <row r="2062" spans="1:8" x14ac:dyDescent="0.3">
      <c r="A2062" t="s">
        <v>120</v>
      </c>
      <c r="B2062">
        <v>2019</v>
      </c>
      <c r="C2062" t="s">
        <v>271</v>
      </c>
      <c r="D2062" t="s">
        <v>300</v>
      </c>
      <c r="E2062" t="s">
        <v>65</v>
      </c>
      <c r="F2062">
        <v>28000</v>
      </c>
      <c r="G2062" t="s">
        <v>72</v>
      </c>
      <c r="H2062">
        <v>2</v>
      </c>
    </row>
    <row r="2063" spans="1:8" x14ac:dyDescent="0.3">
      <c r="A2063" t="s">
        <v>238</v>
      </c>
      <c r="B2063">
        <v>2014</v>
      </c>
      <c r="C2063" t="s">
        <v>271</v>
      </c>
      <c r="D2063" t="s">
        <v>300</v>
      </c>
      <c r="E2063" t="s">
        <v>65</v>
      </c>
      <c r="F2063">
        <v>322500</v>
      </c>
      <c r="G2063" t="s">
        <v>83</v>
      </c>
      <c r="H2063">
        <v>1</v>
      </c>
    </row>
    <row r="2064" spans="1:8" x14ac:dyDescent="0.3">
      <c r="A2064" t="s">
        <v>238</v>
      </c>
      <c r="B2064">
        <v>2015</v>
      </c>
      <c r="C2064" t="s">
        <v>271</v>
      </c>
      <c r="D2064" t="s">
        <v>300</v>
      </c>
      <c r="E2064" t="s">
        <v>65</v>
      </c>
      <c r="F2064">
        <v>322500</v>
      </c>
      <c r="G2064" t="s">
        <v>83</v>
      </c>
      <c r="H2064">
        <v>3</v>
      </c>
    </row>
    <row r="2065" spans="1:8" x14ac:dyDescent="0.3">
      <c r="A2065" t="s">
        <v>238</v>
      </c>
      <c r="B2065">
        <v>2016</v>
      </c>
      <c r="C2065" t="s">
        <v>271</v>
      </c>
      <c r="D2065" t="s">
        <v>300</v>
      </c>
      <c r="E2065" t="s">
        <v>65</v>
      </c>
      <c r="F2065">
        <v>322500</v>
      </c>
      <c r="G2065" t="s">
        <v>83</v>
      </c>
      <c r="H2065">
        <v>2</v>
      </c>
    </row>
    <row r="2066" spans="1:8" x14ac:dyDescent="0.3">
      <c r="A2066" t="s">
        <v>238</v>
      </c>
      <c r="B2066">
        <v>2019</v>
      </c>
      <c r="C2066" t="s">
        <v>271</v>
      </c>
      <c r="D2066" t="s">
        <v>300</v>
      </c>
      <c r="E2066" t="s">
        <v>65</v>
      </c>
      <c r="F2066">
        <v>322500</v>
      </c>
      <c r="G2066" t="s">
        <v>83</v>
      </c>
      <c r="H2066">
        <v>2</v>
      </c>
    </row>
    <row r="2067" spans="1:8" x14ac:dyDescent="0.3">
      <c r="A2067" t="s">
        <v>238</v>
      </c>
      <c r="B2067">
        <v>2020</v>
      </c>
      <c r="C2067" t="s">
        <v>271</v>
      </c>
      <c r="D2067" t="s">
        <v>300</v>
      </c>
      <c r="E2067" t="s">
        <v>65</v>
      </c>
      <c r="F2067">
        <v>322500</v>
      </c>
      <c r="G2067" t="s">
        <v>83</v>
      </c>
      <c r="H2067">
        <v>1</v>
      </c>
    </row>
    <row r="2068" spans="1:8" x14ac:dyDescent="0.3">
      <c r="A2068" t="s">
        <v>238</v>
      </c>
      <c r="B2068">
        <v>2021</v>
      </c>
      <c r="C2068" t="s">
        <v>271</v>
      </c>
      <c r="D2068" t="s">
        <v>300</v>
      </c>
      <c r="E2068" t="s">
        <v>65</v>
      </c>
      <c r="F2068">
        <v>322500</v>
      </c>
      <c r="G2068" t="s">
        <v>83</v>
      </c>
      <c r="H2068">
        <v>1</v>
      </c>
    </row>
    <row r="2069" spans="1:8" x14ac:dyDescent="0.3">
      <c r="A2069" t="s">
        <v>240</v>
      </c>
      <c r="B2069">
        <v>2016</v>
      </c>
      <c r="C2069" t="s">
        <v>271</v>
      </c>
      <c r="D2069" t="s">
        <v>300</v>
      </c>
      <c r="E2069" t="s">
        <v>65</v>
      </c>
      <c r="F2069">
        <v>1425</v>
      </c>
      <c r="G2069" t="s">
        <v>66</v>
      </c>
      <c r="H2069">
        <v>1</v>
      </c>
    </row>
    <row r="2070" spans="1:8" x14ac:dyDescent="0.3">
      <c r="A2070" t="s">
        <v>240</v>
      </c>
      <c r="B2070">
        <v>2018</v>
      </c>
      <c r="C2070" t="s">
        <v>271</v>
      </c>
      <c r="D2070" t="s">
        <v>300</v>
      </c>
      <c r="E2070" t="s">
        <v>65</v>
      </c>
      <c r="F2070">
        <v>1425</v>
      </c>
      <c r="G2070" t="s">
        <v>66</v>
      </c>
      <c r="H2070">
        <v>4</v>
      </c>
    </row>
    <row r="2071" spans="1:8" x14ac:dyDescent="0.3">
      <c r="A2071" t="s">
        <v>241</v>
      </c>
      <c r="B2071">
        <v>2014</v>
      </c>
      <c r="C2071" t="s">
        <v>271</v>
      </c>
      <c r="D2071" t="s">
        <v>300</v>
      </c>
      <c r="E2071" t="s">
        <v>65</v>
      </c>
      <c r="F2071">
        <v>17698</v>
      </c>
      <c r="G2071" t="s">
        <v>72</v>
      </c>
      <c r="H2071">
        <v>1</v>
      </c>
    </row>
    <row r="2072" spans="1:8" x14ac:dyDescent="0.3">
      <c r="A2072" t="s">
        <v>241</v>
      </c>
      <c r="B2072">
        <v>2016</v>
      </c>
      <c r="C2072" t="s">
        <v>271</v>
      </c>
      <c r="D2072" t="s">
        <v>300</v>
      </c>
      <c r="E2072" t="s">
        <v>65</v>
      </c>
      <c r="F2072">
        <v>17698</v>
      </c>
      <c r="G2072" t="s">
        <v>72</v>
      </c>
      <c r="H2072">
        <v>3</v>
      </c>
    </row>
    <row r="2073" spans="1:8" x14ac:dyDescent="0.3">
      <c r="A2073" t="s">
        <v>241</v>
      </c>
      <c r="B2073">
        <v>2017</v>
      </c>
      <c r="C2073" t="s">
        <v>271</v>
      </c>
      <c r="D2073" t="s">
        <v>300</v>
      </c>
      <c r="E2073" t="s">
        <v>65</v>
      </c>
      <c r="F2073">
        <v>17698</v>
      </c>
      <c r="G2073" t="s">
        <v>72</v>
      </c>
      <c r="H2073">
        <v>1</v>
      </c>
    </row>
    <row r="2074" spans="1:8" x14ac:dyDescent="0.3">
      <c r="A2074" t="s">
        <v>241</v>
      </c>
      <c r="B2074">
        <v>2018</v>
      </c>
      <c r="C2074" t="s">
        <v>271</v>
      </c>
      <c r="D2074" t="s">
        <v>300</v>
      </c>
      <c r="E2074" t="s">
        <v>65</v>
      </c>
      <c r="F2074">
        <v>17698</v>
      </c>
      <c r="G2074" t="s">
        <v>72</v>
      </c>
      <c r="H2074">
        <v>2</v>
      </c>
    </row>
    <row r="2075" spans="1:8" x14ac:dyDescent="0.3">
      <c r="A2075" t="s">
        <v>241</v>
      </c>
      <c r="B2075">
        <v>2019</v>
      </c>
      <c r="C2075" t="s">
        <v>271</v>
      </c>
      <c r="D2075" t="s">
        <v>300</v>
      </c>
      <c r="E2075" t="s">
        <v>65</v>
      </c>
      <c r="F2075">
        <v>17698</v>
      </c>
      <c r="G2075" t="s">
        <v>72</v>
      </c>
      <c r="H2075">
        <v>1</v>
      </c>
    </row>
    <row r="2076" spans="1:8" x14ac:dyDescent="0.3">
      <c r="A2076" t="s">
        <v>241</v>
      </c>
      <c r="B2076">
        <v>2020</v>
      </c>
      <c r="C2076" t="s">
        <v>271</v>
      </c>
      <c r="D2076" t="s">
        <v>300</v>
      </c>
      <c r="E2076" t="s">
        <v>65</v>
      </c>
      <c r="F2076">
        <v>17698</v>
      </c>
      <c r="G2076" t="s">
        <v>72</v>
      </c>
      <c r="H2076">
        <v>1</v>
      </c>
    </row>
    <row r="2077" spans="1:8" x14ac:dyDescent="0.3">
      <c r="A2077" t="s">
        <v>242</v>
      </c>
      <c r="B2077">
        <v>2014</v>
      </c>
      <c r="C2077" t="s">
        <v>271</v>
      </c>
      <c r="D2077" t="s">
        <v>300</v>
      </c>
      <c r="E2077" t="s">
        <v>65</v>
      </c>
      <c r="F2077">
        <v>18000</v>
      </c>
      <c r="G2077" t="s">
        <v>72</v>
      </c>
      <c r="H2077">
        <v>1</v>
      </c>
    </row>
    <row r="2078" spans="1:8" x14ac:dyDescent="0.3">
      <c r="A2078" t="s">
        <v>242</v>
      </c>
      <c r="B2078">
        <v>2015</v>
      </c>
      <c r="C2078" t="s">
        <v>271</v>
      </c>
      <c r="D2078" t="s">
        <v>300</v>
      </c>
      <c r="E2078" t="s">
        <v>65</v>
      </c>
      <c r="F2078">
        <v>18000</v>
      </c>
      <c r="G2078" t="s">
        <v>72</v>
      </c>
      <c r="H2078">
        <v>1</v>
      </c>
    </row>
    <row r="2079" spans="1:8" x14ac:dyDescent="0.3">
      <c r="A2079" t="s">
        <v>242</v>
      </c>
      <c r="B2079">
        <v>2016</v>
      </c>
      <c r="C2079" t="s">
        <v>271</v>
      </c>
      <c r="D2079" t="s">
        <v>300</v>
      </c>
      <c r="E2079" t="s">
        <v>65</v>
      </c>
      <c r="F2079">
        <v>18000</v>
      </c>
      <c r="G2079" t="s">
        <v>72</v>
      </c>
      <c r="H2079">
        <v>1</v>
      </c>
    </row>
    <row r="2080" spans="1:8" x14ac:dyDescent="0.3">
      <c r="A2080" t="s">
        <v>242</v>
      </c>
      <c r="B2080">
        <v>2018</v>
      </c>
      <c r="C2080" t="s">
        <v>271</v>
      </c>
      <c r="D2080" t="s">
        <v>300</v>
      </c>
      <c r="E2080" t="s">
        <v>65</v>
      </c>
      <c r="F2080">
        <v>18000</v>
      </c>
      <c r="G2080" t="s">
        <v>72</v>
      </c>
      <c r="H2080">
        <v>2</v>
      </c>
    </row>
    <row r="2081" spans="1:8" x14ac:dyDescent="0.3">
      <c r="A2081" t="s">
        <v>242</v>
      </c>
      <c r="B2081">
        <v>2019</v>
      </c>
      <c r="C2081" t="s">
        <v>271</v>
      </c>
      <c r="D2081" t="s">
        <v>300</v>
      </c>
      <c r="E2081" t="s">
        <v>65</v>
      </c>
      <c r="F2081">
        <v>18000</v>
      </c>
      <c r="G2081" t="s">
        <v>72</v>
      </c>
      <c r="H2081">
        <v>4</v>
      </c>
    </row>
    <row r="2082" spans="1:8" x14ac:dyDescent="0.3">
      <c r="A2082" t="s">
        <v>242</v>
      </c>
      <c r="B2082">
        <v>2020</v>
      </c>
      <c r="C2082" t="s">
        <v>271</v>
      </c>
      <c r="D2082" t="s">
        <v>300</v>
      </c>
      <c r="E2082" t="s">
        <v>65</v>
      </c>
      <c r="F2082">
        <v>18000</v>
      </c>
      <c r="G2082" t="s">
        <v>72</v>
      </c>
      <c r="H2082">
        <v>1</v>
      </c>
    </row>
    <row r="2083" spans="1:8" x14ac:dyDescent="0.3">
      <c r="A2083" t="s">
        <v>121</v>
      </c>
      <c r="B2083">
        <v>2014</v>
      </c>
      <c r="C2083" t="s">
        <v>271</v>
      </c>
      <c r="D2083" t="s">
        <v>300</v>
      </c>
      <c r="E2083" t="s">
        <v>65</v>
      </c>
      <c r="F2083">
        <v>21500</v>
      </c>
      <c r="G2083" t="s">
        <v>72</v>
      </c>
      <c r="H2083">
        <v>1</v>
      </c>
    </row>
    <row r="2084" spans="1:8" x14ac:dyDescent="0.3">
      <c r="A2084" t="s">
        <v>121</v>
      </c>
      <c r="B2084">
        <v>2016</v>
      </c>
      <c r="C2084" t="s">
        <v>271</v>
      </c>
      <c r="D2084" t="s">
        <v>300</v>
      </c>
      <c r="E2084" t="s">
        <v>65</v>
      </c>
      <c r="F2084">
        <v>21500</v>
      </c>
      <c r="G2084" t="s">
        <v>72</v>
      </c>
      <c r="H2084">
        <v>1</v>
      </c>
    </row>
    <row r="2085" spans="1:8" x14ac:dyDescent="0.3">
      <c r="A2085" t="s">
        <v>121</v>
      </c>
      <c r="B2085">
        <v>2017</v>
      </c>
      <c r="C2085" t="s">
        <v>271</v>
      </c>
      <c r="D2085" t="s">
        <v>300</v>
      </c>
      <c r="E2085" t="s">
        <v>65</v>
      </c>
      <c r="F2085">
        <v>21500</v>
      </c>
      <c r="G2085" t="s">
        <v>72</v>
      </c>
      <c r="H2085">
        <v>2</v>
      </c>
    </row>
    <row r="2086" spans="1:8" x14ac:dyDescent="0.3">
      <c r="A2086" t="s">
        <v>121</v>
      </c>
      <c r="B2086">
        <v>2018</v>
      </c>
      <c r="C2086" t="s">
        <v>271</v>
      </c>
      <c r="D2086" t="s">
        <v>300</v>
      </c>
      <c r="E2086" t="s">
        <v>65</v>
      </c>
      <c r="F2086">
        <v>21500</v>
      </c>
      <c r="G2086" t="s">
        <v>72</v>
      </c>
      <c r="H2086">
        <v>7</v>
      </c>
    </row>
    <row r="2087" spans="1:8" x14ac:dyDescent="0.3">
      <c r="A2087" t="s">
        <v>121</v>
      </c>
      <c r="B2087">
        <v>2020</v>
      </c>
      <c r="C2087" t="s">
        <v>271</v>
      </c>
      <c r="D2087" t="s">
        <v>300</v>
      </c>
      <c r="E2087" t="s">
        <v>65</v>
      </c>
      <c r="F2087">
        <v>21500</v>
      </c>
      <c r="G2087" t="s">
        <v>72</v>
      </c>
      <c r="H2087">
        <v>1</v>
      </c>
    </row>
    <row r="2088" spans="1:8" x14ac:dyDescent="0.3">
      <c r="A2088" t="s">
        <v>243</v>
      </c>
      <c r="B2088">
        <v>2015</v>
      </c>
      <c r="C2088" t="s">
        <v>271</v>
      </c>
      <c r="D2088" t="s">
        <v>300</v>
      </c>
      <c r="E2088" t="s">
        <v>65</v>
      </c>
      <c r="F2088">
        <v>23500</v>
      </c>
      <c r="G2088" t="s">
        <v>72</v>
      </c>
      <c r="H2088">
        <v>1</v>
      </c>
    </row>
    <row r="2089" spans="1:8" x14ac:dyDescent="0.3">
      <c r="A2089" t="s">
        <v>243</v>
      </c>
      <c r="B2089">
        <v>2016</v>
      </c>
      <c r="C2089" t="s">
        <v>271</v>
      </c>
      <c r="D2089" t="s">
        <v>300</v>
      </c>
      <c r="E2089" t="s">
        <v>65</v>
      </c>
      <c r="F2089">
        <v>23500</v>
      </c>
      <c r="G2089" t="s">
        <v>72</v>
      </c>
      <c r="H2089">
        <v>2</v>
      </c>
    </row>
    <row r="2090" spans="1:8" x14ac:dyDescent="0.3">
      <c r="A2090" t="s">
        <v>243</v>
      </c>
      <c r="B2090">
        <v>2017</v>
      </c>
      <c r="C2090" t="s">
        <v>271</v>
      </c>
      <c r="D2090" t="s">
        <v>300</v>
      </c>
      <c r="E2090" t="s">
        <v>65</v>
      </c>
      <c r="F2090">
        <v>23500</v>
      </c>
      <c r="G2090" t="s">
        <v>72</v>
      </c>
      <c r="H2090">
        <v>1</v>
      </c>
    </row>
    <row r="2091" spans="1:8" x14ac:dyDescent="0.3">
      <c r="A2091" t="s">
        <v>243</v>
      </c>
      <c r="B2091">
        <v>2018</v>
      </c>
      <c r="C2091" t="s">
        <v>271</v>
      </c>
      <c r="D2091" t="s">
        <v>300</v>
      </c>
      <c r="E2091" t="s">
        <v>65</v>
      </c>
      <c r="F2091">
        <v>23500</v>
      </c>
      <c r="G2091" t="s">
        <v>72</v>
      </c>
      <c r="H2091">
        <v>2</v>
      </c>
    </row>
    <row r="2092" spans="1:8" x14ac:dyDescent="0.3">
      <c r="A2092" t="s">
        <v>243</v>
      </c>
      <c r="B2092">
        <v>2020</v>
      </c>
      <c r="C2092" t="s">
        <v>271</v>
      </c>
      <c r="D2092" t="s">
        <v>300</v>
      </c>
      <c r="E2092" t="s">
        <v>65</v>
      </c>
      <c r="F2092">
        <v>23500</v>
      </c>
      <c r="G2092" t="s">
        <v>72</v>
      </c>
      <c r="H2092">
        <v>3</v>
      </c>
    </row>
    <row r="2093" spans="1:8" x14ac:dyDescent="0.3">
      <c r="A2093" t="s">
        <v>243</v>
      </c>
      <c r="B2093">
        <v>2021</v>
      </c>
      <c r="C2093" t="s">
        <v>271</v>
      </c>
      <c r="D2093" t="s">
        <v>300</v>
      </c>
      <c r="E2093" t="s">
        <v>65</v>
      </c>
      <c r="F2093">
        <v>23500</v>
      </c>
      <c r="G2093" t="s">
        <v>72</v>
      </c>
      <c r="H2093">
        <v>1</v>
      </c>
    </row>
    <row r="2094" spans="1:8" x14ac:dyDescent="0.3">
      <c r="A2094" t="s">
        <v>122</v>
      </c>
      <c r="B2094">
        <v>2018</v>
      </c>
      <c r="C2094" t="s">
        <v>271</v>
      </c>
      <c r="D2094" t="s">
        <v>300</v>
      </c>
      <c r="E2094" t="s">
        <v>65</v>
      </c>
      <c r="F2094">
        <v>3086</v>
      </c>
      <c r="G2094" t="s">
        <v>66</v>
      </c>
      <c r="H2094">
        <v>1</v>
      </c>
    </row>
    <row r="2095" spans="1:8" x14ac:dyDescent="0.3">
      <c r="A2095" t="s">
        <v>122</v>
      </c>
      <c r="B2095">
        <v>2019</v>
      </c>
      <c r="C2095" t="s">
        <v>271</v>
      </c>
      <c r="D2095" t="s">
        <v>300</v>
      </c>
      <c r="E2095" t="s">
        <v>65</v>
      </c>
      <c r="F2095">
        <v>3086</v>
      </c>
      <c r="G2095" t="s">
        <v>66</v>
      </c>
      <c r="H2095">
        <v>1</v>
      </c>
    </row>
    <row r="2096" spans="1:8" x14ac:dyDescent="0.3">
      <c r="A2096" t="s">
        <v>122</v>
      </c>
      <c r="B2096">
        <v>2020</v>
      </c>
      <c r="C2096" t="s">
        <v>271</v>
      </c>
      <c r="D2096" t="s">
        <v>300</v>
      </c>
      <c r="E2096" t="s">
        <v>65</v>
      </c>
      <c r="F2096">
        <v>3086</v>
      </c>
      <c r="G2096" t="s">
        <v>66</v>
      </c>
      <c r="H2096">
        <v>1</v>
      </c>
    </row>
    <row r="2097" spans="1:8" x14ac:dyDescent="0.3">
      <c r="A2097" t="s">
        <v>123</v>
      </c>
      <c r="B2097">
        <v>2014</v>
      </c>
      <c r="C2097" t="s">
        <v>271</v>
      </c>
      <c r="D2097" t="s">
        <v>300</v>
      </c>
      <c r="E2097" t="s">
        <v>65</v>
      </c>
      <c r="F2097">
        <v>2579</v>
      </c>
      <c r="G2097" t="s">
        <v>66</v>
      </c>
      <c r="H2097">
        <v>2</v>
      </c>
    </row>
    <row r="2098" spans="1:8" x14ac:dyDescent="0.3">
      <c r="A2098" t="s">
        <v>123</v>
      </c>
      <c r="B2098">
        <v>2015</v>
      </c>
      <c r="C2098" t="s">
        <v>271</v>
      </c>
      <c r="D2098" t="s">
        <v>300</v>
      </c>
      <c r="E2098" t="s">
        <v>65</v>
      </c>
      <c r="F2098">
        <v>2579</v>
      </c>
      <c r="G2098" t="s">
        <v>66</v>
      </c>
      <c r="H2098">
        <v>1</v>
      </c>
    </row>
    <row r="2099" spans="1:8" x14ac:dyDescent="0.3">
      <c r="A2099" t="s">
        <v>123</v>
      </c>
      <c r="B2099">
        <v>2016</v>
      </c>
      <c r="C2099" t="s">
        <v>271</v>
      </c>
      <c r="D2099" t="s">
        <v>300</v>
      </c>
      <c r="E2099" t="s">
        <v>65</v>
      </c>
      <c r="F2099">
        <v>2579</v>
      </c>
      <c r="G2099" t="s">
        <v>66</v>
      </c>
      <c r="H2099">
        <v>4</v>
      </c>
    </row>
    <row r="2100" spans="1:8" x14ac:dyDescent="0.3">
      <c r="A2100" t="s">
        <v>123</v>
      </c>
      <c r="B2100">
        <v>2017</v>
      </c>
      <c r="C2100" t="s">
        <v>271</v>
      </c>
      <c r="D2100" t="s">
        <v>300</v>
      </c>
      <c r="E2100" t="s">
        <v>65</v>
      </c>
      <c r="F2100">
        <v>2579</v>
      </c>
      <c r="G2100" t="s">
        <v>66</v>
      </c>
      <c r="H2100">
        <v>3</v>
      </c>
    </row>
    <row r="2101" spans="1:8" x14ac:dyDescent="0.3">
      <c r="A2101" t="s">
        <v>123</v>
      </c>
      <c r="B2101">
        <v>2018</v>
      </c>
      <c r="C2101" t="s">
        <v>271</v>
      </c>
      <c r="D2101" t="s">
        <v>300</v>
      </c>
      <c r="E2101" t="s">
        <v>65</v>
      </c>
      <c r="F2101">
        <v>2579</v>
      </c>
      <c r="G2101" t="s">
        <v>66</v>
      </c>
      <c r="H2101">
        <v>8</v>
      </c>
    </row>
    <row r="2102" spans="1:8" x14ac:dyDescent="0.3">
      <c r="A2102" t="s">
        <v>123</v>
      </c>
      <c r="B2102">
        <v>2019</v>
      </c>
      <c r="C2102" t="s">
        <v>271</v>
      </c>
      <c r="D2102" t="s">
        <v>300</v>
      </c>
      <c r="E2102" t="s">
        <v>65</v>
      </c>
      <c r="F2102">
        <v>2579</v>
      </c>
      <c r="G2102" t="s">
        <v>66</v>
      </c>
      <c r="H2102">
        <v>6</v>
      </c>
    </row>
    <row r="2103" spans="1:8" x14ac:dyDescent="0.3">
      <c r="A2103" t="s">
        <v>123</v>
      </c>
      <c r="B2103">
        <v>2020</v>
      </c>
      <c r="C2103" t="s">
        <v>271</v>
      </c>
      <c r="D2103" t="s">
        <v>300</v>
      </c>
      <c r="E2103" t="s">
        <v>65</v>
      </c>
      <c r="F2103">
        <v>2579</v>
      </c>
      <c r="G2103" t="s">
        <v>66</v>
      </c>
      <c r="H2103">
        <v>4</v>
      </c>
    </row>
    <row r="2104" spans="1:8" x14ac:dyDescent="0.3">
      <c r="A2104" t="s">
        <v>123</v>
      </c>
      <c r="B2104">
        <v>2021</v>
      </c>
      <c r="C2104" t="s">
        <v>271</v>
      </c>
      <c r="D2104" t="s">
        <v>300</v>
      </c>
      <c r="E2104" t="s">
        <v>65</v>
      </c>
      <c r="F2104">
        <v>2579</v>
      </c>
      <c r="G2104" t="s">
        <v>66</v>
      </c>
      <c r="H2104">
        <v>4</v>
      </c>
    </row>
    <row r="2105" spans="1:8" x14ac:dyDescent="0.3">
      <c r="A2105" t="s">
        <v>124</v>
      </c>
      <c r="B2105">
        <v>2017</v>
      </c>
      <c r="C2105" t="s">
        <v>271</v>
      </c>
      <c r="D2105" t="s">
        <v>300</v>
      </c>
      <c r="E2105" t="s">
        <v>65</v>
      </c>
      <c r="F2105">
        <v>12500</v>
      </c>
      <c r="G2105" t="s">
        <v>66</v>
      </c>
      <c r="H2105">
        <v>2</v>
      </c>
    </row>
    <row r="2106" spans="1:8" x14ac:dyDescent="0.3">
      <c r="A2106" t="s">
        <v>124</v>
      </c>
      <c r="B2106">
        <v>2018</v>
      </c>
      <c r="C2106" t="s">
        <v>271</v>
      </c>
      <c r="D2106" t="s">
        <v>300</v>
      </c>
      <c r="E2106" t="s">
        <v>65</v>
      </c>
      <c r="F2106">
        <v>12500</v>
      </c>
      <c r="G2106" t="s">
        <v>66</v>
      </c>
      <c r="H2106">
        <v>2</v>
      </c>
    </row>
    <row r="2107" spans="1:8" x14ac:dyDescent="0.3">
      <c r="A2107" t="s">
        <v>124</v>
      </c>
      <c r="B2107">
        <v>2020</v>
      </c>
      <c r="C2107" t="s">
        <v>271</v>
      </c>
      <c r="D2107" t="s">
        <v>300</v>
      </c>
      <c r="E2107" t="s">
        <v>65</v>
      </c>
      <c r="F2107">
        <v>12500</v>
      </c>
      <c r="G2107" t="s">
        <v>66</v>
      </c>
      <c r="H2107">
        <v>1</v>
      </c>
    </row>
    <row r="2108" spans="1:8" x14ac:dyDescent="0.3">
      <c r="A2108" t="s">
        <v>124</v>
      </c>
      <c r="B2108">
        <v>2021</v>
      </c>
      <c r="C2108" t="s">
        <v>271</v>
      </c>
      <c r="D2108" t="s">
        <v>300</v>
      </c>
      <c r="E2108" t="s">
        <v>65</v>
      </c>
      <c r="F2108">
        <v>12500</v>
      </c>
      <c r="G2108" t="s">
        <v>66</v>
      </c>
      <c r="H2108">
        <v>1</v>
      </c>
    </row>
    <row r="2109" spans="1:8" x14ac:dyDescent="0.3">
      <c r="A2109" t="s">
        <v>248</v>
      </c>
      <c r="B2109">
        <v>2015</v>
      </c>
      <c r="C2109" t="s">
        <v>271</v>
      </c>
      <c r="D2109" t="s">
        <v>300</v>
      </c>
      <c r="E2109" t="s">
        <v>65</v>
      </c>
      <c r="F2109">
        <v>11799</v>
      </c>
      <c r="G2109" t="s">
        <v>66</v>
      </c>
      <c r="H2109">
        <v>3</v>
      </c>
    </row>
    <row r="2110" spans="1:8" x14ac:dyDescent="0.3">
      <c r="A2110" t="s">
        <v>248</v>
      </c>
      <c r="B2110">
        <v>2017</v>
      </c>
      <c r="C2110" t="s">
        <v>271</v>
      </c>
      <c r="D2110" t="s">
        <v>300</v>
      </c>
      <c r="E2110" t="s">
        <v>65</v>
      </c>
      <c r="F2110">
        <v>11799</v>
      </c>
      <c r="G2110" t="s">
        <v>66</v>
      </c>
      <c r="H2110">
        <v>3</v>
      </c>
    </row>
    <row r="2111" spans="1:8" x14ac:dyDescent="0.3">
      <c r="A2111" t="s">
        <v>248</v>
      </c>
      <c r="B2111">
        <v>2018</v>
      </c>
      <c r="C2111" t="s">
        <v>271</v>
      </c>
      <c r="D2111" t="s">
        <v>300</v>
      </c>
      <c r="E2111" t="s">
        <v>65</v>
      </c>
      <c r="F2111">
        <v>11799</v>
      </c>
      <c r="G2111" t="s">
        <v>66</v>
      </c>
      <c r="H2111">
        <v>3</v>
      </c>
    </row>
    <row r="2112" spans="1:8" x14ac:dyDescent="0.3">
      <c r="A2112" t="s">
        <v>248</v>
      </c>
      <c r="B2112">
        <v>2019</v>
      </c>
      <c r="C2112" t="s">
        <v>271</v>
      </c>
      <c r="D2112" t="s">
        <v>300</v>
      </c>
      <c r="E2112" t="s">
        <v>65</v>
      </c>
      <c r="F2112">
        <v>11799</v>
      </c>
      <c r="G2112" t="s">
        <v>66</v>
      </c>
      <c r="H2112">
        <v>1</v>
      </c>
    </row>
    <row r="2113" spans="1:8" x14ac:dyDescent="0.3">
      <c r="A2113" t="s">
        <v>297</v>
      </c>
      <c r="B2113">
        <v>2017</v>
      </c>
      <c r="C2113" t="s">
        <v>271</v>
      </c>
      <c r="D2113" t="s">
        <v>300</v>
      </c>
      <c r="E2113" t="s">
        <v>65</v>
      </c>
      <c r="F2113">
        <v>85980</v>
      </c>
      <c r="G2113" t="s">
        <v>72</v>
      </c>
      <c r="H2113">
        <v>6</v>
      </c>
    </row>
    <row r="2114" spans="1:8" x14ac:dyDescent="0.3">
      <c r="A2114" t="s">
        <v>297</v>
      </c>
      <c r="B2114">
        <v>2018</v>
      </c>
      <c r="C2114" t="s">
        <v>271</v>
      </c>
      <c r="D2114" t="s">
        <v>300</v>
      </c>
      <c r="E2114" t="s">
        <v>65</v>
      </c>
      <c r="F2114">
        <v>85980</v>
      </c>
      <c r="G2114" t="s">
        <v>72</v>
      </c>
      <c r="H2114">
        <v>37</v>
      </c>
    </row>
    <row r="2115" spans="1:8" x14ac:dyDescent="0.3">
      <c r="A2115" t="s">
        <v>297</v>
      </c>
      <c r="B2115">
        <v>2019</v>
      </c>
      <c r="C2115" t="s">
        <v>271</v>
      </c>
      <c r="D2115" t="s">
        <v>300</v>
      </c>
      <c r="E2115" t="s">
        <v>65</v>
      </c>
      <c r="F2115">
        <v>85980</v>
      </c>
      <c r="G2115" t="s">
        <v>72</v>
      </c>
      <c r="H2115">
        <v>60</v>
      </c>
    </row>
    <row r="2116" spans="1:8" x14ac:dyDescent="0.3">
      <c r="A2116" t="s">
        <v>297</v>
      </c>
      <c r="B2116">
        <v>2020</v>
      </c>
      <c r="C2116" t="s">
        <v>271</v>
      </c>
      <c r="D2116" t="s">
        <v>300</v>
      </c>
      <c r="E2116" t="s">
        <v>65</v>
      </c>
      <c r="F2116">
        <v>85980</v>
      </c>
      <c r="G2116" t="s">
        <v>72</v>
      </c>
      <c r="H2116">
        <v>76</v>
      </c>
    </row>
    <row r="2117" spans="1:8" x14ac:dyDescent="0.3">
      <c r="A2117" t="s">
        <v>125</v>
      </c>
      <c r="B2117">
        <v>2015</v>
      </c>
      <c r="C2117" t="s">
        <v>271</v>
      </c>
      <c r="D2117" t="s">
        <v>300</v>
      </c>
      <c r="E2117" t="s">
        <v>65</v>
      </c>
      <c r="F2117">
        <v>12100</v>
      </c>
      <c r="G2117" t="s">
        <v>66</v>
      </c>
      <c r="H2117">
        <v>1</v>
      </c>
    </row>
    <row r="2118" spans="1:8" x14ac:dyDescent="0.3">
      <c r="A2118" t="s">
        <v>125</v>
      </c>
      <c r="B2118">
        <v>2018</v>
      </c>
      <c r="C2118" t="s">
        <v>271</v>
      </c>
      <c r="D2118" t="s">
        <v>300</v>
      </c>
      <c r="E2118" t="s">
        <v>65</v>
      </c>
      <c r="F2118">
        <v>12100</v>
      </c>
      <c r="G2118" t="s">
        <v>66</v>
      </c>
      <c r="H2118">
        <v>1</v>
      </c>
    </row>
    <row r="2119" spans="1:8" x14ac:dyDescent="0.3">
      <c r="A2119" t="s">
        <v>125</v>
      </c>
      <c r="B2119">
        <v>2019</v>
      </c>
      <c r="C2119" t="s">
        <v>271</v>
      </c>
      <c r="D2119" t="s">
        <v>300</v>
      </c>
      <c r="E2119" t="s">
        <v>65</v>
      </c>
      <c r="F2119">
        <v>12100</v>
      </c>
      <c r="G2119" t="s">
        <v>66</v>
      </c>
      <c r="H2119">
        <v>1</v>
      </c>
    </row>
    <row r="2120" spans="1:8" x14ac:dyDescent="0.3">
      <c r="A2120" t="s">
        <v>125</v>
      </c>
      <c r="B2120">
        <v>2020</v>
      </c>
      <c r="C2120" t="s">
        <v>271</v>
      </c>
      <c r="D2120" t="s">
        <v>300</v>
      </c>
      <c r="E2120" t="s">
        <v>65</v>
      </c>
      <c r="F2120">
        <v>12100</v>
      </c>
      <c r="G2120" t="s">
        <v>66</v>
      </c>
      <c r="H2120">
        <v>3</v>
      </c>
    </row>
    <row r="2121" spans="1:8" x14ac:dyDescent="0.3">
      <c r="A2121" t="s">
        <v>126</v>
      </c>
      <c r="B2121">
        <v>2014</v>
      </c>
      <c r="C2121" t="s">
        <v>271</v>
      </c>
      <c r="D2121" t="s">
        <v>300</v>
      </c>
      <c r="E2121" t="s">
        <v>65</v>
      </c>
      <c r="F2121">
        <v>2548</v>
      </c>
      <c r="G2121" t="s">
        <v>66</v>
      </c>
      <c r="H2121">
        <v>37</v>
      </c>
    </row>
    <row r="2122" spans="1:8" x14ac:dyDescent="0.3">
      <c r="A2122" t="s">
        <v>126</v>
      </c>
      <c r="B2122">
        <v>2015</v>
      </c>
      <c r="C2122" t="s">
        <v>271</v>
      </c>
      <c r="D2122" t="s">
        <v>300</v>
      </c>
      <c r="E2122" t="s">
        <v>65</v>
      </c>
      <c r="F2122">
        <v>2548</v>
      </c>
      <c r="G2122" t="s">
        <v>66</v>
      </c>
      <c r="H2122">
        <v>57</v>
      </c>
    </row>
    <row r="2123" spans="1:8" x14ac:dyDescent="0.3">
      <c r="A2123" t="s">
        <v>126</v>
      </c>
      <c r="B2123">
        <v>2016</v>
      </c>
      <c r="C2123" t="s">
        <v>271</v>
      </c>
      <c r="D2123" t="s">
        <v>300</v>
      </c>
      <c r="E2123" t="s">
        <v>65</v>
      </c>
      <c r="F2123">
        <v>2548</v>
      </c>
      <c r="G2123" t="s">
        <v>66</v>
      </c>
      <c r="H2123">
        <v>55</v>
      </c>
    </row>
    <row r="2124" spans="1:8" x14ac:dyDescent="0.3">
      <c r="A2124" t="s">
        <v>126</v>
      </c>
      <c r="B2124">
        <v>2017</v>
      </c>
      <c r="C2124" t="s">
        <v>271</v>
      </c>
      <c r="D2124" t="s">
        <v>300</v>
      </c>
      <c r="E2124" t="s">
        <v>65</v>
      </c>
      <c r="F2124">
        <v>2548</v>
      </c>
      <c r="G2124" t="s">
        <v>66</v>
      </c>
      <c r="H2124">
        <v>46</v>
      </c>
    </row>
    <row r="2125" spans="1:8" x14ac:dyDescent="0.3">
      <c r="A2125" t="s">
        <v>126</v>
      </c>
      <c r="B2125">
        <v>2018</v>
      </c>
      <c r="C2125" t="s">
        <v>271</v>
      </c>
      <c r="D2125" t="s">
        <v>300</v>
      </c>
      <c r="E2125" t="s">
        <v>65</v>
      </c>
      <c r="F2125">
        <v>2548</v>
      </c>
      <c r="G2125" t="s">
        <v>66</v>
      </c>
      <c r="H2125">
        <v>271</v>
      </c>
    </row>
    <row r="2126" spans="1:8" x14ac:dyDescent="0.3">
      <c r="A2126" t="s">
        <v>126</v>
      </c>
      <c r="B2126">
        <v>2019</v>
      </c>
      <c r="C2126" t="s">
        <v>271</v>
      </c>
      <c r="D2126" t="s">
        <v>300</v>
      </c>
      <c r="E2126" t="s">
        <v>65</v>
      </c>
      <c r="F2126">
        <v>2548</v>
      </c>
      <c r="G2126" t="s">
        <v>66</v>
      </c>
      <c r="H2126">
        <v>337</v>
      </c>
    </row>
    <row r="2127" spans="1:8" x14ac:dyDescent="0.3">
      <c r="A2127" t="s">
        <v>126</v>
      </c>
      <c r="B2127">
        <v>2020</v>
      </c>
      <c r="C2127" t="s">
        <v>271</v>
      </c>
      <c r="D2127" t="s">
        <v>300</v>
      </c>
      <c r="E2127" t="s">
        <v>65</v>
      </c>
      <c r="F2127">
        <v>2548</v>
      </c>
      <c r="G2127" t="s">
        <v>66</v>
      </c>
      <c r="H2127">
        <v>313</v>
      </c>
    </row>
    <row r="2128" spans="1:8" x14ac:dyDescent="0.3">
      <c r="A2128" t="s">
        <v>126</v>
      </c>
      <c r="B2128">
        <v>2021</v>
      </c>
      <c r="C2128" t="s">
        <v>271</v>
      </c>
      <c r="D2128" t="s">
        <v>300</v>
      </c>
      <c r="E2128" t="s">
        <v>65</v>
      </c>
      <c r="F2128">
        <v>2548</v>
      </c>
      <c r="G2128" t="s">
        <v>66</v>
      </c>
      <c r="H2128">
        <v>235</v>
      </c>
    </row>
    <row r="2129" spans="1:8" x14ac:dyDescent="0.3">
      <c r="A2129" t="s">
        <v>127</v>
      </c>
      <c r="B2129">
        <v>2019</v>
      </c>
      <c r="C2129" t="s">
        <v>271</v>
      </c>
      <c r="D2129" t="s">
        <v>300</v>
      </c>
      <c r="E2129" t="s">
        <v>65</v>
      </c>
      <c r="F2129">
        <v>2150</v>
      </c>
      <c r="G2129" t="s">
        <v>66</v>
      </c>
      <c r="H2129">
        <v>2</v>
      </c>
    </row>
    <row r="2130" spans="1:8" x14ac:dyDescent="0.3">
      <c r="A2130" t="s">
        <v>128</v>
      </c>
      <c r="B2130">
        <v>2014</v>
      </c>
      <c r="C2130" t="s">
        <v>271</v>
      </c>
      <c r="D2130" t="s">
        <v>300</v>
      </c>
      <c r="E2130" t="s">
        <v>65</v>
      </c>
      <c r="F2130">
        <v>2866</v>
      </c>
      <c r="G2130" t="s">
        <v>66</v>
      </c>
      <c r="H2130">
        <v>2</v>
      </c>
    </row>
    <row r="2131" spans="1:8" x14ac:dyDescent="0.3">
      <c r="A2131" t="s">
        <v>128</v>
      </c>
      <c r="B2131">
        <v>2015</v>
      </c>
      <c r="C2131" t="s">
        <v>271</v>
      </c>
      <c r="D2131" t="s">
        <v>300</v>
      </c>
      <c r="E2131" t="s">
        <v>65</v>
      </c>
      <c r="F2131">
        <v>2866</v>
      </c>
      <c r="G2131" t="s">
        <v>66</v>
      </c>
      <c r="H2131">
        <v>1</v>
      </c>
    </row>
    <row r="2132" spans="1:8" x14ac:dyDescent="0.3">
      <c r="A2132" t="s">
        <v>128</v>
      </c>
      <c r="B2132">
        <v>2016</v>
      </c>
      <c r="C2132" t="s">
        <v>271</v>
      </c>
      <c r="D2132" t="s">
        <v>300</v>
      </c>
      <c r="E2132" t="s">
        <v>65</v>
      </c>
      <c r="F2132">
        <v>2866</v>
      </c>
      <c r="G2132" t="s">
        <v>66</v>
      </c>
      <c r="H2132">
        <v>1</v>
      </c>
    </row>
    <row r="2133" spans="1:8" x14ac:dyDescent="0.3">
      <c r="A2133" t="s">
        <v>128</v>
      </c>
      <c r="B2133">
        <v>2017</v>
      </c>
      <c r="C2133" t="s">
        <v>271</v>
      </c>
      <c r="D2133" t="s">
        <v>300</v>
      </c>
      <c r="E2133" t="s">
        <v>65</v>
      </c>
      <c r="F2133">
        <v>2866</v>
      </c>
      <c r="G2133" t="s">
        <v>66</v>
      </c>
      <c r="H2133">
        <v>5</v>
      </c>
    </row>
    <row r="2134" spans="1:8" x14ac:dyDescent="0.3">
      <c r="A2134" t="s">
        <v>128</v>
      </c>
      <c r="B2134">
        <v>2018</v>
      </c>
      <c r="C2134" t="s">
        <v>271</v>
      </c>
      <c r="D2134" t="s">
        <v>300</v>
      </c>
      <c r="E2134" t="s">
        <v>65</v>
      </c>
      <c r="F2134">
        <v>2866</v>
      </c>
      <c r="G2134" t="s">
        <v>66</v>
      </c>
      <c r="H2134">
        <v>11</v>
      </c>
    </row>
    <row r="2135" spans="1:8" x14ac:dyDescent="0.3">
      <c r="A2135" t="s">
        <v>128</v>
      </c>
      <c r="B2135">
        <v>2019</v>
      </c>
      <c r="C2135" t="s">
        <v>271</v>
      </c>
      <c r="D2135" t="s">
        <v>300</v>
      </c>
      <c r="E2135" t="s">
        <v>65</v>
      </c>
      <c r="F2135">
        <v>2866</v>
      </c>
      <c r="G2135" t="s">
        <v>66</v>
      </c>
      <c r="H2135">
        <v>7</v>
      </c>
    </row>
    <row r="2136" spans="1:8" x14ac:dyDescent="0.3">
      <c r="A2136" t="s">
        <v>128</v>
      </c>
      <c r="B2136">
        <v>2020</v>
      </c>
      <c r="C2136" t="s">
        <v>271</v>
      </c>
      <c r="D2136" t="s">
        <v>300</v>
      </c>
      <c r="E2136" t="s">
        <v>65</v>
      </c>
      <c r="F2136">
        <v>2866</v>
      </c>
      <c r="G2136" t="s">
        <v>66</v>
      </c>
      <c r="H2136">
        <v>5</v>
      </c>
    </row>
    <row r="2137" spans="1:8" x14ac:dyDescent="0.3">
      <c r="A2137" t="s">
        <v>128</v>
      </c>
      <c r="B2137">
        <v>2021</v>
      </c>
      <c r="C2137" t="s">
        <v>271</v>
      </c>
      <c r="D2137" t="s">
        <v>300</v>
      </c>
      <c r="E2137" t="s">
        <v>65</v>
      </c>
      <c r="F2137">
        <v>2866</v>
      </c>
      <c r="G2137" t="s">
        <v>66</v>
      </c>
      <c r="H2137">
        <v>6</v>
      </c>
    </row>
    <row r="2138" spans="1:8" x14ac:dyDescent="0.3">
      <c r="A2138" t="s">
        <v>250</v>
      </c>
      <c r="B2138">
        <v>2014</v>
      </c>
      <c r="C2138" t="s">
        <v>271</v>
      </c>
      <c r="D2138" t="s">
        <v>300</v>
      </c>
      <c r="E2138" t="s">
        <v>65</v>
      </c>
      <c r="F2138">
        <v>135000</v>
      </c>
      <c r="G2138" t="s">
        <v>72</v>
      </c>
      <c r="H2138">
        <v>32</v>
      </c>
    </row>
    <row r="2139" spans="1:8" x14ac:dyDescent="0.3">
      <c r="A2139" t="s">
        <v>250</v>
      </c>
      <c r="B2139">
        <v>2015</v>
      </c>
      <c r="C2139" t="s">
        <v>271</v>
      </c>
      <c r="D2139" t="s">
        <v>300</v>
      </c>
      <c r="E2139" t="s">
        <v>65</v>
      </c>
      <c r="F2139">
        <v>135000</v>
      </c>
      <c r="G2139" t="s">
        <v>72</v>
      </c>
      <c r="H2139">
        <v>10</v>
      </c>
    </row>
    <row r="2140" spans="1:8" x14ac:dyDescent="0.3">
      <c r="A2140" t="s">
        <v>250</v>
      </c>
      <c r="B2140">
        <v>2016</v>
      </c>
      <c r="C2140" t="s">
        <v>271</v>
      </c>
      <c r="D2140" t="s">
        <v>300</v>
      </c>
      <c r="E2140" t="s">
        <v>65</v>
      </c>
      <c r="F2140">
        <v>135000</v>
      </c>
      <c r="G2140" t="s">
        <v>72</v>
      </c>
      <c r="H2140">
        <v>20</v>
      </c>
    </row>
    <row r="2141" spans="1:8" x14ac:dyDescent="0.3">
      <c r="A2141" t="s">
        <v>250</v>
      </c>
      <c r="B2141">
        <v>2017</v>
      </c>
      <c r="C2141" t="s">
        <v>271</v>
      </c>
      <c r="D2141" t="s">
        <v>300</v>
      </c>
      <c r="E2141" t="s">
        <v>65</v>
      </c>
      <c r="F2141">
        <v>135000</v>
      </c>
      <c r="G2141" t="s">
        <v>72</v>
      </c>
      <c r="H2141">
        <v>13</v>
      </c>
    </row>
    <row r="2142" spans="1:8" x14ac:dyDescent="0.3">
      <c r="A2142" t="s">
        <v>250</v>
      </c>
      <c r="B2142">
        <v>2018</v>
      </c>
      <c r="C2142" t="s">
        <v>271</v>
      </c>
      <c r="D2142" t="s">
        <v>300</v>
      </c>
      <c r="E2142" t="s">
        <v>65</v>
      </c>
      <c r="F2142">
        <v>135000</v>
      </c>
      <c r="G2142" t="s">
        <v>72</v>
      </c>
      <c r="H2142">
        <v>5</v>
      </c>
    </row>
    <row r="2143" spans="1:8" x14ac:dyDescent="0.3">
      <c r="A2143" t="s">
        <v>250</v>
      </c>
      <c r="B2143">
        <v>2019</v>
      </c>
      <c r="C2143" t="s">
        <v>271</v>
      </c>
      <c r="D2143" t="s">
        <v>300</v>
      </c>
      <c r="E2143" t="s">
        <v>65</v>
      </c>
      <c r="F2143">
        <v>135000</v>
      </c>
      <c r="G2143" t="s">
        <v>72</v>
      </c>
      <c r="H2143">
        <v>1</v>
      </c>
    </row>
    <row r="2144" spans="1:8" x14ac:dyDescent="0.3">
      <c r="A2144" t="s">
        <v>250</v>
      </c>
      <c r="B2144">
        <v>2020</v>
      </c>
      <c r="C2144" t="s">
        <v>271</v>
      </c>
      <c r="D2144" t="s">
        <v>300</v>
      </c>
      <c r="E2144" t="s">
        <v>65</v>
      </c>
      <c r="F2144">
        <v>135000</v>
      </c>
      <c r="G2144" t="s">
        <v>72</v>
      </c>
      <c r="H2144">
        <v>1</v>
      </c>
    </row>
    <row r="2145" spans="1:8" x14ac:dyDescent="0.3">
      <c r="A2145" t="s">
        <v>250</v>
      </c>
      <c r="B2145">
        <v>2021</v>
      </c>
      <c r="C2145" t="s">
        <v>271</v>
      </c>
      <c r="D2145" t="s">
        <v>300</v>
      </c>
      <c r="E2145" t="s">
        <v>65</v>
      </c>
      <c r="F2145">
        <v>135000</v>
      </c>
      <c r="G2145" t="s">
        <v>72</v>
      </c>
      <c r="H2145">
        <v>1</v>
      </c>
    </row>
    <row r="2146" spans="1:8" x14ac:dyDescent="0.3">
      <c r="A2146" t="s">
        <v>129</v>
      </c>
      <c r="B2146">
        <v>2015</v>
      </c>
      <c r="C2146" t="s">
        <v>271</v>
      </c>
      <c r="D2146" t="s">
        <v>300</v>
      </c>
      <c r="E2146" t="s">
        <v>65</v>
      </c>
      <c r="F2146">
        <v>3615</v>
      </c>
      <c r="G2146" t="s">
        <v>66</v>
      </c>
      <c r="H2146">
        <v>1</v>
      </c>
    </row>
    <row r="2147" spans="1:8" x14ac:dyDescent="0.3">
      <c r="A2147" t="s">
        <v>129</v>
      </c>
      <c r="B2147">
        <v>2016</v>
      </c>
      <c r="C2147" t="s">
        <v>271</v>
      </c>
      <c r="D2147" t="s">
        <v>300</v>
      </c>
      <c r="E2147" t="s">
        <v>65</v>
      </c>
      <c r="F2147">
        <v>3615</v>
      </c>
      <c r="G2147" t="s">
        <v>66</v>
      </c>
      <c r="H2147">
        <v>7</v>
      </c>
    </row>
    <row r="2148" spans="1:8" x14ac:dyDescent="0.3">
      <c r="A2148" t="s">
        <v>129</v>
      </c>
      <c r="B2148">
        <v>2017</v>
      </c>
      <c r="C2148" t="s">
        <v>271</v>
      </c>
      <c r="D2148" t="s">
        <v>300</v>
      </c>
      <c r="E2148" t="s">
        <v>65</v>
      </c>
      <c r="F2148">
        <v>3615</v>
      </c>
      <c r="G2148" t="s">
        <v>66</v>
      </c>
      <c r="H2148">
        <v>2</v>
      </c>
    </row>
    <row r="2149" spans="1:8" x14ac:dyDescent="0.3">
      <c r="A2149" t="s">
        <v>129</v>
      </c>
      <c r="B2149">
        <v>2018</v>
      </c>
      <c r="C2149" t="s">
        <v>271</v>
      </c>
      <c r="D2149" t="s">
        <v>300</v>
      </c>
      <c r="E2149" t="s">
        <v>65</v>
      </c>
      <c r="F2149">
        <v>3615</v>
      </c>
      <c r="G2149" t="s">
        <v>66</v>
      </c>
      <c r="H2149">
        <v>5</v>
      </c>
    </row>
    <row r="2150" spans="1:8" x14ac:dyDescent="0.3">
      <c r="A2150" t="s">
        <v>129</v>
      </c>
      <c r="B2150">
        <v>2019</v>
      </c>
      <c r="C2150" t="s">
        <v>271</v>
      </c>
      <c r="D2150" t="s">
        <v>300</v>
      </c>
      <c r="E2150" t="s">
        <v>65</v>
      </c>
      <c r="F2150">
        <v>3615</v>
      </c>
      <c r="G2150" t="s">
        <v>66</v>
      </c>
      <c r="H2150">
        <v>5</v>
      </c>
    </row>
    <row r="2151" spans="1:8" x14ac:dyDescent="0.3">
      <c r="A2151" t="s">
        <v>129</v>
      </c>
      <c r="B2151">
        <v>2020</v>
      </c>
      <c r="C2151" t="s">
        <v>271</v>
      </c>
      <c r="D2151" t="s">
        <v>300</v>
      </c>
      <c r="E2151" t="s">
        <v>65</v>
      </c>
      <c r="F2151">
        <v>3615</v>
      </c>
      <c r="G2151" t="s">
        <v>66</v>
      </c>
      <c r="H2151">
        <v>3</v>
      </c>
    </row>
    <row r="2152" spans="1:8" x14ac:dyDescent="0.3">
      <c r="A2152" t="s">
        <v>129</v>
      </c>
      <c r="B2152">
        <v>2021</v>
      </c>
      <c r="C2152" t="s">
        <v>271</v>
      </c>
      <c r="D2152" t="s">
        <v>300</v>
      </c>
      <c r="E2152" t="s">
        <v>65</v>
      </c>
      <c r="F2152">
        <v>3615</v>
      </c>
      <c r="G2152" t="s">
        <v>66</v>
      </c>
      <c r="H2152">
        <v>3</v>
      </c>
    </row>
    <row r="2153" spans="1:8" x14ac:dyDescent="0.3">
      <c r="A2153" t="s">
        <v>130</v>
      </c>
      <c r="B2153">
        <v>2014</v>
      </c>
      <c r="C2153" t="s">
        <v>271</v>
      </c>
      <c r="D2153" t="s">
        <v>300</v>
      </c>
      <c r="E2153" t="s">
        <v>65</v>
      </c>
      <c r="F2153">
        <v>4850</v>
      </c>
      <c r="G2153" t="s">
        <v>66</v>
      </c>
      <c r="H2153">
        <v>1</v>
      </c>
    </row>
    <row r="2154" spans="1:8" x14ac:dyDescent="0.3">
      <c r="A2154" t="s">
        <v>130</v>
      </c>
      <c r="B2154">
        <v>2015</v>
      </c>
      <c r="C2154" t="s">
        <v>271</v>
      </c>
      <c r="D2154" t="s">
        <v>300</v>
      </c>
      <c r="E2154" t="s">
        <v>65</v>
      </c>
      <c r="F2154">
        <v>4850</v>
      </c>
      <c r="G2154" t="s">
        <v>66</v>
      </c>
      <c r="H2154">
        <v>1</v>
      </c>
    </row>
    <row r="2155" spans="1:8" x14ac:dyDescent="0.3">
      <c r="A2155" t="s">
        <v>130</v>
      </c>
      <c r="B2155">
        <v>2018</v>
      </c>
      <c r="C2155" t="s">
        <v>271</v>
      </c>
      <c r="D2155" t="s">
        <v>300</v>
      </c>
      <c r="E2155" t="s">
        <v>65</v>
      </c>
      <c r="F2155">
        <v>4850</v>
      </c>
      <c r="G2155" t="s">
        <v>66</v>
      </c>
      <c r="H2155">
        <v>1</v>
      </c>
    </row>
    <row r="2156" spans="1:8" x14ac:dyDescent="0.3">
      <c r="A2156" t="s">
        <v>130</v>
      </c>
      <c r="B2156">
        <v>2020</v>
      </c>
      <c r="C2156" t="s">
        <v>271</v>
      </c>
      <c r="D2156" t="s">
        <v>300</v>
      </c>
      <c r="E2156" t="s">
        <v>65</v>
      </c>
      <c r="F2156">
        <v>4850</v>
      </c>
      <c r="G2156" t="s">
        <v>66</v>
      </c>
      <c r="H2156">
        <v>3</v>
      </c>
    </row>
    <row r="2157" spans="1:8" x14ac:dyDescent="0.3">
      <c r="A2157" t="s">
        <v>132</v>
      </c>
      <c r="B2157">
        <v>2015</v>
      </c>
      <c r="C2157" t="s">
        <v>271</v>
      </c>
      <c r="D2157" t="s">
        <v>300</v>
      </c>
      <c r="E2157" t="s">
        <v>65</v>
      </c>
      <c r="F2157">
        <v>3200</v>
      </c>
      <c r="G2157" t="s">
        <v>66</v>
      </c>
      <c r="H2157">
        <v>3</v>
      </c>
    </row>
    <row r="2158" spans="1:8" x14ac:dyDescent="0.3">
      <c r="A2158" t="s">
        <v>132</v>
      </c>
      <c r="B2158">
        <v>2016</v>
      </c>
      <c r="C2158" t="s">
        <v>271</v>
      </c>
      <c r="D2158" t="s">
        <v>300</v>
      </c>
      <c r="E2158" t="s">
        <v>65</v>
      </c>
      <c r="F2158">
        <v>3200</v>
      </c>
      <c r="G2158" t="s">
        <v>66</v>
      </c>
      <c r="H2158">
        <v>2</v>
      </c>
    </row>
    <row r="2159" spans="1:8" x14ac:dyDescent="0.3">
      <c r="A2159" t="s">
        <v>132</v>
      </c>
      <c r="B2159">
        <v>2017</v>
      </c>
      <c r="C2159" t="s">
        <v>271</v>
      </c>
      <c r="D2159" t="s">
        <v>300</v>
      </c>
      <c r="E2159" t="s">
        <v>65</v>
      </c>
      <c r="F2159">
        <v>3200</v>
      </c>
      <c r="G2159" t="s">
        <v>66</v>
      </c>
      <c r="H2159">
        <v>4</v>
      </c>
    </row>
    <row r="2160" spans="1:8" x14ac:dyDescent="0.3">
      <c r="A2160" t="s">
        <v>132</v>
      </c>
      <c r="B2160">
        <v>2018</v>
      </c>
      <c r="C2160" t="s">
        <v>271</v>
      </c>
      <c r="D2160" t="s">
        <v>300</v>
      </c>
      <c r="E2160" t="s">
        <v>65</v>
      </c>
      <c r="F2160">
        <v>3200</v>
      </c>
      <c r="G2160" t="s">
        <v>66</v>
      </c>
      <c r="H2160">
        <v>2</v>
      </c>
    </row>
    <row r="2161" spans="1:8" x14ac:dyDescent="0.3">
      <c r="A2161" t="s">
        <v>132</v>
      </c>
      <c r="B2161">
        <v>2019</v>
      </c>
      <c r="C2161" t="s">
        <v>271</v>
      </c>
      <c r="D2161" t="s">
        <v>300</v>
      </c>
      <c r="E2161" t="s">
        <v>65</v>
      </c>
      <c r="F2161">
        <v>3200</v>
      </c>
      <c r="G2161" t="s">
        <v>66</v>
      </c>
      <c r="H2161">
        <v>1</v>
      </c>
    </row>
    <row r="2162" spans="1:8" x14ac:dyDescent="0.3">
      <c r="A2162" t="s">
        <v>251</v>
      </c>
      <c r="B2162">
        <v>2016</v>
      </c>
      <c r="C2162" t="s">
        <v>271</v>
      </c>
      <c r="D2162" t="s">
        <v>300</v>
      </c>
      <c r="E2162" t="s">
        <v>65</v>
      </c>
      <c r="F2162">
        <v>5200</v>
      </c>
      <c r="G2162" t="s">
        <v>66</v>
      </c>
      <c r="H2162">
        <v>3</v>
      </c>
    </row>
    <row r="2163" spans="1:8" x14ac:dyDescent="0.3">
      <c r="A2163" t="s">
        <v>251</v>
      </c>
      <c r="B2163">
        <v>2019</v>
      </c>
      <c r="C2163" t="s">
        <v>271</v>
      </c>
      <c r="D2163" t="s">
        <v>300</v>
      </c>
      <c r="E2163" t="s">
        <v>65</v>
      </c>
      <c r="F2163">
        <v>5200</v>
      </c>
      <c r="G2163" t="s">
        <v>66</v>
      </c>
      <c r="H2163">
        <v>1</v>
      </c>
    </row>
    <row r="2164" spans="1:8" x14ac:dyDescent="0.3">
      <c r="A2164" t="s">
        <v>133</v>
      </c>
      <c r="B2164">
        <v>2014</v>
      </c>
      <c r="C2164" t="s">
        <v>271</v>
      </c>
      <c r="D2164" t="s">
        <v>300</v>
      </c>
      <c r="E2164" t="s">
        <v>65</v>
      </c>
      <c r="F2164">
        <v>2150</v>
      </c>
      <c r="G2164" t="s">
        <v>66</v>
      </c>
      <c r="H2164">
        <v>4</v>
      </c>
    </row>
    <row r="2165" spans="1:8" x14ac:dyDescent="0.3">
      <c r="A2165" t="s">
        <v>133</v>
      </c>
      <c r="B2165">
        <v>2015</v>
      </c>
      <c r="C2165" t="s">
        <v>271</v>
      </c>
      <c r="D2165" t="s">
        <v>300</v>
      </c>
      <c r="E2165" t="s">
        <v>65</v>
      </c>
      <c r="F2165">
        <v>2150</v>
      </c>
      <c r="G2165" t="s">
        <v>66</v>
      </c>
      <c r="H2165">
        <v>29</v>
      </c>
    </row>
    <row r="2166" spans="1:8" x14ac:dyDescent="0.3">
      <c r="A2166" t="s">
        <v>133</v>
      </c>
      <c r="B2166">
        <v>2016</v>
      </c>
      <c r="C2166" t="s">
        <v>271</v>
      </c>
      <c r="D2166" t="s">
        <v>300</v>
      </c>
      <c r="E2166" t="s">
        <v>65</v>
      </c>
      <c r="F2166">
        <v>2150</v>
      </c>
      <c r="G2166" t="s">
        <v>66</v>
      </c>
      <c r="H2166">
        <v>7</v>
      </c>
    </row>
    <row r="2167" spans="1:8" x14ac:dyDescent="0.3">
      <c r="A2167" t="s">
        <v>133</v>
      </c>
      <c r="B2167">
        <v>2017</v>
      </c>
      <c r="C2167" t="s">
        <v>271</v>
      </c>
      <c r="D2167" t="s">
        <v>300</v>
      </c>
      <c r="E2167" t="s">
        <v>65</v>
      </c>
      <c r="F2167">
        <v>2150</v>
      </c>
      <c r="G2167" t="s">
        <v>66</v>
      </c>
      <c r="H2167">
        <v>1</v>
      </c>
    </row>
    <row r="2168" spans="1:8" x14ac:dyDescent="0.3">
      <c r="A2168" t="s">
        <v>133</v>
      </c>
      <c r="B2168">
        <v>2018</v>
      </c>
      <c r="C2168" t="s">
        <v>271</v>
      </c>
      <c r="D2168" t="s">
        <v>300</v>
      </c>
      <c r="E2168" t="s">
        <v>65</v>
      </c>
      <c r="F2168">
        <v>2150</v>
      </c>
      <c r="G2168" t="s">
        <v>66</v>
      </c>
      <c r="H2168">
        <v>15</v>
      </c>
    </row>
    <row r="2169" spans="1:8" x14ac:dyDescent="0.3">
      <c r="A2169" t="s">
        <v>133</v>
      </c>
      <c r="B2169">
        <v>2019</v>
      </c>
      <c r="C2169" t="s">
        <v>271</v>
      </c>
      <c r="D2169" t="s">
        <v>300</v>
      </c>
      <c r="E2169" t="s">
        <v>65</v>
      </c>
      <c r="F2169">
        <v>2150</v>
      </c>
      <c r="G2169" t="s">
        <v>66</v>
      </c>
      <c r="H2169">
        <v>5</v>
      </c>
    </row>
    <row r="2170" spans="1:8" x14ac:dyDescent="0.3">
      <c r="A2170" t="s">
        <v>133</v>
      </c>
      <c r="B2170">
        <v>2020</v>
      </c>
      <c r="C2170" t="s">
        <v>271</v>
      </c>
      <c r="D2170" t="s">
        <v>300</v>
      </c>
      <c r="E2170" t="s">
        <v>65</v>
      </c>
      <c r="F2170">
        <v>2150</v>
      </c>
      <c r="G2170" t="s">
        <v>66</v>
      </c>
      <c r="H2170">
        <v>9</v>
      </c>
    </row>
    <row r="2171" spans="1:8" x14ac:dyDescent="0.3">
      <c r="A2171" t="s">
        <v>133</v>
      </c>
      <c r="B2171">
        <v>2021</v>
      </c>
      <c r="C2171" t="s">
        <v>271</v>
      </c>
      <c r="D2171" t="s">
        <v>300</v>
      </c>
      <c r="E2171" t="s">
        <v>65</v>
      </c>
      <c r="F2171">
        <v>2150</v>
      </c>
      <c r="G2171" t="s">
        <v>66</v>
      </c>
      <c r="H2171">
        <v>5</v>
      </c>
    </row>
    <row r="2172" spans="1:8" x14ac:dyDescent="0.3">
      <c r="A2172" t="s">
        <v>134</v>
      </c>
      <c r="B2172">
        <v>2014</v>
      </c>
      <c r="C2172" t="s">
        <v>271</v>
      </c>
      <c r="D2172" t="s">
        <v>300</v>
      </c>
      <c r="E2172" t="s">
        <v>65</v>
      </c>
      <c r="F2172">
        <v>3725</v>
      </c>
      <c r="G2172" t="s">
        <v>66</v>
      </c>
      <c r="H2172">
        <v>1</v>
      </c>
    </row>
    <row r="2173" spans="1:8" x14ac:dyDescent="0.3">
      <c r="A2173" t="s">
        <v>134</v>
      </c>
      <c r="B2173">
        <v>2016</v>
      </c>
      <c r="C2173" t="s">
        <v>271</v>
      </c>
      <c r="D2173" t="s">
        <v>300</v>
      </c>
      <c r="E2173" t="s">
        <v>65</v>
      </c>
      <c r="F2173">
        <v>3725</v>
      </c>
      <c r="G2173" t="s">
        <v>66</v>
      </c>
      <c r="H2173">
        <v>5</v>
      </c>
    </row>
    <row r="2174" spans="1:8" x14ac:dyDescent="0.3">
      <c r="A2174" t="s">
        <v>134</v>
      </c>
      <c r="B2174">
        <v>2017</v>
      </c>
      <c r="C2174" t="s">
        <v>271</v>
      </c>
      <c r="D2174" t="s">
        <v>300</v>
      </c>
      <c r="E2174" t="s">
        <v>65</v>
      </c>
      <c r="F2174">
        <v>3725</v>
      </c>
      <c r="G2174" t="s">
        <v>66</v>
      </c>
      <c r="H2174">
        <v>2</v>
      </c>
    </row>
    <row r="2175" spans="1:8" x14ac:dyDescent="0.3">
      <c r="A2175" t="s">
        <v>134</v>
      </c>
      <c r="B2175">
        <v>2018</v>
      </c>
      <c r="C2175" t="s">
        <v>271</v>
      </c>
      <c r="D2175" t="s">
        <v>300</v>
      </c>
      <c r="E2175" t="s">
        <v>65</v>
      </c>
      <c r="F2175">
        <v>3725</v>
      </c>
      <c r="G2175" t="s">
        <v>66</v>
      </c>
      <c r="H2175">
        <v>3</v>
      </c>
    </row>
    <row r="2176" spans="1:8" x14ac:dyDescent="0.3">
      <c r="A2176" t="s">
        <v>134</v>
      </c>
      <c r="B2176">
        <v>2021</v>
      </c>
      <c r="C2176" t="s">
        <v>271</v>
      </c>
      <c r="D2176" t="s">
        <v>300</v>
      </c>
      <c r="E2176" t="s">
        <v>65</v>
      </c>
      <c r="F2176">
        <v>3725</v>
      </c>
      <c r="G2176" t="s">
        <v>66</v>
      </c>
      <c r="H2176">
        <v>2</v>
      </c>
    </row>
    <row r="2177" spans="1:8" x14ac:dyDescent="0.3">
      <c r="A2177" t="s">
        <v>252</v>
      </c>
      <c r="B2177">
        <v>2015</v>
      </c>
      <c r="C2177" t="s">
        <v>271</v>
      </c>
      <c r="D2177" t="s">
        <v>300</v>
      </c>
      <c r="E2177" t="s">
        <v>65</v>
      </c>
      <c r="F2177">
        <v>6500</v>
      </c>
      <c r="G2177" t="s">
        <v>66</v>
      </c>
      <c r="H2177">
        <v>2</v>
      </c>
    </row>
    <row r="2178" spans="1:8" x14ac:dyDescent="0.3">
      <c r="A2178" t="s">
        <v>252</v>
      </c>
      <c r="B2178">
        <v>2016</v>
      </c>
      <c r="C2178" t="s">
        <v>271</v>
      </c>
      <c r="D2178" t="s">
        <v>300</v>
      </c>
      <c r="E2178" t="s">
        <v>65</v>
      </c>
      <c r="F2178">
        <v>6500</v>
      </c>
      <c r="G2178" t="s">
        <v>66</v>
      </c>
      <c r="H2178">
        <v>3</v>
      </c>
    </row>
    <row r="2179" spans="1:8" x14ac:dyDescent="0.3">
      <c r="A2179" t="s">
        <v>252</v>
      </c>
      <c r="B2179">
        <v>2017</v>
      </c>
      <c r="C2179" t="s">
        <v>271</v>
      </c>
      <c r="D2179" t="s">
        <v>300</v>
      </c>
      <c r="E2179" t="s">
        <v>65</v>
      </c>
      <c r="F2179">
        <v>6500</v>
      </c>
      <c r="G2179" t="s">
        <v>66</v>
      </c>
      <c r="H2179">
        <v>3</v>
      </c>
    </row>
    <row r="2180" spans="1:8" x14ac:dyDescent="0.3">
      <c r="A2180" t="s">
        <v>252</v>
      </c>
      <c r="B2180">
        <v>2018</v>
      </c>
      <c r="C2180" t="s">
        <v>271</v>
      </c>
      <c r="D2180" t="s">
        <v>300</v>
      </c>
      <c r="E2180" t="s">
        <v>65</v>
      </c>
      <c r="F2180">
        <v>6500</v>
      </c>
      <c r="G2180" t="s">
        <v>66</v>
      </c>
      <c r="H2180">
        <v>2</v>
      </c>
    </row>
    <row r="2181" spans="1:8" x14ac:dyDescent="0.3">
      <c r="A2181" t="s">
        <v>252</v>
      </c>
      <c r="B2181">
        <v>2019</v>
      </c>
      <c r="C2181" t="s">
        <v>271</v>
      </c>
      <c r="D2181" t="s">
        <v>300</v>
      </c>
      <c r="E2181" t="s">
        <v>65</v>
      </c>
      <c r="F2181">
        <v>6500</v>
      </c>
      <c r="G2181" t="s">
        <v>66</v>
      </c>
      <c r="H2181">
        <v>3</v>
      </c>
    </row>
    <row r="2182" spans="1:8" x14ac:dyDescent="0.3">
      <c r="A2182" t="s">
        <v>252</v>
      </c>
      <c r="B2182">
        <v>2020</v>
      </c>
      <c r="C2182" t="s">
        <v>271</v>
      </c>
      <c r="D2182" t="s">
        <v>300</v>
      </c>
      <c r="E2182" t="s">
        <v>65</v>
      </c>
      <c r="F2182">
        <v>6500</v>
      </c>
      <c r="G2182" t="s">
        <v>66</v>
      </c>
      <c r="H2182">
        <v>2</v>
      </c>
    </row>
    <row r="2183" spans="1:8" x14ac:dyDescent="0.3">
      <c r="A2183" t="s">
        <v>135</v>
      </c>
      <c r="B2183">
        <v>2014</v>
      </c>
      <c r="C2183" t="s">
        <v>271</v>
      </c>
      <c r="D2183" t="s">
        <v>300</v>
      </c>
      <c r="E2183" t="s">
        <v>65</v>
      </c>
      <c r="F2183">
        <v>3400</v>
      </c>
      <c r="G2183" t="s">
        <v>66</v>
      </c>
      <c r="H2183">
        <v>3</v>
      </c>
    </row>
    <row r="2184" spans="1:8" x14ac:dyDescent="0.3">
      <c r="A2184" t="s">
        <v>135</v>
      </c>
      <c r="B2184">
        <v>2015</v>
      </c>
      <c r="C2184" t="s">
        <v>271</v>
      </c>
      <c r="D2184" t="s">
        <v>300</v>
      </c>
      <c r="E2184" t="s">
        <v>65</v>
      </c>
      <c r="F2184">
        <v>3400</v>
      </c>
      <c r="G2184" t="s">
        <v>66</v>
      </c>
      <c r="H2184">
        <v>2</v>
      </c>
    </row>
    <row r="2185" spans="1:8" x14ac:dyDescent="0.3">
      <c r="A2185" t="s">
        <v>135</v>
      </c>
      <c r="B2185">
        <v>2016</v>
      </c>
      <c r="C2185" t="s">
        <v>271</v>
      </c>
      <c r="D2185" t="s">
        <v>300</v>
      </c>
      <c r="E2185" t="s">
        <v>65</v>
      </c>
      <c r="F2185">
        <v>3400</v>
      </c>
      <c r="G2185" t="s">
        <v>66</v>
      </c>
      <c r="H2185">
        <v>12</v>
      </c>
    </row>
    <row r="2186" spans="1:8" x14ac:dyDescent="0.3">
      <c r="A2186" t="s">
        <v>135</v>
      </c>
      <c r="B2186">
        <v>2017</v>
      </c>
      <c r="C2186" t="s">
        <v>271</v>
      </c>
      <c r="D2186" t="s">
        <v>300</v>
      </c>
      <c r="E2186" t="s">
        <v>65</v>
      </c>
      <c r="F2186">
        <v>3400</v>
      </c>
      <c r="G2186" t="s">
        <v>66</v>
      </c>
      <c r="H2186">
        <v>3</v>
      </c>
    </row>
    <row r="2187" spans="1:8" x14ac:dyDescent="0.3">
      <c r="A2187" t="s">
        <v>135</v>
      </c>
      <c r="B2187">
        <v>2018</v>
      </c>
      <c r="C2187" t="s">
        <v>271</v>
      </c>
      <c r="D2187" t="s">
        <v>300</v>
      </c>
      <c r="E2187" t="s">
        <v>65</v>
      </c>
      <c r="F2187">
        <v>3400</v>
      </c>
      <c r="G2187" t="s">
        <v>66</v>
      </c>
      <c r="H2187">
        <v>2</v>
      </c>
    </row>
    <row r="2188" spans="1:8" x14ac:dyDescent="0.3">
      <c r="A2188" t="s">
        <v>135</v>
      </c>
      <c r="B2188">
        <v>2019</v>
      </c>
      <c r="C2188" t="s">
        <v>271</v>
      </c>
      <c r="D2188" t="s">
        <v>300</v>
      </c>
      <c r="E2188" t="s">
        <v>65</v>
      </c>
      <c r="F2188">
        <v>3400</v>
      </c>
      <c r="G2188" t="s">
        <v>66</v>
      </c>
      <c r="H2188">
        <v>2</v>
      </c>
    </row>
    <row r="2189" spans="1:8" x14ac:dyDescent="0.3">
      <c r="A2189" t="s">
        <v>135</v>
      </c>
      <c r="B2189">
        <v>2021</v>
      </c>
      <c r="C2189" t="s">
        <v>271</v>
      </c>
      <c r="D2189" t="s">
        <v>300</v>
      </c>
      <c r="E2189" t="s">
        <v>65</v>
      </c>
      <c r="F2189">
        <v>3400</v>
      </c>
      <c r="G2189" t="s">
        <v>66</v>
      </c>
      <c r="H2189">
        <v>10</v>
      </c>
    </row>
    <row r="2190" spans="1:8" x14ac:dyDescent="0.3">
      <c r="A2190" t="s">
        <v>136</v>
      </c>
      <c r="B2190">
        <v>2015</v>
      </c>
      <c r="C2190" t="s">
        <v>271</v>
      </c>
      <c r="D2190" t="s">
        <v>300</v>
      </c>
      <c r="E2190" t="s">
        <v>65</v>
      </c>
      <c r="F2190">
        <v>4629</v>
      </c>
      <c r="G2190" t="s">
        <v>66</v>
      </c>
      <c r="H2190">
        <v>2</v>
      </c>
    </row>
    <row r="2191" spans="1:8" x14ac:dyDescent="0.3">
      <c r="A2191" t="s">
        <v>136</v>
      </c>
      <c r="B2191">
        <v>2016</v>
      </c>
      <c r="C2191" t="s">
        <v>271</v>
      </c>
      <c r="D2191" t="s">
        <v>300</v>
      </c>
      <c r="E2191" t="s">
        <v>65</v>
      </c>
      <c r="F2191">
        <v>4629</v>
      </c>
      <c r="G2191" t="s">
        <v>66</v>
      </c>
      <c r="H2191">
        <v>7</v>
      </c>
    </row>
    <row r="2192" spans="1:8" x14ac:dyDescent="0.3">
      <c r="A2192" t="s">
        <v>136</v>
      </c>
      <c r="B2192">
        <v>2017</v>
      </c>
      <c r="C2192" t="s">
        <v>271</v>
      </c>
      <c r="D2192" t="s">
        <v>300</v>
      </c>
      <c r="E2192" t="s">
        <v>65</v>
      </c>
      <c r="F2192">
        <v>4629</v>
      </c>
      <c r="G2192" t="s">
        <v>66</v>
      </c>
      <c r="H2192">
        <v>9</v>
      </c>
    </row>
    <row r="2193" spans="1:8" x14ac:dyDescent="0.3">
      <c r="A2193" t="s">
        <v>136</v>
      </c>
      <c r="B2193">
        <v>2018</v>
      </c>
      <c r="C2193" t="s">
        <v>271</v>
      </c>
      <c r="D2193" t="s">
        <v>300</v>
      </c>
      <c r="E2193" t="s">
        <v>65</v>
      </c>
      <c r="F2193">
        <v>4629</v>
      </c>
      <c r="G2193" t="s">
        <v>66</v>
      </c>
      <c r="H2193">
        <v>3</v>
      </c>
    </row>
    <row r="2194" spans="1:8" x14ac:dyDescent="0.3">
      <c r="A2194" t="s">
        <v>136</v>
      </c>
      <c r="B2194">
        <v>2019</v>
      </c>
      <c r="C2194" t="s">
        <v>271</v>
      </c>
      <c r="D2194" t="s">
        <v>300</v>
      </c>
      <c r="E2194" t="s">
        <v>65</v>
      </c>
      <c r="F2194">
        <v>4629</v>
      </c>
      <c r="G2194" t="s">
        <v>66</v>
      </c>
      <c r="H2194">
        <v>5</v>
      </c>
    </row>
    <row r="2195" spans="1:8" x14ac:dyDescent="0.3">
      <c r="A2195" t="s">
        <v>136</v>
      </c>
      <c r="B2195">
        <v>2020</v>
      </c>
      <c r="C2195" t="s">
        <v>271</v>
      </c>
      <c r="D2195" t="s">
        <v>300</v>
      </c>
      <c r="E2195" t="s">
        <v>65</v>
      </c>
      <c r="F2195">
        <v>4629</v>
      </c>
      <c r="G2195" t="s">
        <v>66</v>
      </c>
      <c r="H2195">
        <v>2</v>
      </c>
    </row>
    <row r="2196" spans="1:8" x14ac:dyDescent="0.3">
      <c r="A2196" t="s">
        <v>136</v>
      </c>
      <c r="B2196">
        <v>2021</v>
      </c>
      <c r="C2196" t="s">
        <v>271</v>
      </c>
      <c r="D2196" t="s">
        <v>300</v>
      </c>
      <c r="E2196" t="s">
        <v>65</v>
      </c>
      <c r="F2196">
        <v>4629</v>
      </c>
      <c r="G2196" t="s">
        <v>66</v>
      </c>
      <c r="H2196">
        <v>7</v>
      </c>
    </row>
    <row r="2197" spans="1:8" x14ac:dyDescent="0.3">
      <c r="A2197" t="s">
        <v>253</v>
      </c>
      <c r="B2197">
        <v>2014</v>
      </c>
      <c r="C2197" t="s">
        <v>271</v>
      </c>
      <c r="D2197" t="s">
        <v>300</v>
      </c>
      <c r="E2197" t="s">
        <v>65</v>
      </c>
      <c r="F2197">
        <v>3798</v>
      </c>
      <c r="G2197" t="s">
        <v>66</v>
      </c>
      <c r="H2197">
        <v>16</v>
      </c>
    </row>
    <row r="2198" spans="1:8" x14ac:dyDescent="0.3">
      <c r="A2198" t="s">
        <v>253</v>
      </c>
      <c r="B2198">
        <v>2015</v>
      </c>
      <c r="C2198" t="s">
        <v>271</v>
      </c>
      <c r="D2198" t="s">
        <v>300</v>
      </c>
      <c r="E2198" t="s">
        <v>65</v>
      </c>
      <c r="F2198">
        <v>3798</v>
      </c>
      <c r="G2198" t="s">
        <v>66</v>
      </c>
      <c r="H2198">
        <v>21</v>
      </c>
    </row>
    <row r="2199" spans="1:8" x14ac:dyDescent="0.3">
      <c r="A2199" t="s">
        <v>253</v>
      </c>
      <c r="B2199">
        <v>2016</v>
      </c>
      <c r="C2199" t="s">
        <v>271</v>
      </c>
      <c r="D2199" t="s">
        <v>300</v>
      </c>
      <c r="E2199" t="s">
        <v>65</v>
      </c>
      <c r="F2199">
        <v>3798</v>
      </c>
      <c r="G2199" t="s">
        <v>66</v>
      </c>
      <c r="H2199">
        <v>28</v>
      </c>
    </row>
    <row r="2200" spans="1:8" x14ac:dyDescent="0.3">
      <c r="A2200" t="s">
        <v>253</v>
      </c>
      <c r="B2200">
        <v>2017</v>
      </c>
      <c r="C2200" t="s">
        <v>271</v>
      </c>
      <c r="D2200" t="s">
        <v>300</v>
      </c>
      <c r="E2200" t="s">
        <v>65</v>
      </c>
      <c r="F2200">
        <v>3798</v>
      </c>
      <c r="G2200" t="s">
        <v>66</v>
      </c>
      <c r="H2200">
        <v>8</v>
      </c>
    </row>
    <row r="2201" spans="1:8" x14ac:dyDescent="0.3">
      <c r="A2201" t="s">
        <v>253</v>
      </c>
      <c r="B2201">
        <v>2019</v>
      </c>
      <c r="C2201" t="s">
        <v>271</v>
      </c>
      <c r="D2201" t="s">
        <v>300</v>
      </c>
      <c r="E2201" t="s">
        <v>65</v>
      </c>
      <c r="F2201">
        <v>3798</v>
      </c>
      <c r="G2201" t="s">
        <v>66</v>
      </c>
      <c r="H2201">
        <v>1</v>
      </c>
    </row>
    <row r="2202" spans="1:8" x14ac:dyDescent="0.3">
      <c r="A2202" t="s">
        <v>253</v>
      </c>
      <c r="B2202">
        <v>2020</v>
      </c>
      <c r="C2202" t="s">
        <v>271</v>
      </c>
      <c r="D2202" t="s">
        <v>300</v>
      </c>
      <c r="E2202" t="s">
        <v>65</v>
      </c>
      <c r="F2202">
        <v>3798</v>
      </c>
      <c r="G2202" t="s">
        <v>66</v>
      </c>
      <c r="H2202">
        <v>4</v>
      </c>
    </row>
    <row r="2203" spans="1:8" x14ac:dyDescent="0.3">
      <c r="A2203" t="s">
        <v>253</v>
      </c>
      <c r="B2203">
        <v>2021</v>
      </c>
      <c r="C2203" t="s">
        <v>271</v>
      </c>
      <c r="D2203" t="s">
        <v>300</v>
      </c>
      <c r="E2203" t="s">
        <v>65</v>
      </c>
      <c r="F2203">
        <v>3798</v>
      </c>
      <c r="G2203" t="s">
        <v>66</v>
      </c>
      <c r="H2203">
        <v>3</v>
      </c>
    </row>
    <row r="2204" spans="1:8" x14ac:dyDescent="0.3">
      <c r="A2204" t="s">
        <v>137</v>
      </c>
      <c r="B2204">
        <v>2014</v>
      </c>
      <c r="C2204" t="s">
        <v>271</v>
      </c>
      <c r="D2204" t="s">
        <v>300</v>
      </c>
      <c r="E2204" t="s">
        <v>65</v>
      </c>
      <c r="F2204">
        <v>4299</v>
      </c>
      <c r="G2204" t="s">
        <v>66</v>
      </c>
      <c r="H2204">
        <v>3</v>
      </c>
    </row>
    <row r="2205" spans="1:8" x14ac:dyDescent="0.3">
      <c r="A2205" t="s">
        <v>137</v>
      </c>
      <c r="B2205">
        <v>2015</v>
      </c>
      <c r="C2205" t="s">
        <v>271</v>
      </c>
      <c r="D2205" t="s">
        <v>300</v>
      </c>
      <c r="E2205" t="s">
        <v>65</v>
      </c>
      <c r="F2205">
        <v>4299</v>
      </c>
      <c r="G2205" t="s">
        <v>66</v>
      </c>
      <c r="H2205">
        <v>2</v>
      </c>
    </row>
    <row r="2206" spans="1:8" x14ac:dyDescent="0.3">
      <c r="A2206" t="s">
        <v>137</v>
      </c>
      <c r="B2206">
        <v>2016</v>
      </c>
      <c r="C2206" t="s">
        <v>271</v>
      </c>
      <c r="D2206" t="s">
        <v>300</v>
      </c>
      <c r="E2206" t="s">
        <v>65</v>
      </c>
      <c r="F2206">
        <v>4299</v>
      </c>
      <c r="G2206" t="s">
        <v>66</v>
      </c>
      <c r="H2206">
        <v>1</v>
      </c>
    </row>
    <row r="2207" spans="1:8" x14ac:dyDescent="0.3">
      <c r="A2207" t="s">
        <v>137</v>
      </c>
      <c r="B2207">
        <v>2019</v>
      </c>
      <c r="C2207" t="s">
        <v>271</v>
      </c>
      <c r="D2207" t="s">
        <v>300</v>
      </c>
      <c r="E2207" t="s">
        <v>65</v>
      </c>
      <c r="F2207">
        <v>4299</v>
      </c>
      <c r="G2207" t="s">
        <v>66</v>
      </c>
      <c r="H2207">
        <v>1</v>
      </c>
    </row>
    <row r="2208" spans="1:8" x14ac:dyDescent="0.3">
      <c r="A2208" t="s">
        <v>137</v>
      </c>
      <c r="B2208">
        <v>2020</v>
      </c>
      <c r="C2208" t="s">
        <v>271</v>
      </c>
      <c r="D2208" t="s">
        <v>300</v>
      </c>
      <c r="E2208" t="s">
        <v>65</v>
      </c>
      <c r="F2208">
        <v>4299</v>
      </c>
      <c r="G2208" t="s">
        <v>66</v>
      </c>
      <c r="H2208">
        <v>1</v>
      </c>
    </row>
    <row r="2209" spans="1:8" x14ac:dyDescent="0.3">
      <c r="A2209" t="s">
        <v>138</v>
      </c>
      <c r="B2209">
        <v>2014</v>
      </c>
      <c r="C2209" t="s">
        <v>271</v>
      </c>
      <c r="D2209" t="s">
        <v>300</v>
      </c>
      <c r="E2209" t="s">
        <v>65</v>
      </c>
      <c r="F2209">
        <v>9479</v>
      </c>
      <c r="G2209" t="s">
        <v>66</v>
      </c>
      <c r="H2209">
        <v>1</v>
      </c>
    </row>
    <row r="2210" spans="1:8" x14ac:dyDescent="0.3">
      <c r="A2210" t="s">
        <v>138</v>
      </c>
      <c r="B2210">
        <v>2019</v>
      </c>
      <c r="C2210" t="s">
        <v>271</v>
      </c>
      <c r="D2210" t="s">
        <v>300</v>
      </c>
      <c r="E2210" t="s">
        <v>65</v>
      </c>
      <c r="F2210">
        <v>9479</v>
      </c>
      <c r="G2210" t="s">
        <v>66</v>
      </c>
      <c r="H2210">
        <v>1</v>
      </c>
    </row>
    <row r="2211" spans="1:8" x14ac:dyDescent="0.3">
      <c r="A2211" t="s">
        <v>139</v>
      </c>
      <c r="B2211">
        <v>2014</v>
      </c>
      <c r="C2211" t="s">
        <v>271</v>
      </c>
      <c r="D2211" t="s">
        <v>300</v>
      </c>
      <c r="E2211" t="s">
        <v>65</v>
      </c>
      <c r="F2211">
        <v>9039</v>
      </c>
      <c r="G2211" t="s">
        <v>66</v>
      </c>
      <c r="H2211">
        <v>35</v>
      </c>
    </row>
    <row r="2212" spans="1:8" x14ac:dyDescent="0.3">
      <c r="A2212" t="s">
        <v>139</v>
      </c>
      <c r="B2212">
        <v>2015</v>
      </c>
      <c r="C2212" t="s">
        <v>271</v>
      </c>
      <c r="D2212" t="s">
        <v>300</v>
      </c>
      <c r="E2212" t="s">
        <v>65</v>
      </c>
      <c r="F2212">
        <v>9039</v>
      </c>
      <c r="G2212" t="s">
        <v>66</v>
      </c>
      <c r="H2212">
        <v>63</v>
      </c>
    </row>
    <row r="2213" spans="1:8" x14ac:dyDescent="0.3">
      <c r="A2213" t="s">
        <v>139</v>
      </c>
      <c r="B2213">
        <v>2016</v>
      </c>
      <c r="C2213" t="s">
        <v>271</v>
      </c>
      <c r="D2213" t="s">
        <v>300</v>
      </c>
      <c r="E2213" t="s">
        <v>65</v>
      </c>
      <c r="F2213">
        <v>9039</v>
      </c>
      <c r="G2213" t="s">
        <v>66</v>
      </c>
      <c r="H2213">
        <v>61</v>
      </c>
    </row>
    <row r="2214" spans="1:8" x14ac:dyDescent="0.3">
      <c r="A2214" t="s">
        <v>139</v>
      </c>
      <c r="B2214">
        <v>2017</v>
      </c>
      <c r="C2214" t="s">
        <v>271</v>
      </c>
      <c r="D2214" t="s">
        <v>300</v>
      </c>
      <c r="E2214" t="s">
        <v>65</v>
      </c>
      <c r="F2214">
        <v>9039</v>
      </c>
      <c r="G2214" t="s">
        <v>66</v>
      </c>
      <c r="H2214">
        <v>61</v>
      </c>
    </row>
    <row r="2215" spans="1:8" x14ac:dyDescent="0.3">
      <c r="A2215" t="s">
        <v>139</v>
      </c>
      <c r="B2215">
        <v>2018</v>
      </c>
      <c r="C2215" t="s">
        <v>271</v>
      </c>
      <c r="D2215" t="s">
        <v>300</v>
      </c>
      <c r="E2215" t="s">
        <v>65</v>
      </c>
      <c r="F2215">
        <v>9039</v>
      </c>
      <c r="G2215" t="s">
        <v>66</v>
      </c>
      <c r="H2215">
        <v>107</v>
      </c>
    </row>
    <row r="2216" spans="1:8" x14ac:dyDescent="0.3">
      <c r="A2216" t="s">
        <v>139</v>
      </c>
      <c r="B2216">
        <v>2019</v>
      </c>
      <c r="C2216" t="s">
        <v>271</v>
      </c>
      <c r="D2216" t="s">
        <v>300</v>
      </c>
      <c r="E2216" t="s">
        <v>65</v>
      </c>
      <c r="F2216">
        <v>9039</v>
      </c>
      <c r="G2216" t="s">
        <v>66</v>
      </c>
      <c r="H2216">
        <v>161</v>
      </c>
    </row>
    <row r="2217" spans="1:8" x14ac:dyDescent="0.3">
      <c r="A2217" t="s">
        <v>139</v>
      </c>
      <c r="B2217">
        <v>2020</v>
      </c>
      <c r="C2217" t="s">
        <v>271</v>
      </c>
      <c r="D2217" t="s">
        <v>300</v>
      </c>
      <c r="E2217" t="s">
        <v>65</v>
      </c>
      <c r="F2217">
        <v>9039</v>
      </c>
      <c r="G2217" t="s">
        <v>66</v>
      </c>
      <c r="H2217">
        <v>182</v>
      </c>
    </row>
    <row r="2218" spans="1:8" x14ac:dyDescent="0.3">
      <c r="A2218" t="s">
        <v>139</v>
      </c>
      <c r="B2218">
        <v>2021</v>
      </c>
      <c r="C2218" t="s">
        <v>271</v>
      </c>
      <c r="D2218" t="s">
        <v>300</v>
      </c>
      <c r="E2218" t="s">
        <v>65</v>
      </c>
      <c r="F2218">
        <v>9039</v>
      </c>
      <c r="G2218" t="s">
        <v>66</v>
      </c>
      <c r="H2218">
        <v>74</v>
      </c>
    </row>
    <row r="2219" spans="1:8" x14ac:dyDescent="0.3">
      <c r="A2219" t="s">
        <v>255</v>
      </c>
      <c r="B2219">
        <v>2021</v>
      </c>
      <c r="C2219" t="s">
        <v>271</v>
      </c>
      <c r="D2219" t="s">
        <v>300</v>
      </c>
      <c r="E2219" t="s">
        <v>65</v>
      </c>
      <c r="F2219">
        <v>18300</v>
      </c>
      <c r="G2219" t="s">
        <v>72</v>
      </c>
      <c r="H2219">
        <v>1</v>
      </c>
    </row>
    <row r="2220" spans="1:8" x14ac:dyDescent="0.3">
      <c r="A2220" t="s">
        <v>256</v>
      </c>
      <c r="B2220">
        <v>2018</v>
      </c>
      <c r="C2220" t="s">
        <v>271</v>
      </c>
      <c r="D2220" t="s">
        <v>300</v>
      </c>
      <c r="E2220" t="s">
        <v>65</v>
      </c>
      <c r="F2220">
        <v>8800</v>
      </c>
      <c r="G2220" t="s">
        <v>66</v>
      </c>
      <c r="H2220">
        <v>1</v>
      </c>
    </row>
    <row r="2221" spans="1:8" x14ac:dyDescent="0.3">
      <c r="A2221" t="s">
        <v>256</v>
      </c>
      <c r="B2221">
        <v>2019</v>
      </c>
      <c r="C2221" t="s">
        <v>271</v>
      </c>
      <c r="D2221" t="s">
        <v>300</v>
      </c>
      <c r="E2221" t="s">
        <v>65</v>
      </c>
      <c r="F2221">
        <v>8800</v>
      </c>
      <c r="G2221" t="s">
        <v>66</v>
      </c>
      <c r="H2221">
        <v>3</v>
      </c>
    </row>
    <row r="2222" spans="1:8" x14ac:dyDescent="0.3">
      <c r="A2222" t="s">
        <v>256</v>
      </c>
      <c r="B2222">
        <v>2020</v>
      </c>
      <c r="C2222" t="s">
        <v>271</v>
      </c>
      <c r="D2222" t="s">
        <v>300</v>
      </c>
      <c r="E2222" t="s">
        <v>65</v>
      </c>
      <c r="F2222">
        <v>8800</v>
      </c>
      <c r="G2222" t="s">
        <v>66</v>
      </c>
      <c r="H2222">
        <v>2</v>
      </c>
    </row>
    <row r="2223" spans="1:8" x14ac:dyDescent="0.3">
      <c r="A2223" t="s">
        <v>258</v>
      </c>
      <c r="B2223">
        <v>2014</v>
      </c>
      <c r="C2223" t="s">
        <v>271</v>
      </c>
      <c r="D2223" t="s">
        <v>300</v>
      </c>
      <c r="E2223" t="s">
        <v>65</v>
      </c>
      <c r="F2223">
        <v>97000</v>
      </c>
      <c r="G2223" t="s">
        <v>72</v>
      </c>
      <c r="H2223">
        <v>2</v>
      </c>
    </row>
    <row r="2224" spans="1:8" x14ac:dyDescent="0.3">
      <c r="A2224" t="s">
        <v>258</v>
      </c>
      <c r="B2224">
        <v>2015</v>
      </c>
      <c r="C2224" t="s">
        <v>271</v>
      </c>
      <c r="D2224" t="s">
        <v>300</v>
      </c>
      <c r="E2224" t="s">
        <v>65</v>
      </c>
      <c r="F2224">
        <v>97000</v>
      </c>
      <c r="G2224" t="s">
        <v>72</v>
      </c>
      <c r="H2224">
        <v>4</v>
      </c>
    </row>
    <row r="2225" spans="1:8" x14ac:dyDescent="0.3">
      <c r="A2225" t="s">
        <v>258</v>
      </c>
      <c r="B2225">
        <v>2016</v>
      </c>
      <c r="C2225" t="s">
        <v>271</v>
      </c>
      <c r="D2225" t="s">
        <v>300</v>
      </c>
      <c r="E2225" t="s">
        <v>65</v>
      </c>
      <c r="F2225">
        <v>97000</v>
      </c>
      <c r="G2225" t="s">
        <v>72</v>
      </c>
      <c r="H2225">
        <v>4</v>
      </c>
    </row>
    <row r="2226" spans="1:8" x14ac:dyDescent="0.3">
      <c r="A2226" t="s">
        <v>258</v>
      </c>
      <c r="B2226">
        <v>2017</v>
      </c>
      <c r="C2226" t="s">
        <v>271</v>
      </c>
      <c r="D2226" t="s">
        <v>300</v>
      </c>
      <c r="E2226" t="s">
        <v>65</v>
      </c>
      <c r="F2226">
        <v>97000</v>
      </c>
      <c r="G2226" t="s">
        <v>72</v>
      </c>
      <c r="H2226">
        <v>3</v>
      </c>
    </row>
    <row r="2227" spans="1:8" x14ac:dyDescent="0.3">
      <c r="A2227" t="s">
        <v>258</v>
      </c>
      <c r="B2227">
        <v>2018</v>
      </c>
      <c r="C2227" t="s">
        <v>271</v>
      </c>
      <c r="D2227" t="s">
        <v>300</v>
      </c>
      <c r="E2227" t="s">
        <v>65</v>
      </c>
      <c r="F2227">
        <v>97000</v>
      </c>
      <c r="G2227" t="s">
        <v>72</v>
      </c>
      <c r="H2227">
        <v>1</v>
      </c>
    </row>
    <row r="2228" spans="1:8" x14ac:dyDescent="0.3">
      <c r="A2228" t="s">
        <v>258</v>
      </c>
      <c r="B2228">
        <v>2019</v>
      </c>
      <c r="C2228" t="s">
        <v>271</v>
      </c>
      <c r="D2228" t="s">
        <v>300</v>
      </c>
      <c r="E2228" t="s">
        <v>65</v>
      </c>
      <c r="F2228">
        <v>97000</v>
      </c>
      <c r="G2228" t="s">
        <v>72</v>
      </c>
      <c r="H2228">
        <v>6</v>
      </c>
    </row>
    <row r="2229" spans="1:8" x14ac:dyDescent="0.3">
      <c r="A2229" t="s">
        <v>258</v>
      </c>
      <c r="B2229">
        <v>2021</v>
      </c>
      <c r="C2229" t="s">
        <v>271</v>
      </c>
      <c r="D2229" t="s">
        <v>300</v>
      </c>
      <c r="E2229" t="s">
        <v>65</v>
      </c>
      <c r="F2229">
        <v>97000</v>
      </c>
      <c r="G2229" t="s">
        <v>72</v>
      </c>
      <c r="H2229">
        <v>8</v>
      </c>
    </row>
    <row r="2230" spans="1:8" x14ac:dyDescent="0.3">
      <c r="A2230" t="s">
        <v>259</v>
      </c>
      <c r="B2230">
        <v>2019</v>
      </c>
      <c r="C2230" t="s">
        <v>271</v>
      </c>
      <c r="D2230" t="s">
        <v>300</v>
      </c>
      <c r="E2230" t="s">
        <v>65</v>
      </c>
      <c r="F2230">
        <v>2700</v>
      </c>
      <c r="G2230" t="s">
        <v>66</v>
      </c>
      <c r="H2230">
        <v>1</v>
      </c>
    </row>
    <row r="2231" spans="1:8" x14ac:dyDescent="0.3">
      <c r="A2231" t="s">
        <v>259</v>
      </c>
      <c r="B2231">
        <v>2020</v>
      </c>
      <c r="C2231" t="s">
        <v>271</v>
      </c>
      <c r="D2231" t="s">
        <v>300</v>
      </c>
      <c r="E2231" t="s">
        <v>65</v>
      </c>
      <c r="F2231">
        <v>2700</v>
      </c>
      <c r="G2231" t="s">
        <v>66</v>
      </c>
      <c r="H2231">
        <v>1</v>
      </c>
    </row>
    <row r="2232" spans="1:8" x14ac:dyDescent="0.3">
      <c r="A2232" t="s">
        <v>260</v>
      </c>
      <c r="B2232">
        <v>2018</v>
      </c>
      <c r="C2232" t="s">
        <v>271</v>
      </c>
      <c r="D2232" t="s">
        <v>300</v>
      </c>
      <c r="E2232" t="s">
        <v>65</v>
      </c>
      <c r="F2232">
        <v>1320</v>
      </c>
      <c r="G2232" t="s">
        <v>66</v>
      </c>
      <c r="H2232">
        <v>1</v>
      </c>
    </row>
    <row r="2233" spans="1:8" x14ac:dyDescent="0.3">
      <c r="A2233" t="s">
        <v>260</v>
      </c>
      <c r="B2233">
        <v>2019</v>
      </c>
      <c r="C2233" t="s">
        <v>271</v>
      </c>
      <c r="D2233" t="s">
        <v>300</v>
      </c>
      <c r="E2233" t="s">
        <v>65</v>
      </c>
      <c r="F2233">
        <v>1320</v>
      </c>
      <c r="G2233" t="s">
        <v>66</v>
      </c>
      <c r="H2233">
        <v>1</v>
      </c>
    </row>
    <row r="2234" spans="1:8" x14ac:dyDescent="0.3">
      <c r="A2234" t="s">
        <v>140</v>
      </c>
      <c r="B2234">
        <v>2014</v>
      </c>
      <c r="C2234" t="s">
        <v>271</v>
      </c>
      <c r="D2234" t="s">
        <v>300</v>
      </c>
      <c r="E2234" t="s">
        <v>65</v>
      </c>
      <c r="F2234">
        <v>1650</v>
      </c>
      <c r="G2234" t="s">
        <v>66</v>
      </c>
      <c r="H2234">
        <v>2</v>
      </c>
    </row>
    <row r="2235" spans="1:8" x14ac:dyDescent="0.3">
      <c r="A2235" t="s">
        <v>140</v>
      </c>
      <c r="B2235">
        <v>2015</v>
      </c>
      <c r="C2235" t="s">
        <v>271</v>
      </c>
      <c r="D2235" t="s">
        <v>300</v>
      </c>
      <c r="E2235" t="s">
        <v>65</v>
      </c>
      <c r="F2235">
        <v>1650</v>
      </c>
      <c r="G2235" t="s">
        <v>66</v>
      </c>
      <c r="H2235">
        <v>3</v>
      </c>
    </row>
    <row r="2236" spans="1:8" x14ac:dyDescent="0.3">
      <c r="A2236" t="s">
        <v>140</v>
      </c>
      <c r="B2236">
        <v>2016</v>
      </c>
      <c r="C2236" t="s">
        <v>271</v>
      </c>
      <c r="D2236" t="s">
        <v>300</v>
      </c>
      <c r="E2236" t="s">
        <v>65</v>
      </c>
      <c r="F2236">
        <v>1650</v>
      </c>
      <c r="G2236" t="s">
        <v>66</v>
      </c>
      <c r="H2236">
        <v>1</v>
      </c>
    </row>
    <row r="2237" spans="1:8" x14ac:dyDescent="0.3">
      <c r="A2237" t="s">
        <v>140</v>
      </c>
      <c r="B2237">
        <v>2017</v>
      </c>
      <c r="C2237" t="s">
        <v>271</v>
      </c>
      <c r="D2237" t="s">
        <v>300</v>
      </c>
      <c r="E2237" t="s">
        <v>65</v>
      </c>
      <c r="F2237">
        <v>1650</v>
      </c>
      <c r="G2237" t="s">
        <v>66</v>
      </c>
      <c r="H2237">
        <v>1</v>
      </c>
    </row>
    <row r="2238" spans="1:8" x14ac:dyDescent="0.3">
      <c r="A2238" t="s">
        <v>140</v>
      </c>
      <c r="B2238">
        <v>2019</v>
      </c>
      <c r="C2238" t="s">
        <v>271</v>
      </c>
      <c r="D2238" t="s">
        <v>300</v>
      </c>
      <c r="E2238" t="s">
        <v>65</v>
      </c>
      <c r="F2238">
        <v>1650</v>
      </c>
      <c r="G2238" t="s">
        <v>66</v>
      </c>
      <c r="H2238">
        <v>1</v>
      </c>
    </row>
    <row r="2239" spans="1:8" x14ac:dyDescent="0.3">
      <c r="A2239" t="s">
        <v>140</v>
      </c>
      <c r="B2239">
        <v>2020</v>
      </c>
      <c r="C2239" t="s">
        <v>271</v>
      </c>
      <c r="D2239" t="s">
        <v>300</v>
      </c>
      <c r="E2239" t="s">
        <v>65</v>
      </c>
      <c r="F2239">
        <v>1650</v>
      </c>
      <c r="G2239" t="s">
        <v>66</v>
      </c>
      <c r="H2239">
        <v>2</v>
      </c>
    </row>
    <row r="2240" spans="1:8" x14ac:dyDescent="0.3">
      <c r="A2240" t="s">
        <v>140</v>
      </c>
      <c r="B2240">
        <v>2021</v>
      </c>
      <c r="C2240" t="s">
        <v>271</v>
      </c>
      <c r="D2240" t="s">
        <v>300</v>
      </c>
      <c r="E2240" t="s">
        <v>65</v>
      </c>
      <c r="F2240">
        <v>1650</v>
      </c>
      <c r="G2240" t="s">
        <v>66</v>
      </c>
      <c r="H2240">
        <v>2</v>
      </c>
    </row>
    <row r="2241" spans="1:8" x14ac:dyDescent="0.3">
      <c r="A2241" t="s">
        <v>141</v>
      </c>
      <c r="B2241">
        <v>2016</v>
      </c>
      <c r="C2241" t="s">
        <v>271</v>
      </c>
      <c r="D2241" t="s">
        <v>300</v>
      </c>
      <c r="E2241" t="s">
        <v>65</v>
      </c>
      <c r="F2241">
        <v>1600</v>
      </c>
      <c r="G2241" t="s">
        <v>66</v>
      </c>
      <c r="H2241">
        <v>1</v>
      </c>
    </row>
    <row r="2242" spans="1:8" x14ac:dyDescent="0.3">
      <c r="A2242" t="s">
        <v>141</v>
      </c>
      <c r="B2242">
        <v>2017</v>
      </c>
      <c r="C2242" t="s">
        <v>271</v>
      </c>
      <c r="D2242" t="s">
        <v>300</v>
      </c>
      <c r="E2242" t="s">
        <v>65</v>
      </c>
      <c r="F2242">
        <v>1600</v>
      </c>
      <c r="G2242" t="s">
        <v>66</v>
      </c>
      <c r="H2242">
        <v>2</v>
      </c>
    </row>
    <row r="2243" spans="1:8" x14ac:dyDescent="0.3">
      <c r="A2243" t="s">
        <v>141</v>
      </c>
      <c r="B2243">
        <v>2018</v>
      </c>
      <c r="C2243" t="s">
        <v>271</v>
      </c>
      <c r="D2243" t="s">
        <v>300</v>
      </c>
      <c r="E2243" t="s">
        <v>65</v>
      </c>
      <c r="F2243">
        <v>1600</v>
      </c>
      <c r="G2243" t="s">
        <v>66</v>
      </c>
      <c r="H2243">
        <v>3</v>
      </c>
    </row>
    <row r="2244" spans="1:8" x14ac:dyDescent="0.3">
      <c r="A2244" t="s">
        <v>141</v>
      </c>
      <c r="B2244">
        <v>2019</v>
      </c>
      <c r="C2244" t="s">
        <v>271</v>
      </c>
      <c r="D2244" t="s">
        <v>300</v>
      </c>
      <c r="E2244" t="s">
        <v>65</v>
      </c>
      <c r="F2244">
        <v>1600</v>
      </c>
      <c r="G2244" t="s">
        <v>66</v>
      </c>
      <c r="H2244">
        <v>61</v>
      </c>
    </row>
    <row r="2245" spans="1:8" x14ac:dyDescent="0.3">
      <c r="A2245" t="s">
        <v>141</v>
      </c>
      <c r="B2245">
        <v>2020</v>
      </c>
      <c r="C2245" t="s">
        <v>271</v>
      </c>
      <c r="D2245" t="s">
        <v>300</v>
      </c>
      <c r="E2245" t="s">
        <v>65</v>
      </c>
      <c r="F2245">
        <v>1600</v>
      </c>
      <c r="G2245" t="s">
        <v>66</v>
      </c>
      <c r="H2245">
        <v>20</v>
      </c>
    </row>
    <row r="2246" spans="1:8" x14ac:dyDescent="0.3">
      <c r="A2246" t="s">
        <v>141</v>
      </c>
      <c r="B2246">
        <v>2021</v>
      </c>
      <c r="C2246" t="s">
        <v>271</v>
      </c>
      <c r="D2246" t="s">
        <v>300</v>
      </c>
      <c r="E2246" t="s">
        <v>65</v>
      </c>
      <c r="F2246">
        <v>1600</v>
      </c>
      <c r="G2246" t="s">
        <v>66</v>
      </c>
      <c r="H2246">
        <v>4</v>
      </c>
    </row>
    <row r="2247" spans="1:8" x14ac:dyDescent="0.3">
      <c r="A2247" t="s">
        <v>261</v>
      </c>
      <c r="B2247">
        <v>2016</v>
      </c>
      <c r="C2247" t="s">
        <v>271</v>
      </c>
      <c r="D2247" t="s">
        <v>300</v>
      </c>
      <c r="E2247" t="s">
        <v>65</v>
      </c>
      <c r="F2247">
        <v>15100</v>
      </c>
      <c r="G2247" t="s">
        <v>66</v>
      </c>
      <c r="H2247">
        <v>1</v>
      </c>
    </row>
    <row r="2248" spans="1:8" x14ac:dyDescent="0.3">
      <c r="A2248" t="s">
        <v>261</v>
      </c>
      <c r="B2248">
        <v>2017</v>
      </c>
      <c r="C2248" t="s">
        <v>271</v>
      </c>
      <c r="D2248" t="s">
        <v>300</v>
      </c>
      <c r="E2248" t="s">
        <v>65</v>
      </c>
      <c r="F2248">
        <v>15100</v>
      </c>
      <c r="G2248" t="s">
        <v>66</v>
      </c>
      <c r="H2248">
        <v>2</v>
      </c>
    </row>
    <row r="2249" spans="1:8" x14ac:dyDescent="0.3">
      <c r="A2249" t="s">
        <v>261</v>
      </c>
      <c r="B2249">
        <v>2019</v>
      </c>
      <c r="C2249" t="s">
        <v>271</v>
      </c>
      <c r="D2249" t="s">
        <v>300</v>
      </c>
      <c r="E2249" t="s">
        <v>65</v>
      </c>
      <c r="F2249">
        <v>15100</v>
      </c>
      <c r="G2249" t="s">
        <v>66</v>
      </c>
      <c r="H2249">
        <v>4</v>
      </c>
    </row>
    <row r="2250" spans="1:8" x14ac:dyDescent="0.3">
      <c r="A2250" t="s">
        <v>261</v>
      </c>
      <c r="B2250">
        <v>2020</v>
      </c>
      <c r="C2250" t="s">
        <v>271</v>
      </c>
      <c r="D2250" t="s">
        <v>300</v>
      </c>
      <c r="E2250" t="s">
        <v>65</v>
      </c>
      <c r="F2250">
        <v>15100</v>
      </c>
      <c r="G2250" t="s">
        <v>66</v>
      </c>
      <c r="H2250">
        <v>7</v>
      </c>
    </row>
    <row r="2251" spans="1:8" x14ac:dyDescent="0.3">
      <c r="A2251" t="s">
        <v>261</v>
      </c>
      <c r="B2251">
        <v>2021</v>
      </c>
      <c r="C2251" t="s">
        <v>271</v>
      </c>
      <c r="D2251" t="s">
        <v>300</v>
      </c>
      <c r="E2251" t="s">
        <v>65</v>
      </c>
      <c r="F2251">
        <v>15100</v>
      </c>
      <c r="G2251" t="s">
        <v>66</v>
      </c>
      <c r="H2251">
        <v>1</v>
      </c>
    </row>
    <row r="2252" spans="1:8" x14ac:dyDescent="0.3">
      <c r="A2252" t="s">
        <v>263</v>
      </c>
      <c r="B2252">
        <v>2020</v>
      </c>
      <c r="C2252" t="s">
        <v>271</v>
      </c>
      <c r="D2252" t="s">
        <v>300</v>
      </c>
      <c r="E2252" t="s">
        <v>65</v>
      </c>
      <c r="F2252">
        <v>6000</v>
      </c>
      <c r="G2252" t="s">
        <v>66</v>
      </c>
      <c r="H2252">
        <v>1</v>
      </c>
    </row>
    <row r="2253" spans="1:8" x14ac:dyDescent="0.3">
      <c r="A2253" t="s">
        <v>142</v>
      </c>
      <c r="B2253">
        <v>2014</v>
      </c>
      <c r="C2253" t="s">
        <v>271</v>
      </c>
      <c r="D2253" t="s">
        <v>300</v>
      </c>
      <c r="E2253" t="s">
        <v>65</v>
      </c>
      <c r="F2253">
        <v>3000</v>
      </c>
      <c r="G2253" t="s">
        <v>66</v>
      </c>
      <c r="H2253">
        <v>1</v>
      </c>
    </row>
    <row r="2254" spans="1:8" x14ac:dyDescent="0.3">
      <c r="A2254" t="s">
        <v>142</v>
      </c>
      <c r="B2254">
        <v>2015</v>
      </c>
      <c r="C2254" t="s">
        <v>271</v>
      </c>
      <c r="D2254" t="s">
        <v>300</v>
      </c>
      <c r="E2254" t="s">
        <v>65</v>
      </c>
      <c r="F2254">
        <v>3000</v>
      </c>
      <c r="G2254" t="s">
        <v>66</v>
      </c>
      <c r="H2254">
        <v>1</v>
      </c>
    </row>
    <row r="2255" spans="1:8" x14ac:dyDescent="0.3">
      <c r="A2255" t="s">
        <v>142</v>
      </c>
      <c r="B2255">
        <v>2016</v>
      </c>
      <c r="C2255" t="s">
        <v>271</v>
      </c>
      <c r="D2255" t="s">
        <v>300</v>
      </c>
      <c r="E2255" t="s">
        <v>65</v>
      </c>
      <c r="F2255">
        <v>3000</v>
      </c>
      <c r="G2255" t="s">
        <v>66</v>
      </c>
      <c r="H2255">
        <v>1</v>
      </c>
    </row>
    <row r="2256" spans="1:8" x14ac:dyDescent="0.3">
      <c r="A2256" t="s">
        <v>142</v>
      </c>
      <c r="B2256">
        <v>2017</v>
      </c>
      <c r="C2256" t="s">
        <v>271</v>
      </c>
      <c r="D2256" t="s">
        <v>300</v>
      </c>
      <c r="E2256" t="s">
        <v>65</v>
      </c>
      <c r="F2256">
        <v>3000</v>
      </c>
      <c r="G2256" t="s">
        <v>66</v>
      </c>
      <c r="H2256">
        <v>2</v>
      </c>
    </row>
    <row r="2257" spans="1:8" x14ac:dyDescent="0.3">
      <c r="A2257" t="s">
        <v>142</v>
      </c>
      <c r="B2257">
        <v>2020</v>
      </c>
      <c r="C2257" t="s">
        <v>271</v>
      </c>
      <c r="D2257" t="s">
        <v>300</v>
      </c>
      <c r="E2257" t="s">
        <v>65</v>
      </c>
      <c r="F2257">
        <v>3000</v>
      </c>
      <c r="G2257" t="s">
        <v>66</v>
      </c>
      <c r="H2257">
        <v>2</v>
      </c>
    </row>
    <row r="2258" spans="1:8" x14ac:dyDescent="0.3">
      <c r="A2258" t="s">
        <v>142</v>
      </c>
      <c r="B2258">
        <v>2021</v>
      </c>
      <c r="C2258" t="s">
        <v>271</v>
      </c>
      <c r="D2258" t="s">
        <v>300</v>
      </c>
      <c r="E2258" t="s">
        <v>65</v>
      </c>
      <c r="F2258">
        <v>3000</v>
      </c>
      <c r="G2258" t="s">
        <v>66</v>
      </c>
      <c r="H2258">
        <v>5</v>
      </c>
    </row>
    <row r="2259" spans="1:8" x14ac:dyDescent="0.3">
      <c r="A2259" t="s">
        <v>265</v>
      </c>
      <c r="B2259">
        <v>2014</v>
      </c>
      <c r="C2259" t="s">
        <v>271</v>
      </c>
      <c r="D2259" t="s">
        <v>300</v>
      </c>
      <c r="E2259" t="s">
        <v>65</v>
      </c>
      <c r="F2259">
        <v>3368</v>
      </c>
      <c r="G2259" t="s">
        <v>66</v>
      </c>
      <c r="H2259">
        <v>1</v>
      </c>
    </row>
    <row r="2260" spans="1:8" x14ac:dyDescent="0.3">
      <c r="A2260" t="s">
        <v>265</v>
      </c>
      <c r="B2260">
        <v>2015</v>
      </c>
      <c r="C2260" t="s">
        <v>271</v>
      </c>
      <c r="D2260" t="s">
        <v>300</v>
      </c>
      <c r="E2260" t="s">
        <v>65</v>
      </c>
      <c r="F2260">
        <v>3368</v>
      </c>
      <c r="G2260" t="s">
        <v>66</v>
      </c>
      <c r="H2260">
        <v>3</v>
      </c>
    </row>
    <row r="2261" spans="1:8" x14ac:dyDescent="0.3">
      <c r="A2261" t="s">
        <v>265</v>
      </c>
      <c r="B2261">
        <v>2016</v>
      </c>
      <c r="C2261" t="s">
        <v>271</v>
      </c>
      <c r="D2261" t="s">
        <v>300</v>
      </c>
      <c r="E2261" t="s">
        <v>65</v>
      </c>
      <c r="F2261">
        <v>3368</v>
      </c>
      <c r="G2261" t="s">
        <v>66</v>
      </c>
      <c r="H2261">
        <v>5</v>
      </c>
    </row>
    <row r="2262" spans="1:8" x14ac:dyDescent="0.3">
      <c r="A2262" t="s">
        <v>265</v>
      </c>
      <c r="B2262">
        <v>2017</v>
      </c>
      <c r="C2262" t="s">
        <v>271</v>
      </c>
      <c r="D2262" t="s">
        <v>300</v>
      </c>
      <c r="E2262" t="s">
        <v>65</v>
      </c>
      <c r="F2262">
        <v>3368</v>
      </c>
      <c r="G2262" t="s">
        <v>66</v>
      </c>
      <c r="H2262">
        <v>3</v>
      </c>
    </row>
    <row r="2263" spans="1:8" x14ac:dyDescent="0.3">
      <c r="A2263" t="s">
        <v>265</v>
      </c>
      <c r="B2263">
        <v>2018</v>
      </c>
      <c r="C2263" t="s">
        <v>271</v>
      </c>
      <c r="D2263" t="s">
        <v>300</v>
      </c>
      <c r="E2263" t="s">
        <v>65</v>
      </c>
      <c r="F2263">
        <v>3368</v>
      </c>
      <c r="G2263" t="s">
        <v>66</v>
      </c>
      <c r="H2263">
        <v>1</v>
      </c>
    </row>
    <row r="2264" spans="1:8" x14ac:dyDescent="0.3">
      <c r="A2264" t="s">
        <v>265</v>
      </c>
      <c r="B2264">
        <v>2019</v>
      </c>
      <c r="C2264" t="s">
        <v>271</v>
      </c>
      <c r="D2264" t="s">
        <v>300</v>
      </c>
      <c r="E2264" t="s">
        <v>65</v>
      </c>
      <c r="F2264">
        <v>3368</v>
      </c>
      <c r="G2264" t="s">
        <v>66</v>
      </c>
      <c r="H2264">
        <v>1</v>
      </c>
    </row>
    <row r="2265" spans="1:8" x14ac:dyDescent="0.3">
      <c r="A2265" t="s">
        <v>143</v>
      </c>
      <c r="B2265">
        <v>2014</v>
      </c>
      <c r="C2265" t="s">
        <v>271</v>
      </c>
      <c r="D2265" t="s">
        <v>300</v>
      </c>
      <c r="E2265" t="s">
        <v>65</v>
      </c>
      <c r="F2265">
        <v>14500</v>
      </c>
      <c r="G2265" t="s">
        <v>72</v>
      </c>
      <c r="H2265">
        <v>5</v>
      </c>
    </row>
    <row r="2266" spans="1:8" x14ac:dyDescent="0.3">
      <c r="A2266" t="s">
        <v>143</v>
      </c>
      <c r="B2266">
        <v>2015</v>
      </c>
      <c r="C2266" t="s">
        <v>271</v>
      </c>
      <c r="D2266" t="s">
        <v>300</v>
      </c>
      <c r="E2266" t="s">
        <v>65</v>
      </c>
      <c r="F2266">
        <v>14500</v>
      </c>
      <c r="G2266" t="s">
        <v>72</v>
      </c>
      <c r="H2266">
        <v>7</v>
      </c>
    </row>
    <row r="2267" spans="1:8" x14ac:dyDescent="0.3">
      <c r="A2267" t="s">
        <v>143</v>
      </c>
      <c r="B2267">
        <v>2016</v>
      </c>
      <c r="C2267" t="s">
        <v>271</v>
      </c>
      <c r="D2267" t="s">
        <v>300</v>
      </c>
      <c r="E2267" t="s">
        <v>65</v>
      </c>
      <c r="F2267">
        <v>14500</v>
      </c>
      <c r="G2267" t="s">
        <v>72</v>
      </c>
      <c r="H2267">
        <v>7</v>
      </c>
    </row>
    <row r="2268" spans="1:8" x14ac:dyDescent="0.3">
      <c r="A2268" t="s">
        <v>143</v>
      </c>
      <c r="B2268">
        <v>2017</v>
      </c>
      <c r="C2268" t="s">
        <v>271</v>
      </c>
      <c r="D2268" t="s">
        <v>300</v>
      </c>
      <c r="E2268" t="s">
        <v>65</v>
      </c>
      <c r="F2268">
        <v>14500</v>
      </c>
      <c r="G2268" t="s">
        <v>72</v>
      </c>
      <c r="H2268">
        <v>2</v>
      </c>
    </row>
    <row r="2269" spans="1:8" x14ac:dyDescent="0.3">
      <c r="A2269" t="s">
        <v>143</v>
      </c>
      <c r="B2269">
        <v>2018</v>
      </c>
      <c r="C2269" t="s">
        <v>271</v>
      </c>
      <c r="D2269" t="s">
        <v>300</v>
      </c>
      <c r="E2269" t="s">
        <v>65</v>
      </c>
      <c r="F2269">
        <v>14500</v>
      </c>
      <c r="G2269" t="s">
        <v>72</v>
      </c>
      <c r="H2269">
        <v>2</v>
      </c>
    </row>
    <row r="2270" spans="1:8" x14ac:dyDescent="0.3">
      <c r="A2270" t="s">
        <v>143</v>
      </c>
      <c r="B2270">
        <v>2019</v>
      </c>
      <c r="C2270" t="s">
        <v>271</v>
      </c>
      <c r="D2270" t="s">
        <v>300</v>
      </c>
      <c r="E2270" t="s">
        <v>65</v>
      </c>
      <c r="F2270">
        <v>14500</v>
      </c>
      <c r="G2270" t="s">
        <v>72</v>
      </c>
      <c r="H2270">
        <v>2</v>
      </c>
    </row>
    <row r="2271" spans="1:8" x14ac:dyDescent="0.3">
      <c r="A2271" t="s">
        <v>143</v>
      </c>
      <c r="B2271">
        <v>2020</v>
      </c>
      <c r="C2271" t="s">
        <v>271</v>
      </c>
      <c r="D2271" t="s">
        <v>300</v>
      </c>
      <c r="E2271" t="s">
        <v>65</v>
      </c>
      <c r="F2271">
        <v>14500</v>
      </c>
      <c r="G2271" t="s">
        <v>72</v>
      </c>
      <c r="H2271">
        <v>4</v>
      </c>
    </row>
    <row r="2272" spans="1:8" x14ac:dyDescent="0.3">
      <c r="A2272" t="s">
        <v>143</v>
      </c>
      <c r="B2272">
        <v>2021</v>
      </c>
      <c r="C2272" t="s">
        <v>271</v>
      </c>
      <c r="D2272" t="s">
        <v>300</v>
      </c>
      <c r="E2272" t="s">
        <v>65</v>
      </c>
      <c r="F2272">
        <v>14500</v>
      </c>
      <c r="G2272" t="s">
        <v>72</v>
      </c>
      <c r="H2272">
        <v>1</v>
      </c>
    </row>
    <row r="2273" spans="1:8" x14ac:dyDescent="0.3">
      <c r="A2273" t="s">
        <v>267</v>
      </c>
      <c r="B2273">
        <v>2015</v>
      </c>
      <c r="C2273" t="s">
        <v>271</v>
      </c>
      <c r="D2273" t="s">
        <v>300</v>
      </c>
      <c r="E2273" t="s">
        <v>65</v>
      </c>
      <c r="F2273">
        <v>12093</v>
      </c>
      <c r="G2273" t="s">
        <v>66</v>
      </c>
      <c r="H2273">
        <v>1</v>
      </c>
    </row>
    <row r="2274" spans="1:8" x14ac:dyDescent="0.3">
      <c r="A2274" t="s">
        <v>267</v>
      </c>
      <c r="B2274">
        <v>2016</v>
      </c>
      <c r="C2274" t="s">
        <v>271</v>
      </c>
      <c r="D2274" t="s">
        <v>300</v>
      </c>
      <c r="E2274" t="s">
        <v>65</v>
      </c>
      <c r="F2274">
        <v>12093</v>
      </c>
      <c r="G2274" t="s">
        <v>66</v>
      </c>
      <c r="H2274">
        <v>3</v>
      </c>
    </row>
    <row r="2275" spans="1:8" x14ac:dyDescent="0.3">
      <c r="A2275" t="s">
        <v>267</v>
      </c>
      <c r="B2275">
        <v>2017</v>
      </c>
      <c r="C2275" t="s">
        <v>271</v>
      </c>
      <c r="D2275" t="s">
        <v>300</v>
      </c>
      <c r="E2275" t="s">
        <v>65</v>
      </c>
      <c r="F2275">
        <v>12093</v>
      </c>
      <c r="G2275" t="s">
        <v>66</v>
      </c>
      <c r="H2275">
        <v>1</v>
      </c>
    </row>
    <row r="2276" spans="1:8" x14ac:dyDescent="0.3">
      <c r="A2276" t="s">
        <v>267</v>
      </c>
      <c r="B2276">
        <v>2018</v>
      </c>
      <c r="C2276" t="s">
        <v>271</v>
      </c>
      <c r="D2276" t="s">
        <v>300</v>
      </c>
      <c r="E2276" t="s">
        <v>65</v>
      </c>
      <c r="F2276">
        <v>12093</v>
      </c>
      <c r="G2276" t="s">
        <v>66</v>
      </c>
      <c r="H2276">
        <v>2</v>
      </c>
    </row>
    <row r="2277" spans="1:8" x14ac:dyDescent="0.3">
      <c r="A2277" t="s">
        <v>267</v>
      </c>
      <c r="B2277">
        <v>2019</v>
      </c>
      <c r="C2277" t="s">
        <v>271</v>
      </c>
      <c r="D2277" t="s">
        <v>300</v>
      </c>
      <c r="E2277" t="s">
        <v>65</v>
      </c>
      <c r="F2277">
        <v>12093</v>
      </c>
      <c r="G2277" t="s">
        <v>66</v>
      </c>
      <c r="H2277">
        <v>2</v>
      </c>
    </row>
    <row r="2278" spans="1:8" x14ac:dyDescent="0.3">
      <c r="A2278" t="s">
        <v>267</v>
      </c>
      <c r="B2278">
        <v>2020</v>
      </c>
      <c r="C2278" t="s">
        <v>271</v>
      </c>
      <c r="D2278" t="s">
        <v>300</v>
      </c>
      <c r="E2278" t="s">
        <v>65</v>
      </c>
      <c r="F2278">
        <v>12093</v>
      </c>
      <c r="G2278" t="s">
        <v>66</v>
      </c>
      <c r="H2278">
        <v>23</v>
      </c>
    </row>
    <row r="2279" spans="1:8" x14ac:dyDescent="0.3">
      <c r="A2279" t="s">
        <v>267</v>
      </c>
      <c r="B2279">
        <v>2021</v>
      </c>
      <c r="C2279" t="s">
        <v>271</v>
      </c>
      <c r="D2279" t="s">
        <v>300</v>
      </c>
      <c r="E2279" t="s">
        <v>65</v>
      </c>
      <c r="F2279">
        <v>12093</v>
      </c>
      <c r="G2279" t="s">
        <v>66</v>
      </c>
      <c r="H2279">
        <v>2</v>
      </c>
    </row>
    <row r="2280" spans="1:8" x14ac:dyDescent="0.3">
      <c r="A2280" t="s">
        <v>144</v>
      </c>
      <c r="B2280">
        <v>2019</v>
      </c>
      <c r="C2280" t="s">
        <v>271</v>
      </c>
      <c r="D2280" t="s">
        <v>300</v>
      </c>
      <c r="E2280" t="s">
        <v>65</v>
      </c>
      <c r="F2280">
        <v>5617</v>
      </c>
      <c r="G2280" t="s">
        <v>66</v>
      </c>
      <c r="H2280">
        <v>1</v>
      </c>
    </row>
    <row r="2281" spans="1:8" x14ac:dyDescent="0.3">
      <c r="A2281" t="s">
        <v>145</v>
      </c>
      <c r="B2281">
        <v>2016</v>
      </c>
      <c r="C2281" t="s">
        <v>271</v>
      </c>
      <c r="D2281" t="s">
        <v>300</v>
      </c>
      <c r="E2281" t="s">
        <v>65</v>
      </c>
      <c r="F2281">
        <v>6613</v>
      </c>
      <c r="G2281" t="s">
        <v>66</v>
      </c>
      <c r="H2281">
        <v>1</v>
      </c>
    </row>
    <row r="2282" spans="1:8" x14ac:dyDescent="0.3">
      <c r="A2282" t="s">
        <v>146</v>
      </c>
      <c r="B2282">
        <v>2016</v>
      </c>
      <c r="C2282" t="s">
        <v>271</v>
      </c>
      <c r="D2282" t="s">
        <v>300</v>
      </c>
      <c r="E2282" t="s">
        <v>65</v>
      </c>
      <c r="F2282">
        <v>7495</v>
      </c>
      <c r="G2282" t="s">
        <v>66</v>
      </c>
      <c r="H2282">
        <v>1</v>
      </c>
    </row>
    <row r="2283" spans="1:8" x14ac:dyDescent="0.3">
      <c r="A2283" t="s">
        <v>146</v>
      </c>
      <c r="B2283">
        <v>2018</v>
      </c>
      <c r="C2283" t="s">
        <v>271</v>
      </c>
      <c r="D2283" t="s">
        <v>300</v>
      </c>
      <c r="E2283" t="s">
        <v>65</v>
      </c>
      <c r="F2283">
        <v>7495</v>
      </c>
      <c r="G2283" t="s">
        <v>66</v>
      </c>
      <c r="H2283">
        <v>1</v>
      </c>
    </row>
    <row r="2284" spans="1:8" x14ac:dyDescent="0.3">
      <c r="A2284" t="s">
        <v>146</v>
      </c>
      <c r="B2284">
        <v>2020</v>
      </c>
      <c r="C2284" t="s">
        <v>271</v>
      </c>
      <c r="D2284" t="s">
        <v>300</v>
      </c>
      <c r="E2284" t="s">
        <v>65</v>
      </c>
      <c r="F2284">
        <v>7495</v>
      </c>
      <c r="G2284" t="s">
        <v>66</v>
      </c>
      <c r="H2284">
        <v>1</v>
      </c>
    </row>
    <row r="2285" spans="1:8" x14ac:dyDescent="0.3">
      <c r="A2285" t="s">
        <v>268</v>
      </c>
      <c r="B2285">
        <v>2018</v>
      </c>
      <c r="C2285" t="s">
        <v>271</v>
      </c>
      <c r="D2285" t="s">
        <v>300</v>
      </c>
      <c r="E2285" t="s">
        <v>65</v>
      </c>
      <c r="F2285">
        <v>7394</v>
      </c>
      <c r="G2285" t="s">
        <v>66</v>
      </c>
      <c r="H2285">
        <v>1</v>
      </c>
    </row>
    <row r="2286" spans="1:8" x14ac:dyDescent="0.3">
      <c r="A2286" t="s">
        <v>268</v>
      </c>
      <c r="B2286">
        <v>2020</v>
      </c>
      <c r="C2286" t="s">
        <v>271</v>
      </c>
      <c r="D2286" t="s">
        <v>300</v>
      </c>
      <c r="E2286" t="s">
        <v>65</v>
      </c>
      <c r="F2286">
        <v>7394</v>
      </c>
      <c r="G2286" t="s">
        <v>66</v>
      </c>
      <c r="H2286">
        <v>2</v>
      </c>
    </row>
    <row r="2287" spans="1:8" x14ac:dyDescent="0.3">
      <c r="A2287" t="s">
        <v>270</v>
      </c>
      <c r="B2287">
        <v>2014</v>
      </c>
      <c r="C2287" t="s">
        <v>271</v>
      </c>
      <c r="D2287" t="s">
        <v>300</v>
      </c>
      <c r="E2287" t="s">
        <v>65</v>
      </c>
      <c r="F2287">
        <v>-1</v>
      </c>
      <c r="G2287" t="s">
        <v>270</v>
      </c>
      <c r="H2287">
        <v>52</v>
      </c>
    </row>
    <row r="2288" spans="1:8" x14ac:dyDescent="0.3">
      <c r="A2288" t="s">
        <v>270</v>
      </c>
      <c r="B2288">
        <v>2015</v>
      </c>
      <c r="C2288" t="s">
        <v>271</v>
      </c>
      <c r="D2288" t="s">
        <v>300</v>
      </c>
      <c r="E2288" t="s">
        <v>65</v>
      </c>
      <c r="F2288">
        <v>-1</v>
      </c>
      <c r="G2288" t="s">
        <v>270</v>
      </c>
      <c r="H2288">
        <v>85</v>
      </c>
    </row>
    <row r="2289" spans="1:8" x14ac:dyDescent="0.3">
      <c r="A2289" t="s">
        <v>270</v>
      </c>
      <c r="B2289">
        <v>2016</v>
      </c>
      <c r="C2289" t="s">
        <v>271</v>
      </c>
      <c r="D2289" t="s">
        <v>300</v>
      </c>
      <c r="E2289" t="s">
        <v>65</v>
      </c>
      <c r="F2289">
        <v>-1</v>
      </c>
      <c r="G2289" t="s">
        <v>270</v>
      </c>
      <c r="H2289">
        <v>85</v>
      </c>
    </row>
    <row r="2290" spans="1:8" x14ac:dyDescent="0.3">
      <c r="A2290" t="s">
        <v>270</v>
      </c>
      <c r="B2290">
        <v>2017</v>
      </c>
      <c r="C2290" t="s">
        <v>271</v>
      </c>
      <c r="D2290" t="s">
        <v>300</v>
      </c>
      <c r="E2290" t="s">
        <v>65</v>
      </c>
      <c r="F2290">
        <v>-1</v>
      </c>
      <c r="G2290" t="s">
        <v>270</v>
      </c>
      <c r="H2290">
        <v>103</v>
      </c>
    </row>
    <row r="2291" spans="1:8" x14ac:dyDescent="0.3">
      <c r="A2291" t="s">
        <v>270</v>
      </c>
      <c r="B2291">
        <v>2018</v>
      </c>
      <c r="C2291" t="s">
        <v>271</v>
      </c>
      <c r="D2291" t="s">
        <v>300</v>
      </c>
      <c r="E2291" t="s">
        <v>65</v>
      </c>
      <c r="F2291">
        <v>-1</v>
      </c>
      <c r="G2291" t="s">
        <v>270</v>
      </c>
      <c r="H2291">
        <v>432</v>
      </c>
    </row>
    <row r="2292" spans="1:8" x14ac:dyDescent="0.3">
      <c r="A2292" t="s">
        <v>270</v>
      </c>
      <c r="B2292">
        <v>2019</v>
      </c>
      <c r="C2292" t="s">
        <v>271</v>
      </c>
      <c r="D2292" t="s">
        <v>300</v>
      </c>
      <c r="E2292" t="s">
        <v>65</v>
      </c>
      <c r="F2292">
        <v>-1</v>
      </c>
      <c r="G2292" t="s">
        <v>270</v>
      </c>
      <c r="H2292">
        <v>827</v>
      </c>
    </row>
    <row r="2293" spans="1:8" x14ac:dyDescent="0.3">
      <c r="A2293" t="s">
        <v>270</v>
      </c>
      <c r="B2293">
        <v>2020</v>
      </c>
      <c r="C2293" t="s">
        <v>271</v>
      </c>
      <c r="D2293" t="s">
        <v>300</v>
      </c>
      <c r="E2293" t="s">
        <v>65</v>
      </c>
      <c r="F2293">
        <v>-1</v>
      </c>
      <c r="G2293" t="s">
        <v>270</v>
      </c>
      <c r="H2293">
        <v>858</v>
      </c>
    </row>
    <row r="2294" spans="1:8" x14ac:dyDescent="0.3">
      <c r="A2294" t="s">
        <v>270</v>
      </c>
      <c r="B2294">
        <v>2021</v>
      </c>
      <c r="C2294" t="s">
        <v>271</v>
      </c>
      <c r="D2294" t="s">
        <v>300</v>
      </c>
      <c r="E2294" t="s">
        <v>65</v>
      </c>
      <c r="F2294">
        <v>-1</v>
      </c>
      <c r="G2294" t="s">
        <v>270</v>
      </c>
      <c r="H2294">
        <v>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Useful Stuff</vt:lpstr>
      <vt:lpstr>Growth Rate</vt:lpstr>
      <vt:lpstr>Soil</vt:lpstr>
      <vt:lpstr>Pavement</vt:lpstr>
      <vt:lpstr>Traffic346</vt:lpstr>
      <vt:lpstr>Traffic364</vt:lpstr>
      <vt:lpstr>Traffic364_Count</vt:lpstr>
      <vt:lpstr>Traffic378</vt:lpstr>
      <vt:lpstr>Traffic1017</vt:lpstr>
      <vt:lpstr>Traffic1356</vt:lpstr>
      <vt:lpstr>Traffic1863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atakan öztürk</dc:creator>
  <cp:lastModifiedBy>Atakan Ozturk (Student)</cp:lastModifiedBy>
  <dcterms:created xsi:type="dcterms:W3CDTF">2015-06-05T18:17:20Z</dcterms:created>
  <dcterms:modified xsi:type="dcterms:W3CDTF">2026-04-07T06:38:40Z</dcterms:modified>
</cp:coreProperties>
</file>